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120" yWindow="108" windowWidth="15120" windowHeight="8016" tabRatio="707" activeTab="2"/>
  </bookViews>
  <sheets>
    <sheet name="Header" sheetId="20" r:id="rId1"/>
    <sheet name="Info" sheetId="4" r:id="rId2"/>
    <sheet name="Dynamic" sheetId="1" r:id="rId3"/>
    <sheet name="Set" sheetId="5" r:id="rId4"/>
    <sheet name="Limits" sheetId="2" r:id="rId5"/>
    <sheet name="Led" sheetId="6" r:id="rId6"/>
    <sheet name="Calib" sheetId="7" r:id="rId7"/>
    <sheet name="CalibCoef" sheetId="8" r:id="rId8"/>
    <sheet name="100" sheetId="17" r:id="rId9"/>
    <sheet name="101" sheetId="16" r:id="rId10"/>
    <sheet name="102" sheetId="15" r:id="rId11"/>
    <sheet name="103" sheetId="9" r:id="rId12"/>
    <sheet name="Port" sheetId="10" r:id="rId13"/>
    <sheet name="GROUPMON" sheetId="11" r:id="rId14"/>
    <sheet name="Alarms" sheetId="18" r:id="rId15"/>
    <sheet name="Enum" sheetId="12" r:id="rId16"/>
    <sheet name="ColorTranslator" sheetId="3" r:id="rId17"/>
    <sheet name="ParRelation" sheetId="13" r:id="rId18"/>
    <sheet name="Main" sheetId="19" r:id="rId19"/>
    <sheet name="AddColorT" sheetId="23" r:id="rId20"/>
    <sheet name="AddLimits" sheetId="22" r:id="rId21"/>
  </sheets>
  <calcPr calcId="145621"/>
</workbook>
</file>

<file path=xl/calcChain.xml><?xml version="1.0" encoding="utf-8"?>
<calcChain xmlns="http://schemas.openxmlformats.org/spreadsheetml/2006/main">
  <c r="F2" i="19" l="1"/>
  <c r="F15" i="23" l="1"/>
  <c r="F14" i="23"/>
  <c r="F12" i="23"/>
  <c r="C17" i="22"/>
  <c r="C16" i="22"/>
  <c r="C15" i="22"/>
  <c r="C14" i="22"/>
  <c r="F11" i="23" l="1"/>
  <c r="F10" i="23"/>
  <c r="F9" i="23"/>
  <c r="F8" i="23"/>
  <c r="F7" i="23"/>
  <c r="F6" i="23"/>
  <c r="F5" i="23"/>
  <c r="F4" i="23"/>
  <c r="F13" i="23"/>
  <c r="F9" i="22"/>
  <c r="F8" i="22"/>
  <c r="F7" i="22"/>
  <c r="M6" i="22"/>
  <c r="L6" i="22"/>
  <c r="G9" i="22"/>
  <c r="G8" i="22"/>
  <c r="G7" i="22"/>
  <c r="C9" i="22"/>
  <c r="C8" i="22"/>
  <c r="C7" i="22"/>
  <c r="I9" i="22"/>
  <c r="I8" i="22"/>
  <c r="I7" i="22"/>
  <c r="K6" i="22"/>
  <c r="A9" i="22"/>
  <c r="K9" i="22" s="1"/>
  <c r="A8" i="22"/>
  <c r="K8" i="22" s="1"/>
  <c r="A7" i="22"/>
  <c r="K7" i="22" s="1"/>
  <c r="E9" i="22"/>
  <c r="L9" i="22" s="1"/>
  <c r="E8" i="22"/>
  <c r="E7" i="22"/>
  <c r="L7" i="22" s="1"/>
  <c r="L8" i="22" l="1"/>
  <c r="M7" i="22"/>
  <c r="M9" i="22"/>
  <c r="M8" i="22"/>
</calcChain>
</file>

<file path=xl/sharedStrings.xml><?xml version="1.0" encoding="utf-8"?>
<sst xmlns="http://schemas.openxmlformats.org/spreadsheetml/2006/main" count="1663" uniqueCount="544">
  <si>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</si>
  <si>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</si>
  <si>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</si>
  <si>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</si>
  <si>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</si>
  <si>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</si>
  <si>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</si>
  <si>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</si>
  <si>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</si>
  <si>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</si>
  <si>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</si>
  <si>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</si>
  <si>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</si>
  <si>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</si>
  <si>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</si>
  <si>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</si>
  <si>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</si>
  <si>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</si>
  <si>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</si>
  <si>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</si>
  <si>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</si>
  <si>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</si>
  <si>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</si>
  <si>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CL_ALL_R | CL3_W | CL4_W</t>
  </si>
  <si>
    <t>PR_STATIC_PARAM</t>
  </si>
  <si>
    <t>CL_ALL_R | CL2_W | CL3_W | CL4_W</t>
  </si>
  <si>
    <t>NOT_ACCESSIBLE</t>
  </si>
  <si>
    <t>PR_COLORTRANSLATOR</t>
  </si>
  <si>
    <t>CHARLINE</t>
  </si>
  <si>
    <t>°C</t>
  </si>
  <si>
    <t>ID</t>
  </si>
  <si>
    <t>ColorTrans</t>
  </si>
  <si>
    <t>PR_INFORM_PARAM</t>
  </si>
  <si>
    <t>CL_ALL_R | CL4_W</t>
  </si>
  <si>
    <t>CL4_R</t>
  </si>
  <si>
    <t>PR_SET_PARAM</t>
  </si>
  <si>
    <t>ENUM</t>
  </si>
  <si>
    <t>ALARM1WMax</t>
  </si>
  <si>
    <t>BOOL</t>
  </si>
  <si>
    <t>ALARM2CMax</t>
  </si>
  <si>
    <t>LimitSect</t>
  </si>
  <si>
    <t>[4]</t>
  </si>
  <si>
    <t>INTEGER</t>
  </si>
  <si>
    <t>TCaseCMax</t>
  </si>
  <si>
    <t>Maximum Limit (Critical) of Case Temperature</t>
  </si>
  <si>
    <t>TCaseWMax</t>
  </si>
  <si>
    <t>TCaseWMax;°C;Верхний порог (предупреждение) для TCase</t>
  </si>
  <si>
    <t>TCaseWMin</t>
  </si>
  <si>
    <t>TCaseWMin;°C;Нижний порог (предупреждение) для TCase</t>
  </si>
  <si>
    <t>TCaseCMin</t>
  </si>
  <si>
    <t>Minimum Limit (Critical) of Case Temperature</t>
  </si>
  <si>
    <t>LEDSect</t>
  </si>
  <si>
    <t>PR_LED_PARAM</t>
  </si>
  <si>
    <t>[5]</t>
  </si>
  <si>
    <t>Led1State</t>
  </si>
  <si>
    <t>Power indication</t>
  </si>
  <si>
    <t>UINTEGER</t>
  </si>
  <si>
    <t>Led2State</t>
  </si>
  <si>
    <t>Led3State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</si>
  <si>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</si>
  <si>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</si>
  <si>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</si>
  <si>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</si>
  <si>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</si>
  <si>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</si>
  <si>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</si>
  <si>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</si>
  <si>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</si>
  <si>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</si>
  <si>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EnumParam</t>
  </si>
  <si>
    <t>ALARM1;Error@1|Normal@0</t>
  </si>
  <si>
    <t>ALARM2;Error@1|Normal@0</t>
  </si>
  <si>
    <t>[ColorTranslator]</t>
  </si>
  <si>
    <t>ALARM1;ALARM1;ALARM1WMax;5</t>
  </si>
  <si>
    <t>Header1</t>
  </si>
  <si>
    <t>PR_HEADER_NAME</t>
  </si>
  <si>
    <t>[Header]</t>
  </si>
  <si>
    <t>Header2</t>
  </si>
  <si>
    <t>InformSect</t>
  </si>
  <si>
    <t>[1]</t>
  </si>
  <si>
    <t>HwNumber</t>
  </si>
  <si>
    <t>Hardware Component Number</t>
  </si>
  <si>
    <t>HwNumber;;Ревизия аппаратной части</t>
  </si>
  <si>
    <t>SwNumber</t>
  </si>
  <si>
    <t>Software Support Version</t>
  </si>
  <si>
    <t>1.0.0</t>
  </si>
  <si>
    <t>SwNumber;;Ревизия программного обеспечения</t>
  </si>
  <si>
    <t>SrNumber</t>
  </si>
  <si>
    <t>Serial number</t>
  </si>
  <si>
    <t>SrNumber;;Серийный номер устройства</t>
  </si>
  <si>
    <t>C1Date</t>
  </si>
  <si>
    <t>Date of Compilation</t>
  </si>
  <si>
    <t>C1Date;;Дата компиляции</t>
  </si>
  <si>
    <t>pId</t>
  </si>
  <si>
    <t>Block Identifier</t>
  </si>
  <si>
    <t>pId;;Идентификатор устройства</t>
  </si>
  <si>
    <t>Location</t>
  </si>
  <si>
    <t>Location;;Местоположение устройства</t>
  </si>
  <si>
    <t>Destination</t>
  </si>
  <si>
    <t>Destination;;Назначение</t>
  </si>
  <si>
    <t>DynamicSect</t>
  </si>
  <si>
    <t>[2]</t>
  </si>
  <si>
    <t>TCase</t>
  </si>
  <si>
    <t>Case Temperature</t>
  </si>
  <si>
    <t>TCase;°C;Внутренняя температура устройства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</si>
  <si>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</si>
  <si>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</si>
  <si>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</si>
  <si>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</si>
  <si>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</si>
  <si>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</si>
  <si>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</si>
  <si>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Time</t>
  </si>
  <si>
    <t>sec</t>
  </si>
  <si>
    <t>SetSect</t>
  </si>
  <si>
    <t>[3]</t>
  </si>
  <si>
    <t>PID</t>
  </si>
  <si>
    <t>Выходной файл</t>
  </si>
  <si>
    <t>N</t>
  </si>
  <si>
    <t>ALARM1;Ошибка@1|Норма@0</t>
  </si>
  <si>
    <t>ALARM2;Ошибка@1|Норма@0</t>
  </si>
  <si>
    <t>PortSect</t>
  </si>
  <si>
    <t>EnumSect</t>
  </si>
  <si>
    <t>ColorTransSect</t>
  </si>
  <si>
    <t>ptPort?InOut;Порт ?</t>
  </si>
  <si>
    <t>Port ?;3;Port?Pout|Port?Att;Port ?;ptPort?InOut</t>
  </si>
  <si>
    <t>SFP ? laser wavelength</t>
  </si>
  <si>
    <t>nm</t>
  </si>
  <si>
    <t>SFP?Wl</t>
  </si>
  <si>
    <t>SFP?Vendor</t>
  </si>
  <si>
    <t>SFP ? vendor name</t>
  </si>
  <si>
    <t>CL3_R | CL4_R</t>
  </si>
  <si>
    <t>SFP?PtNumber</t>
  </si>
  <si>
    <t>SFP ? serial number provided by vendor</t>
  </si>
  <si>
    <t>SFP ? part number provided by vendor</t>
  </si>
  <si>
    <t>SFP?SrNumber</t>
  </si>
  <si>
    <t>mA</t>
  </si>
  <si>
    <t>SFP ? Laser Diode Current</t>
  </si>
  <si>
    <t>SFP ? Temperature</t>
  </si>
  <si>
    <t>V</t>
  </si>
  <si>
    <t>SFP ? VCC</t>
  </si>
  <si>
    <t>SFP ? Input Optical Power</t>
  </si>
  <si>
    <t>Transponder ? Rx Power Alarm threshold</t>
  </si>
  <si>
    <t>SFP ? Output optical power</t>
  </si>
  <si>
    <t>Trsp?State</t>
  </si>
  <si>
    <t>SFP?TxEn</t>
  </si>
  <si>
    <t>SFP?PinCMax</t>
  </si>
  <si>
    <t>SFP ? Maximum Limit (Critical) of Input  Optical Power</t>
  </si>
  <si>
    <t>SFP?PinWMax</t>
  </si>
  <si>
    <t>SFP?PinWMin</t>
  </si>
  <si>
    <t>SFP?PinCMin</t>
  </si>
  <si>
    <t>SFP ? Maximum Limit (Warning) of  Input Optical Power</t>
  </si>
  <si>
    <t>SFP ? Minimum Limit (Warning) of  Input Optical Power</t>
  </si>
  <si>
    <t>SFP ? Minimum Limit (Critical) of Input  Optical Power</t>
  </si>
  <si>
    <t>SFP?PinWMax;дБм;Верхний порог (предупреждение) для оптической мощности на входе SFP ?</t>
  </si>
  <si>
    <t>SFP?PinCMax;дБм;Верхний порог (отказ) для оптической мощности на входе SFP ?</t>
  </si>
  <si>
    <t>SFP?PinWMin;дБм;Нижний порог (предупреждение) для оптической мощности на входе SFP ?</t>
  </si>
  <si>
    <t>SFP?PinCMin;дБм;Нижний порог (отказ) для оптической мощности на входе SFP ?</t>
  </si>
  <si>
    <t>SFP?PoutCMax</t>
  </si>
  <si>
    <t>SFP?PoutWMax</t>
  </si>
  <si>
    <t>SFP?PoutWMin</t>
  </si>
  <si>
    <t>SFP?PoutCMin</t>
  </si>
  <si>
    <t>SFP ? Maximum Limit (Critical) of Output  Optical Power</t>
  </si>
  <si>
    <t>SFP ? Maximum Limit (Warning) of  Output Optical Power</t>
  </si>
  <si>
    <t>SFP ? Minimum Limit (Warning) of  Output Optical Power</t>
  </si>
  <si>
    <t>SFP ? Minimum Limit (Critical) of Output  Optical Power</t>
  </si>
  <si>
    <t>SFP?PoutCMax;дБм;Верхний порог (отказ) для оптической мощности на выходе SFP ?</t>
  </si>
  <si>
    <t>SFP?PoutWMax;дБм;Верхний порог (предупреждение) для оптической мощности на выходе SFP ?</t>
  </si>
  <si>
    <t>SFP?PoutWMin;дБм;Нижний порог (предупреждение) для оптической мощности на выходе SFP ?</t>
  </si>
  <si>
    <t>SFP?PoutCMin;дБм;Нижний порог (отказ) для оптической мощности на выходе SFP ?</t>
  </si>
  <si>
    <t>SFP?ITxLDCMax</t>
  </si>
  <si>
    <t>SFP ? Maximum Limit (Critical) of  Laser Diode Current</t>
  </si>
  <si>
    <t>SFP ? Maximum Limit (Warning) of  Laser Diode Current</t>
  </si>
  <si>
    <t>SFP ? Minimum Limit (Warning) of  Laser Diode Current</t>
  </si>
  <si>
    <t>SFP ? Minimum Limit (Critical) of  Laser Diode Current</t>
  </si>
  <si>
    <t>SFP?ITxLDWMax</t>
  </si>
  <si>
    <t>SFP?ITxLDWMin</t>
  </si>
  <si>
    <t>SFP?ITxLDCMin</t>
  </si>
  <si>
    <t>SFP?ITxLDCMax;мА;Верхний порог (отказ) для тока лазерного диода SFP ?</t>
  </si>
  <si>
    <t>SFP?ITxLDWMax;мА;Верхний порог (предупреждение) для тока лазерного диода SFP ?</t>
  </si>
  <si>
    <t>SFP?ITxLDWMin;мА;Нижний порог (предупреждение) для тока лазерного диода SFP ?</t>
  </si>
  <si>
    <t>SFP?ITxLDCMin;мА;Нижний порог (отказ) для тока лазерного диода SFP ?</t>
  </si>
  <si>
    <t>SFP?TTxCMax</t>
  </si>
  <si>
    <t>SFP?TTxWMax</t>
  </si>
  <si>
    <t>SFP?TTxWMin</t>
  </si>
  <si>
    <t>SFP?TTxCMin</t>
  </si>
  <si>
    <t>SFP ? Maximum Limit (Critical) of  Temperature</t>
  </si>
  <si>
    <t>SFP ? Maximum Limit (Warning) of  Temperature</t>
  </si>
  <si>
    <t>SFP ? Minimum Limit (Warning) of  Temperature</t>
  </si>
  <si>
    <t>SFP ? Minimum Limit (Critical) of  Temperature</t>
  </si>
  <si>
    <t>SFP?TTxCMax;°C;Верхний порог (отказ) для температуры SFP ?</t>
  </si>
  <si>
    <t>SFP?TTxWMax;°C;Верхний порог (предупреждение) для температуры SFP ?</t>
  </si>
  <si>
    <t>SFP?TTxWMin;°C;Нижний порог (предупреждение) для температуры SFP ?</t>
  </si>
  <si>
    <t>SFP?TTxCMin;°C;Нижний порог (отказ) для температуры SFP ?</t>
  </si>
  <si>
    <t>SFP?VccCMax</t>
  </si>
  <si>
    <t>SFP?VccWMax</t>
  </si>
  <si>
    <t>SFP?VccWMin</t>
  </si>
  <si>
    <t>SFP?VccCMin</t>
  </si>
  <si>
    <t>SFP ? Maximum Limit (Critical) of  VCC</t>
  </si>
  <si>
    <t>SFP ? Maximum Limit (Warning) of  VCC</t>
  </si>
  <si>
    <t>SFP ? Minimum Limit (Warning) of  VCC</t>
  </si>
  <si>
    <t>SFP ? Minimum Limit (Critical) of  VCC</t>
  </si>
  <si>
    <t>SFP?VccCMax;V;Верхний порог (отказ) для напряжения питания SFP ?</t>
  </si>
  <si>
    <t>SFP?VccWMax;V;Верхний порог (предупреждение) для напряжения питания SFP ?</t>
  </si>
  <si>
    <t>SFP?VccCMin;V;Нижний порог (отказ) для напряжения питания SFP ?</t>
  </si>
  <si>
    <t>SFP?VccWMin;V;Нижний порог (предупреждение) для напряжения питания SFP ?</t>
  </si>
  <si>
    <t>Trsp?PinCMax</t>
  </si>
  <si>
    <t>SFP ? Transmitter enable</t>
  </si>
  <si>
    <t>SFP?TxEn;Disable@0|Enable@1</t>
  </si>
  <si>
    <t>SFP?TxEn;Выключен@0|Включен@1</t>
  </si>
  <si>
    <t>Trps?Pres;Empty@0|Present@1</t>
  </si>
  <si>
    <t>Trps?Pres;Отсутствует@0|Присутствует@1</t>
  </si>
  <si>
    <t>SFP?TxEn;;Управление состоянием передатчика SFP ?</t>
  </si>
  <si>
    <t>Trsp?LsC</t>
  </si>
  <si>
    <t>Trsp?Pout</t>
  </si>
  <si>
    <t>Trsp?LsT</t>
  </si>
  <si>
    <t>Trsp?Pin</t>
  </si>
  <si>
    <t>Trsp?T</t>
  </si>
  <si>
    <t>Trsp?PdT</t>
  </si>
  <si>
    <t>Trsp?MB</t>
  </si>
  <si>
    <t>Trsp?LsAT</t>
  </si>
  <si>
    <t>Trsp?Param</t>
  </si>
  <si>
    <t>ptTrsp?InOut;Траснпондер ?</t>
  </si>
  <si>
    <t>Trps?PresCMin</t>
  </si>
  <si>
    <t>TCase;TCase;TCaseCMax|TCaseWMax|TCaseWMin|TCaseCMin;7|5|3|5|7</t>
  </si>
  <si>
    <t>ALARM2;ALARM2;ALARM2CMax;7</t>
  </si>
  <si>
    <t>CMax</t>
  </si>
  <si>
    <t>WMax</t>
  </si>
  <si>
    <t>WMin</t>
  </si>
  <si>
    <t>CMin</t>
  </si>
  <si>
    <t>Minimum Limit (Warning)</t>
  </si>
  <si>
    <t>Maximum Limit (Critical)</t>
  </si>
  <si>
    <t>Minimum Limit (Critical)</t>
  </si>
  <si>
    <t>Ед.Изм.</t>
  </si>
  <si>
    <t>Перевод</t>
  </si>
  <si>
    <t>Верхний порог (отказ)</t>
  </si>
  <si>
    <t>Верхний порог (предупреждение)</t>
  </si>
  <si>
    <t>Нижний порог (предупреждение)</t>
  </si>
  <si>
    <t>Нижний порог (отказ)</t>
  </si>
  <si>
    <t>Maximum Limit (Warning)</t>
  </si>
  <si>
    <t>Trsp?LsCCMax</t>
  </si>
  <si>
    <t>Transponder ? Maximum Limit (Critical) of Laser Bias Current</t>
  </si>
  <si>
    <t>Trsp?LsCWMax</t>
  </si>
  <si>
    <t>Transponder ? Maximum Limit (Warning) of Laser Bias Current</t>
  </si>
  <si>
    <t>Trsp?LsCWMin</t>
  </si>
  <si>
    <t>Transponder ? Minimum Limit (Warning) of Laser Bias Current</t>
  </si>
  <si>
    <t>Trsp?LsCCMin</t>
  </si>
  <si>
    <t>Transponder ? Minimum Limit (Critical) of Laser Bias Current</t>
  </si>
  <si>
    <t>Trsp?LsCCMax;мА;Транспондер ? Верхний порог (отказ) для Тока лазера</t>
  </si>
  <si>
    <t>Trsp?LsCWMax;мА;Транспондер ? Верхний порог (предупреждение) для Тока лазера</t>
  </si>
  <si>
    <t>Trsp?LsCWMin;мА;Транспондер ? Нижний порог (предупреждение) для Тока лазера</t>
  </si>
  <si>
    <t>Trsp?LsCCMin;мА;Транспондер ? Нижний порог (отказ) для Тока лазера</t>
  </si>
  <si>
    <t>Trsp?PoutCMax</t>
  </si>
  <si>
    <t>Transponder ? Maximum Limit (Critical) of Laser Output Power</t>
  </si>
  <si>
    <t>Trsp?PoutWMax</t>
  </si>
  <si>
    <t>Transponder ? Maximum Limit (Warning) of Laser Output Power</t>
  </si>
  <si>
    <t>Trsp?PoutWMin</t>
  </si>
  <si>
    <t>Transponder ? Minimum Limit (Warning) of Laser Output Power</t>
  </si>
  <si>
    <t>Trsp?PoutCMin</t>
  </si>
  <si>
    <t>Transponder ? Minimum Limit (Critical) of Laser Output Power</t>
  </si>
  <si>
    <t>Trsp?PoutCMax;дБм;Транспондер ? Верхний порог (отказ) Выходная оптическая мощность</t>
  </si>
  <si>
    <t>Trsp?PoutWMax;дБм;Транспондер ? Верхний порог (предупреждение) Выходная оптическая мощность</t>
  </si>
  <si>
    <t>Trsp?PoutWMin;дБм;Транспондер ? Нижний порог (предупреждение) Выходная оптическая мощность</t>
  </si>
  <si>
    <t>Trsp?PoutCMin;дБм;Транспондер ? Нижний порог (отказ) Выходная оптическая мощность</t>
  </si>
  <si>
    <t>Trsp?LsTCMax</t>
  </si>
  <si>
    <t>Transponder ? Maximum Limit (Critical) of Laser Temperature</t>
  </si>
  <si>
    <t>Trsp?LsTWMax</t>
  </si>
  <si>
    <t>Transponder ? Maximum Limit (Warning) of Laser Temperature</t>
  </si>
  <si>
    <t>Trsp?LsTWMin</t>
  </si>
  <si>
    <t>Transponder ? Minimum Limit (Warning) of Laser Temperature</t>
  </si>
  <si>
    <t>Trsp?LsTCMin</t>
  </si>
  <si>
    <t>Transponder ? Minimum Limit (Critical) of Laser Temperature</t>
  </si>
  <si>
    <t>Trsp?LsTCMax;°C;Транспондер ? Верхний порог (отказ) Температура лазера</t>
  </si>
  <si>
    <t>Trsp?LsTWMax;°C;Транспондер ? Верхний порог (предупреждение) Температура лазера</t>
  </si>
  <si>
    <t>Trsp?LsTWMin;°C;Транспондер ? Нижний порог (предупреждение) Температура лазера</t>
  </si>
  <si>
    <t>Trsp?LsTCMin;°C;Транспондер ? Нижний порог (отказ) Температура лазера</t>
  </si>
  <si>
    <t>Transponder ? Maximum Limit (Critical) of Input Optical Power</t>
  </si>
  <si>
    <t>Trsp?PinWMax</t>
  </si>
  <si>
    <t>Transponder ? Maximum Limit (Warning) of Input Optical Power</t>
  </si>
  <si>
    <t>Trsp?PinWMin</t>
  </si>
  <si>
    <t>Transponder ? Minimum Limit (Warning) of Input Optical Power</t>
  </si>
  <si>
    <t>Trsp?PinCMin</t>
  </si>
  <si>
    <t>Transponder ? Minimum Limit (Critical) of Input Optical Power</t>
  </si>
  <si>
    <t>Trsp?PinCMax;дБм;Транспондер ? Верхний порог (отказ) Входная оптическая мощность</t>
  </si>
  <si>
    <t>Trsp?PinWMax;дБм;Транспондер ? Верхний порог (предупреждение) Входная оптическая мощность</t>
  </si>
  <si>
    <t>Trsp?PinWMin;дБм;Транспондер ? Нижний порог (предупреждение) Входная оптическая мощность</t>
  </si>
  <si>
    <t>Trsp?PinCMin;дБм;Транспондер ? Нижний порог (отказ) Входная оптическая мощность</t>
  </si>
  <si>
    <t>Trsp?TCMax</t>
  </si>
  <si>
    <t>Transponder ? Maximum Limit (Critical) of Temperature</t>
  </si>
  <si>
    <t>Trsp?TWMax</t>
  </si>
  <si>
    <t>Transponder ? Maximum Limit (Warning) of Temperature</t>
  </si>
  <si>
    <t>Trsp?TWMin</t>
  </si>
  <si>
    <t>Transponder ? Minimum Limit (Warning) of Temperature</t>
  </si>
  <si>
    <t>Trsp?TCMin</t>
  </si>
  <si>
    <t>Transponder ? Minimum Limit (Critical) of Temperature</t>
  </si>
  <si>
    <t>Trsp?TCMax;°C;Транспондер ? Верхний порог (отказ) Температура</t>
  </si>
  <si>
    <t>Trsp?TWMax;°C;Транспондер ? Верхний порог (предупреждение) Температура</t>
  </si>
  <si>
    <t>Trsp?TWMin;°C;Транспондер ? Нижний порог (предупреждение) Температура</t>
  </si>
  <si>
    <t>Trsp?TCMin;°C;Транспондер ? Нижний порог (отказ) Температура</t>
  </si>
  <si>
    <t>Trsp?PdTCMax</t>
  </si>
  <si>
    <t>Transponder ? Maximum Limit (Critical) of Photodiode Temperature</t>
  </si>
  <si>
    <t>Trsp?PdTWMax</t>
  </si>
  <si>
    <t>Transponder ? Maximum Limit (Warning) of Photodiode Temperature</t>
  </si>
  <si>
    <t>Trsp?PdTWMin</t>
  </si>
  <si>
    <t>Transponder ? Minimum Limit (Warning) of Photodiode Temperature</t>
  </si>
  <si>
    <t>Trsp?PdTCMin</t>
  </si>
  <si>
    <t>Transponder ? Minimum Limit (Critical) of Photodiode Temperature</t>
  </si>
  <si>
    <t>Trsp?PdTCMax;°C;Транспондер ? Верхний порог (отказ) Температура фотодиода</t>
  </si>
  <si>
    <t>Trsp?PdTWMax;°C;Транспондер ? Верхний порог (предупреждение) Температура фотодиода</t>
  </si>
  <si>
    <t>Trsp?PdTWMin;°C;Транспондер ? Нижний порог (предупреждение) Температура фотодиода</t>
  </si>
  <si>
    <t>Trsp?PdTCMin;°C;Транспондер ? Нижний порог (отказ) Температура фотодиода</t>
  </si>
  <si>
    <t>Trsp?MBCMax</t>
  </si>
  <si>
    <t>Transponder ? Maximum Limit (Critical) of Modulator Bias</t>
  </si>
  <si>
    <t>Trsp?MBWMax</t>
  </si>
  <si>
    <t>Transponder ? Maximum Limit (Warning) of Modulator Bias</t>
  </si>
  <si>
    <t>Trsp?MBWMin</t>
  </si>
  <si>
    <t>Transponder ? Minimum Limit (Warning) of Modulator Bias</t>
  </si>
  <si>
    <t>Trsp?MBCMin</t>
  </si>
  <si>
    <t>Transponder ? Minimum Limit (Critical) of Modulator Bias</t>
  </si>
  <si>
    <t>Trsp?MBCMax;;Транспондер ? Верхний порог (отказ) Смещения Модулятора</t>
  </si>
  <si>
    <t>Trsp?MBWMax;;Транспондер ? Верхний порог (предупреждение) Смещения Модулятора</t>
  </si>
  <si>
    <t>Trsp?MBWMin;;Транспондер ? Нижний порог (предупреждение) Смещения Модулятора</t>
  </si>
  <si>
    <t>Trsp?MBCMin;;Транспондер ? Нижний порог (отказ) Смещения Модулятора</t>
  </si>
  <si>
    <t>Trsp?LsATCMax</t>
  </si>
  <si>
    <t>Transponder ? Maximum Limit (Critical) of Laser Absolute Temperature</t>
  </si>
  <si>
    <t>Trsp?LsATWMax</t>
  </si>
  <si>
    <t>Transponder ? Maximum Limit (Warning) of Laser Absolute Temperature</t>
  </si>
  <si>
    <t>Trsp?LsATWMin</t>
  </si>
  <si>
    <t>Transponder ? Minimum Limit (Warning) of Laser Absolute Temperature</t>
  </si>
  <si>
    <t>Trsp?LsATCMin</t>
  </si>
  <si>
    <t>Transponder ? Minimum Limit (Critical) of Laser Absolute Temperature</t>
  </si>
  <si>
    <t>Trsp?LsATCMax;°C;Транспондер ? Верхний порог (отказ) Абсолютная Температура лазера</t>
  </si>
  <si>
    <t>Trsp?LsATWMax;°C;Транспондер ? Верхний порог (предупреждение) Абсолютная Температура лазера</t>
  </si>
  <si>
    <t>Trsp?LsATWMin;°C;Транспондер ? Нижний порог (предупреждение) Абсолютная Температура лазера</t>
  </si>
  <si>
    <t>Trsp?LsATCMin;°C;Транспондер ? Нижний порог (отказ) Абсолютная Температура лазера</t>
  </si>
  <si>
    <t>Maximum Limit (Warning) of Case Temperature</t>
  </si>
  <si>
    <t>Minimum Limit (Warning) of Case Temperature</t>
  </si>
  <si>
    <t>TCaseCMax;°C;Верхний порог (отказ) для TCase</t>
  </si>
  <si>
    <t>TCaseCMin;°C;Нижний порог (отказ) для TCase</t>
  </si>
  <si>
    <t>Trsp?Pin;Trsp?Pin;Trsp?PinCMax;7</t>
  </si>
  <si>
    <t>SFP?Pin;SFP?Pin;SFP?PinCMax|SFP?PinWMax|SFP?PinWMin|SFP?PinCMin;7|5|3|5|7</t>
  </si>
  <si>
    <t>SFP?Pout;SFP?Pout;SFP?PoutCMax|SFP?PoutWMax|SFP?PoutWMin|SFP?PoutCMin;7|5|3|5|7</t>
  </si>
  <si>
    <t>SFP?ITxLD;SFP?ITxLD;SFP?ITxLDCMax|SFP?ITxLDWMax|SFP?ITxLDWMin|SFP?ITxLDCMin;7|5|3|5|7</t>
  </si>
  <si>
    <t>SFP?TTx;SFP?TTx;SFP?TTxCMax|SFP?TTxWMax|SFP?TTxWMin|SFP?TTxCMin;7|5|3|5|7</t>
  </si>
  <si>
    <t>SFP?Vcc;SFP?Vcc;SFP?VccCMax|SFP?VccWMax|SFP?VccWMin|SFP?VccCMin;7|5|3|5|7</t>
  </si>
  <si>
    <t>Trsp?LsAT;Trsp?LsAT;Trsp?LsATCMax|Trsp?LsATWMax|Trsp?LsATWMin|Trsp?LsATCMin;7|5|3|5|7</t>
  </si>
  <si>
    <t>Trsp?LsC;Trsp?LsC;Trsp?LsCCMax|Trsp?LsCWMax|Trsp?LsCWMin|Trsp?LsCCMin;7|5|3|5|7</t>
  </si>
  <si>
    <t>Trsp?Pout;Trsp?Pout;Trsp?PoutCMax|Trsp?PoutWMax|Trsp?PoutWMin|Trsp?PoutCMin;7|5|3|5|7</t>
  </si>
  <si>
    <t>Trsp?LsT;Trsp?LsT;Trsp?LsTCMax|Trsp?LsTWMax|Trsp?LsTWMin|Trsp?LsTCMin;7|5|3|5|7</t>
  </si>
  <si>
    <t>Trsp?Pin;Trsp?Pin;Trsp?PinCMax|Trsp?PinWMax|Trsp?PinWMin|Trsp?PinCMin;7|5|3|5|7</t>
  </si>
  <si>
    <t>Trsp?T;Trsp?T;Trsp?TCMax|Trsp?TWMax|Trsp?TWMin|Trsp?TCMin;7|5|3|5|7</t>
  </si>
  <si>
    <t>Trps?Pres;Trps?Pres;Trps?PresCMax|Trps?PresWMax|Trps?PresWMin|Trps?PresCMin;7|5|3|5|7</t>
  </si>
  <si>
    <t>Trsp?PdT;Trsp?PdT;Trsp?PdTCMax|Trsp?PdTWMax|Trsp?PdTWMin|Trsp?PdTCMin;7|5|3|5|7</t>
  </si>
  <si>
    <t>Trsp?MB;Trsp?MB;Trsp?MBCMax|Trsp?MBWMax|Trsp?MBWMin|Trsp?MBCMin;7|5|3|5|7</t>
  </si>
  <si>
    <t>SFP?Vendor;;Производитель SFP ?</t>
  </si>
  <si>
    <t>SFP?PtNumber;;Код SFP ?</t>
  </si>
  <si>
    <t>SFP?Wl;нм;Длина волны лазера SFP ?</t>
  </si>
  <si>
    <t>SFP?SrNumber;;Серийный номер SFP ?</t>
  </si>
  <si>
    <t>SFP ? Status</t>
  </si>
  <si>
    <t>DevDate</t>
  </si>
  <si>
    <t>Device Date</t>
  </si>
  <si>
    <t>DevTime</t>
  </si>
  <si>
    <t>Device Time</t>
  </si>
  <si>
    <t>DevTime;;Время в устройстве</t>
  </si>
  <si>
    <t>DevDate;;Дата в устройстве</t>
  </si>
  <si>
    <t>Time of work from last switching ON</t>
  </si>
  <si>
    <t>Time;сек;Время с момента последнего включения</t>
  </si>
  <si>
    <t>CL4_RW</t>
  </si>
  <si>
    <t>LogLines</t>
  </si>
  <si>
    <t>LogLines;;Кол-во записей в журнале модуля</t>
  </si>
  <si>
    <t>All Log lines counter</t>
  </si>
  <si>
    <t>Number of display log line</t>
  </si>
  <si>
    <t>LogLineDispNum</t>
  </si>
  <si>
    <t>LogLineDispNum;;Номер отображаемой записи журнала</t>
  </si>
  <si>
    <t>LogLine</t>
  </si>
  <si>
    <t>Log Line (type reset for clear log)</t>
  </si>
  <si>
    <t>LogLine;;Запись журнала модуля  (введите reset для очистки журнала)</t>
  </si>
  <si>
    <t>LogLineDispNum;cur@0|-1@1|-2@2|-3@3|-4@4|-5@5|-6@6|-7@7|-8@8|-9@9</t>
  </si>
  <si>
    <t>LogLineDispNum;тек@0|-1@1|-2@2|-3@3|-4@4|-5@5|-6@6|-7@7|-8@8|-9@9</t>
  </si>
  <si>
    <t>EventCnt</t>
  </si>
  <si>
    <t>В</t>
  </si>
  <si>
    <t>Event counters Exp/Trap/Hang/Rst/Pwr/PLL</t>
  </si>
  <si>
    <t>EventCnt;;Счетчики  Исключений/Ловушек/Зависаний/Сбросов/Питания/PLL</t>
  </si>
  <si>
    <t>PRECISION2</t>
  </si>
  <si>
    <t>PRECISION2|PR_ONLY</t>
  </si>
  <si>
    <t>PR_ONLY</t>
  </si>
  <si>
    <t>CL3_R|CL4_R</t>
  </si>
  <si>
    <t>PRECISION1</t>
  </si>
  <si>
    <t>Trsp?TxLock</t>
  </si>
  <si>
    <t>Trsp?RxLock</t>
  </si>
  <si>
    <t>Trsp?Power</t>
  </si>
  <si>
    <t>HEX</t>
  </si>
  <si>
    <t>Trsp?TxFIFO</t>
  </si>
  <si>
    <t>Trsp?State;OOS@0|OOS-MT@1|IS@2</t>
  </si>
  <si>
    <t>Trsp?Pres</t>
  </si>
  <si>
    <t>Trsp ?;3;Trsp?LsPout|Trsp?Pin</t>
  </si>
  <si>
    <t>Trsp?TxLock;Ok@0|ERR@1</t>
  </si>
  <si>
    <t>Trsp?RxLock;Ok@0|ERR@1</t>
  </si>
  <si>
    <t>Trsp?TxFIFO;Ok@0|ERR@1</t>
  </si>
  <si>
    <t>Trsp?Power;Ok@0|ERR@1</t>
  </si>
  <si>
    <t>Trsp?TxLock;Норма@0|ОШИБКА@1</t>
  </si>
  <si>
    <t>Trsp?RxLock;Норма@0|ОШИБКА@1</t>
  </si>
  <si>
    <t>Trsp?TxFIFO;Норма@0|ОШИБКА@1</t>
  </si>
  <si>
    <t>Trsp?Power;Норма@0|ОШИБКА@1</t>
  </si>
  <si>
    <t>Trsp?PinCMin;дБм;Верхний порог (отказ) для оптической мощности на входе транспондера ?</t>
  </si>
  <si>
    <t>HwrErrors</t>
  </si>
  <si>
    <t>Hardware errors I2C/TRSP/RS232</t>
  </si>
  <si>
    <t>HwrErrors;;Ошибки I2C/TRSP/RS232</t>
  </si>
  <si>
    <t>SFP?Status</t>
  </si>
  <si>
    <t>SFP?Status;;Состояние  SFP ?</t>
  </si>
  <si>
    <t>SFP?StatusCMax</t>
  </si>
  <si>
    <t>SFP?StatusCMin</t>
  </si>
  <si>
    <t>SFP?Status;SFP?Status;SFP?StatusCMax|SFP?StatusCMin;7|3|7</t>
  </si>
  <si>
    <t>PRECISION1|PR_ONLY</t>
  </si>
  <si>
    <t>зачем тут MFLAG??</t>
  </si>
  <si>
    <t>SFPSetThrsDef</t>
  </si>
  <si>
    <t>SFPThState</t>
  </si>
  <si>
    <t>SFP Threholds state</t>
  </si>
  <si>
    <t>SFPThState;;SFP состояние порогов</t>
  </si>
  <si>
    <t>SFPThState;Default@0|User@1</t>
  </si>
  <si>
    <t>SFPThState;Заводские@0|Пользовательские@1</t>
  </si>
  <si>
    <t>SFPSetThrsDef;;Вернуть заводские установки порогов всех SFP</t>
  </si>
  <si>
    <t>Trsp?TxCmdReg</t>
  </si>
  <si>
    <t>Transponder ? Command register</t>
  </si>
  <si>
    <t>Trsp?TxCmdReg;;Транспондер ? Tx регистр команд</t>
  </si>
  <si>
    <t>Trsp?RxCmdReg</t>
  </si>
  <si>
    <t>Trsp?RxCmdReg;;Транспондер ? Rx регистр команд</t>
  </si>
  <si>
    <t xml:space="preserve">SFP ? Control register </t>
  </si>
  <si>
    <t>SFP ? Status register</t>
  </si>
  <si>
    <t>SFP?MCtrlReg</t>
  </si>
  <si>
    <t>SFP?MStatusReg</t>
  </si>
  <si>
    <t>SFP?MCtrlReg;;SFP ? Регистр управления</t>
  </si>
  <si>
    <t>SFP?MStatusReg;;SFP ? Регистр состояния</t>
  </si>
  <si>
    <t xml:space="preserve">Transponder ?  Configure register </t>
  </si>
  <si>
    <t>Trsp?CfgReg</t>
  </si>
  <si>
    <t>SFP?Pin</t>
  </si>
  <si>
    <t>SFP?Pout</t>
  </si>
  <si>
    <t>SFP?TTx</t>
  </si>
  <si>
    <t>SFP?Vcc</t>
  </si>
  <si>
    <t>SFP?Pin;дБм;Входная оптическая мощность SFP ?</t>
  </si>
  <si>
    <t>SFP?Pout;дБм;Выходная оптическая мощность  SFP ?</t>
  </si>
  <si>
    <t>SFP?TTx;°C;Температура приемопередатчика SFP ?</t>
  </si>
  <si>
    <t>SFP?Vcc;В;Напряжение питания SFP ?</t>
  </si>
  <si>
    <t>Trsp?CfgReg;;Транспондер ? Регистр конфигурации</t>
  </si>
  <si>
    <t>SFP?ITxLD</t>
  </si>
  <si>
    <t>SFP?ITxLD;мА;Ток смещения лазера SFP ?</t>
  </si>
  <si>
    <t>Trsp?CdrStatus</t>
  </si>
  <si>
    <t>Trsp?CdrStatus;Загрузка@|0;FFU@1|ОШИБКА@2|Норма@3</t>
  </si>
  <si>
    <t>SFP?Status;Empty@0|Present@1|TxFalure@2|RxLos@3|TxFailRxLos@4</t>
  </si>
  <si>
    <t>SFP?Status;Отсутствует@0|Присутствует@1|ОтказTx@2|RxLos@3|TxОтказ_RxLos@4</t>
  </si>
  <si>
    <t>Trsp?Mode</t>
  </si>
  <si>
    <t>Trsp?LoopBack</t>
  </si>
  <si>
    <t>Trsp?CdrStatus;Resync@0|FFU@1|Error@2|Ok@3</t>
  </si>
  <si>
    <t>Trsp?LoopBack;No@0|Line@1|Client@2|LineClient@3</t>
  </si>
  <si>
    <t>SFP?DMT</t>
  </si>
  <si>
    <t>SFP?DMT;;Регистр 92 первой страницы SFP ?</t>
  </si>
  <si>
    <t>SFP ? Diagnostic Monitoring Type A0(92)</t>
  </si>
  <si>
    <t>Trsp?Mode;HS/2@0|HS/1@1|HS/4@2|HS/8@3|FC/2@4|FC/1@5|FC/4@6|FC/8@7|Err@255</t>
  </si>
  <si>
    <t xml:space="preserve"> Restore all SFPs threholds to Manufacture settings</t>
  </si>
  <si>
    <t>SFPSetThrsDef;CopySFPtoUSER@0</t>
  </si>
  <si>
    <t>SFPSetThrsDef;КопироватьЗаводскиеНастройки@0</t>
  </si>
  <si>
    <t>Vbat</t>
  </si>
  <si>
    <t>Negative MSA power -5.2</t>
  </si>
  <si>
    <t>V5v</t>
  </si>
  <si>
    <t>SRAM Battery voltage 3.0</t>
  </si>
  <si>
    <t>Auxiliary Board Power 5.0</t>
  </si>
  <si>
    <t>V5v;В;Входное напряжение питания устройства</t>
  </si>
  <si>
    <t>V5vCMax</t>
  </si>
  <si>
    <t>V5vCMax;В;Тест Верхний порог (отказ) Входного напряжения устройства</t>
  </si>
  <si>
    <t>V5vWMax</t>
  </si>
  <si>
    <t>V5vWMax;В;Тест Верхний порог (предупреждение) Входного напряжения устройства</t>
  </si>
  <si>
    <t>V5vWMin</t>
  </si>
  <si>
    <t>V5vWMin;В;Тест Нижний порог (предупреждение) Входного напряжения устройства</t>
  </si>
  <si>
    <t>V5vCMin</t>
  </si>
  <si>
    <t>V5vCMin;В;Тест Нижний порог (отказ) Входного напряжения устройства</t>
  </si>
  <si>
    <t>V5v;V5v;V5vCMax|V5vWMax|V5vWMin|V5vCMin;7|5|3|5|7</t>
  </si>
  <si>
    <t>Auxiliary Board Power Maximum Limit (Critical) of Voltage</t>
  </si>
  <si>
    <t>Auxiliary Board Power Maximum Limit (Warning) of Voltage</t>
  </si>
  <si>
    <t>Auxiliary Board Power Minimum Limit (Warning) of Voltage</t>
  </si>
  <si>
    <t>Auxiliary Board Power Minimum Limit (Critical) of Voltage</t>
  </si>
  <si>
    <t>Vmcu;В;Напряжение питания MCU</t>
  </si>
  <si>
    <t>Vmcu</t>
  </si>
  <si>
    <t>MCU power 3.3</t>
  </si>
  <si>
    <t>Vbat;В;Напряжение батарейки</t>
  </si>
  <si>
    <t>Vmsa</t>
  </si>
  <si>
    <t>Vmsa;В;Дополнительное питание трансивера</t>
  </si>
  <si>
    <t>напряжения</t>
  </si>
  <si>
    <t>voltage</t>
  </si>
  <si>
    <t>VmcuCMax</t>
  </si>
  <si>
    <t>Vmcu Maximum Limit (Critical) of voltage</t>
  </si>
  <si>
    <t>VmcuWMax</t>
  </si>
  <si>
    <t>Vmcu Maximum Limit (Warning) of voltage</t>
  </si>
  <si>
    <t>VmcuWMin</t>
  </si>
  <si>
    <t>Vmcu Minimum Limit (Warning) of voltage</t>
  </si>
  <si>
    <t>VmcuCMin</t>
  </si>
  <si>
    <t>Vmcu Minimum Limit (Critical) of voltage</t>
  </si>
  <si>
    <t>VmcuCMax;В;Питание MCU Верхний порог (отказ) напряжения</t>
  </si>
  <si>
    <t>VmcuWMax;В;Питание MCU Верхний порог (предупреждение) напряжения</t>
  </si>
  <si>
    <t>VmcuWMin;В;Питание MCU Нижний порог (предупреждение) напряжения</t>
  </si>
  <si>
    <t>VmcuCMin;В;Питание MCU Нижний порог (отказ) напряжения</t>
  </si>
  <si>
    <t>nominal</t>
  </si>
  <si>
    <t>VmsaCMax</t>
  </si>
  <si>
    <t>Vmsa Maximum Limit (Critical) of voltage</t>
  </si>
  <si>
    <t>VmsaWMax</t>
  </si>
  <si>
    <t>Vmsa Maximum Limit (Warning) of voltage</t>
  </si>
  <si>
    <t>VmsaWMin</t>
  </si>
  <si>
    <t>Vmsa Minimum Limit (Warning) of voltage</t>
  </si>
  <si>
    <t>VmsaCMin</t>
  </si>
  <si>
    <t>Vmsa Minimum Limit (Critical) of voltage</t>
  </si>
  <si>
    <t>VmsaCMax;В;Питание MSA Верхний порог (отказ) напряжения</t>
  </si>
  <si>
    <t>VmsaWMax;В;Питание MSA Верхний порог (предупреждение) напряжения</t>
  </si>
  <si>
    <t>VmsaWMin;В;Питание MSA Нижний порог (предупреждение) напряжения</t>
  </si>
  <si>
    <t>VmsaCMin;В;Питание MSA Нижний порог (отказ) напряжения</t>
  </si>
  <si>
    <t>Battery</t>
  </si>
  <si>
    <t>Батарейка</t>
  </si>
  <si>
    <t>VbatCMax</t>
  </si>
  <si>
    <t>Battery Maximum Limit (Critical) of voltage</t>
  </si>
  <si>
    <t>VbatWMax</t>
  </si>
  <si>
    <t>Battery Maximum Limit (Warning) of voltage</t>
  </si>
  <si>
    <t>VbatWMin</t>
  </si>
  <si>
    <t>Battery Minimum Limit (Warning) of voltage</t>
  </si>
  <si>
    <t>VbatCMin</t>
  </si>
  <si>
    <t>Battery Minimum Limit (Critical) of voltage</t>
  </si>
  <si>
    <t>VbatCMax;В;Батарейка Верхний порог (отказ) напряжения</t>
  </si>
  <si>
    <t>VbatWMax;В;Батарейка Верхний порог (предупреждение) напряжения</t>
  </si>
  <si>
    <t>VbatWMin;В;Батарейка Нижний порог (предупреждение) напряжения</t>
  </si>
  <si>
    <t>VbatCMin;В;Батарейка Нижний порог (отказ) напряжения</t>
  </si>
  <si>
    <t>Vmcu;Vmcu;VmcuCMax|VmcuWMax|VmcuWMin|VmcuCMin;7|5|3|5|7</t>
  </si>
  <si>
    <t>Vmsa;Vmsa;VmsaCMax|VmsaWMax|VmsaWMin|VmsaCMin;7|5|3|5|7</t>
  </si>
  <si>
    <t>Vbat;Vbat;VbatCMax|VbatWMax|VbatWMin|VbatCMin;7|5|3|5|7</t>
  </si>
  <si>
    <t>Кол-во LINE-интерфейсов</t>
  </si>
  <si>
    <t>Кол-во CLIENT-интерфейсов</t>
  </si>
  <si>
    <t>Генерация профиля</t>
  </si>
  <si>
    <t>L</t>
  </si>
  <si>
    <t>C</t>
  </si>
  <si>
    <t>CPU indication</t>
  </si>
  <si>
    <t>Alarm state indication</t>
  </si>
  <si>
    <t>Led1State;;Питание</t>
  </si>
  <si>
    <t>Led2State;;Состояние CPU</t>
  </si>
  <si>
    <t>Led3State;;Индикация аварии</t>
  </si>
  <si>
    <t>CU-21</t>
  </si>
  <si>
    <t>3.0;CU-21;CU;2;5</t>
  </si>
  <si>
    <t>1.0;CU-21;1</t>
  </si>
  <si>
    <t>3.0;CU3;CUC;2;500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</si>
</sst>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4" fillId="2" borderId="0" xfId="0" applyFont="1" applyFill="1"/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14" fontId="2" fillId="4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0" fillId="5" borderId="0" xfId="0" applyFill="1" applyAlignment="1"/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0" fillId="5" borderId="0" xfId="0" applyFill="1"/>
    <xf numFmtId="0" fontId="4" fillId="0" borderId="0" xfId="0" applyFont="1" applyFill="1"/>
    <xf numFmtId="0" fontId="4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Alignment="1">
      <alignment horizontal="left"/>
    </xf>
    <xf numFmtId="0" fontId="2" fillId="0" borderId="0" xfId="0" applyFont="1"/>
    <xf numFmtId="0" fontId="2" fillId="0" borderId="0" xfId="0" applyFont="1" applyFill="1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0" fontId="0" fillId="5" borderId="1" xfId="0" applyFill="1" applyBorder="1"/>
    <xf numFmtId="0" fontId="0" fillId="6" borderId="0" xfId="0" applyFill="1"/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7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/>
    <xf numFmtId="2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C516D2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</xdr:row>
          <xdr:rowOff>68580</xdr:rowOff>
        </xdr:from>
        <xdr:to>
          <xdr:col>8</xdr:col>
          <xdr:colOff>1188720</xdr:colOff>
          <xdr:row>1</xdr:row>
          <xdr:rowOff>335280</xdr:rowOff>
        </xdr:to>
        <xdr:sp macro="" textlink="">
          <xdr:nvSpPr>
            <xdr:cNvPr id="5121" name="GenProfile2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2</xdr:row>
          <xdr:rowOff>76200</xdr:rowOff>
        </xdr:from>
        <xdr:to>
          <xdr:col>8</xdr:col>
          <xdr:colOff>1188720</xdr:colOff>
          <xdr:row>2</xdr:row>
          <xdr:rowOff>342900</xdr:rowOff>
        </xdr:to>
        <xdr:sp macro="" textlink="">
          <xdr:nvSpPr>
            <xdr:cNvPr id="5122" name="GenProfile4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K7" sqref="K7"/>
    </sheetView>
  </sheetViews>
  <sheetFormatPr defaultRowHeight="14.4" x14ac:dyDescent="0.3"/>
  <cols>
    <col min="1" max="1" width="8.6640625" style="6" customWidth="1"/>
    <col min="2" max="2" width="8.109375" customWidth="1"/>
    <col min="3" max="3" width="12.6640625" customWidth="1"/>
    <col min="4" max="4" width="11.44140625" customWidth="1"/>
    <col min="5" max="5" width="22" customWidth="1"/>
    <col min="6" max="6" width="8.109375" customWidth="1"/>
    <col min="7" max="7" width="18.109375" customWidth="1"/>
    <col min="8" max="8" width="11.33203125" customWidth="1"/>
    <col min="9" max="9" width="23" customWidth="1"/>
    <col min="10" max="10" width="30.5546875" style="1" customWidth="1"/>
    <col min="11" max="11" width="31.33203125" customWidth="1"/>
  </cols>
  <sheetData>
    <row r="4" spans="1:12" s="2" customFormat="1" ht="15" customHeight="1" x14ac:dyDescent="0.3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3">
      <c r="A5" s="9" t="s">
        <v>22</v>
      </c>
      <c r="B5" s="10">
        <v>1</v>
      </c>
      <c r="C5" s="1" t="s">
        <v>74</v>
      </c>
      <c r="D5" s="13"/>
      <c r="E5" s="6" t="s">
        <v>26</v>
      </c>
      <c r="F5" s="1">
        <v>1024</v>
      </c>
      <c r="G5" s="6" t="s">
        <v>75</v>
      </c>
      <c r="H5" s="6" t="s">
        <v>28</v>
      </c>
      <c r="I5" s="40" t="s">
        <v>18</v>
      </c>
      <c r="J5" s="6" t="s">
        <v>76</v>
      </c>
      <c r="K5" s="6" t="s">
        <v>76</v>
      </c>
      <c r="L5" s="12"/>
    </row>
    <row r="6" spans="1:12" x14ac:dyDescent="0.3">
      <c r="A6" s="6" t="s">
        <v>22</v>
      </c>
      <c r="B6" s="1">
        <v>1</v>
      </c>
      <c r="C6" s="1" t="s">
        <v>77</v>
      </c>
      <c r="E6" s="6" t="s">
        <v>15</v>
      </c>
      <c r="F6" s="1">
        <v>1024</v>
      </c>
      <c r="G6" s="6" t="s">
        <v>75</v>
      </c>
      <c r="H6" s="6" t="s">
        <v>28</v>
      </c>
      <c r="I6" s="6" t="s">
        <v>385</v>
      </c>
      <c r="J6" s="33" t="s">
        <v>541</v>
      </c>
      <c r="K6" s="33" t="s">
        <v>542</v>
      </c>
    </row>
    <row r="7" spans="1:12" s="10" customFormat="1" ht="15" customHeight="1" x14ac:dyDescent="0.3">
      <c r="A7" s="9"/>
      <c r="C7" s="11"/>
      <c r="D7" s="13"/>
      <c r="E7" s="12"/>
      <c r="F7" s="12"/>
      <c r="G7" s="12"/>
      <c r="H7" s="12"/>
      <c r="I7" s="12"/>
      <c r="J7" s="12"/>
      <c r="K7" s="13"/>
      <c r="L7" s="12"/>
    </row>
    <row r="8" spans="1:12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40"/>
  <sheetViews>
    <sheetView workbookViewId="0">
      <selection activeCell="D31" sqref="D31"/>
    </sheetView>
  </sheetViews>
  <sheetFormatPr defaultRowHeight="14.4" x14ac:dyDescent="0.3"/>
  <cols>
    <col min="1" max="1" width="7.5546875" customWidth="1"/>
    <col min="2" max="2" width="6.44140625" customWidth="1"/>
    <col min="3" max="3" width="5.33203125" customWidth="1"/>
    <col min="4" max="4" width="16.109375" customWidth="1"/>
    <col min="5" max="5" width="40.6640625" customWidth="1"/>
    <col min="6" max="6" width="33.88671875" customWidth="1"/>
    <col min="8" max="8" width="19.6640625" customWidth="1"/>
    <col min="9" max="9" width="10.6640625" customWidth="1"/>
    <col min="10" max="10" width="13.109375" style="77" customWidth="1"/>
    <col min="11" max="11" width="7.5546875" style="1" customWidth="1"/>
    <col min="12" max="12" width="25.33203125" customWidth="1"/>
    <col min="13" max="13" width="15.44140625" customWidth="1"/>
    <col min="14" max="14" width="33.6640625" customWidth="1"/>
  </cols>
  <sheetData>
    <row r="1" spans="1:15" x14ac:dyDescent="0.3">
      <c r="A1" s="6"/>
      <c r="L1" s="1"/>
    </row>
    <row r="2" spans="1:15" x14ac:dyDescent="0.3">
      <c r="A2" s="6"/>
      <c r="L2" s="1"/>
    </row>
    <row r="3" spans="1:15" x14ac:dyDescent="0.3">
      <c r="A3" s="6"/>
      <c r="L3" s="1"/>
    </row>
    <row r="4" spans="1:15" s="2" customFormat="1" ht="15" customHeight="1" x14ac:dyDescent="0.3">
      <c r="A4" s="7"/>
      <c r="B4" s="2" t="s">
        <v>14</v>
      </c>
      <c r="C4" s="2" t="s">
        <v>30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21" customFormat="1" x14ac:dyDescent="0.3">
      <c r="A5" s="21" t="s">
        <v>22</v>
      </c>
      <c r="B5" s="22">
        <v>1</v>
      </c>
      <c r="C5" s="22">
        <v>0</v>
      </c>
      <c r="D5" s="21" t="s">
        <v>78</v>
      </c>
      <c r="F5" s="21" t="s">
        <v>26</v>
      </c>
      <c r="G5" s="22">
        <v>1024</v>
      </c>
      <c r="H5" s="21" t="s">
        <v>32</v>
      </c>
      <c r="I5" s="22" t="s">
        <v>28</v>
      </c>
      <c r="J5" s="22" t="s">
        <v>18</v>
      </c>
      <c r="K5" s="22"/>
      <c r="L5" s="21" t="s">
        <v>79</v>
      </c>
      <c r="N5" s="21" t="s">
        <v>79</v>
      </c>
    </row>
    <row r="6" spans="1:15" x14ac:dyDescent="0.3">
      <c r="A6" s="70" t="s">
        <v>22</v>
      </c>
      <c r="B6" s="71">
        <v>1</v>
      </c>
      <c r="C6" s="71">
        <v>1</v>
      </c>
      <c r="D6" s="70" t="s">
        <v>80</v>
      </c>
      <c r="E6" s="70" t="s">
        <v>81</v>
      </c>
      <c r="F6" s="70" t="s">
        <v>15</v>
      </c>
      <c r="G6" s="71">
        <v>1024</v>
      </c>
      <c r="H6" s="70" t="s">
        <v>32</v>
      </c>
      <c r="I6" s="71" t="s">
        <v>28</v>
      </c>
      <c r="J6" s="77" t="s">
        <v>385</v>
      </c>
      <c r="L6" s="6">
        <v>2</v>
      </c>
      <c r="M6" s="1">
        <v>16</v>
      </c>
      <c r="N6" t="s">
        <v>82</v>
      </c>
    </row>
    <row r="7" spans="1:15" x14ac:dyDescent="0.3">
      <c r="A7" s="70" t="s">
        <v>22</v>
      </c>
      <c r="B7" s="71">
        <v>1</v>
      </c>
      <c r="C7" s="71">
        <v>2</v>
      </c>
      <c r="D7" s="70" t="s">
        <v>83</v>
      </c>
      <c r="E7" s="70" t="s">
        <v>84</v>
      </c>
      <c r="F7" s="70" t="s">
        <v>15</v>
      </c>
      <c r="G7" s="71">
        <v>1024</v>
      </c>
      <c r="H7" s="70" t="s">
        <v>32</v>
      </c>
      <c r="I7" s="71" t="s">
        <v>28</v>
      </c>
      <c r="J7" s="77" t="s">
        <v>385</v>
      </c>
      <c r="L7" t="s">
        <v>85</v>
      </c>
      <c r="M7" s="1">
        <v>16</v>
      </c>
      <c r="N7" t="s">
        <v>86</v>
      </c>
    </row>
    <row r="8" spans="1:15" x14ac:dyDescent="0.3">
      <c r="A8" s="70" t="s">
        <v>22</v>
      </c>
      <c r="B8" s="71">
        <v>1</v>
      </c>
      <c r="C8" s="71">
        <v>3</v>
      </c>
      <c r="D8" s="70" t="s">
        <v>90</v>
      </c>
      <c r="E8" s="70" t="s">
        <v>91</v>
      </c>
      <c r="F8" s="70" t="s">
        <v>15</v>
      </c>
      <c r="G8" s="71">
        <v>1024</v>
      </c>
      <c r="H8" s="70" t="s">
        <v>32</v>
      </c>
      <c r="I8" s="71" t="s">
        <v>28</v>
      </c>
      <c r="J8" s="77" t="s">
        <v>385</v>
      </c>
      <c r="L8" s="35">
        <v>41129</v>
      </c>
      <c r="M8" s="1">
        <v>32</v>
      </c>
      <c r="N8" t="s">
        <v>92</v>
      </c>
    </row>
    <row r="9" spans="1:15" x14ac:dyDescent="0.3">
      <c r="A9" s="70" t="s">
        <v>22</v>
      </c>
      <c r="B9" s="71">
        <v>1</v>
      </c>
      <c r="C9" s="71">
        <v>4</v>
      </c>
      <c r="D9" s="70" t="s">
        <v>87</v>
      </c>
      <c r="E9" s="70" t="s">
        <v>88</v>
      </c>
      <c r="F9" s="70" t="s">
        <v>33</v>
      </c>
      <c r="G9" s="71">
        <v>1024</v>
      </c>
      <c r="H9" s="70" t="s">
        <v>32</v>
      </c>
      <c r="I9" s="71" t="s">
        <v>28</v>
      </c>
      <c r="J9" s="77" t="s">
        <v>385</v>
      </c>
      <c r="L9" s="6">
        <v>0</v>
      </c>
      <c r="M9" s="1">
        <v>64</v>
      </c>
      <c r="N9" t="s">
        <v>89</v>
      </c>
    </row>
    <row r="10" spans="1:15" x14ac:dyDescent="0.3">
      <c r="A10" s="70" t="s">
        <v>22</v>
      </c>
      <c r="B10" s="71">
        <v>1</v>
      </c>
      <c r="C10" s="71">
        <v>5</v>
      </c>
      <c r="D10" s="70" t="s">
        <v>93</v>
      </c>
      <c r="E10" s="70" t="s">
        <v>94</v>
      </c>
      <c r="F10" s="70" t="s">
        <v>33</v>
      </c>
      <c r="G10" s="71">
        <v>1024</v>
      </c>
      <c r="H10" s="70" t="s">
        <v>32</v>
      </c>
      <c r="I10" s="71" t="s">
        <v>28</v>
      </c>
      <c r="J10" s="77" t="s">
        <v>385</v>
      </c>
      <c r="L10" s="34" t="s">
        <v>540</v>
      </c>
      <c r="M10" s="1">
        <v>64</v>
      </c>
      <c r="N10" t="s">
        <v>95</v>
      </c>
    </row>
    <row r="11" spans="1:15" x14ac:dyDescent="0.3">
      <c r="A11" s="70" t="s">
        <v>22</v>
      </c>
      <c r="B11" s="71">
        <v>1</v>
      </c>
      <c r="C11" s="71">
        <v>7</v>
      </c>
      <c r="D11" s="70" t="s">
        <v>96</v>
      </c>
      <c r="E11" s="70" t="s">
        <v>96</v>
      </c>
      <c r="F11" s="70" t="s">
        <v>25</v>
      </c>
      <c r="G11" s="71">
        <v>1024</v>
      </c>
      <c r="H11" s="70" t="s">
        <v>32</v>
      </c>
      <c r="I11" s="71" t="s">
        <v>28</v>
      </c>
      <c r="J11" s="77" t="s">
        <v>385</v>
      </c>
      <c r="L11" t="s">
        <v>96</v>
      </c>
      <c r="M11" s="1">
        <v>32</v>
      </c>
      <c r="N11" t="s">
        <v>97</v>
      </c>
    </row>
    <row r="12" spans="1:15" x14ac:dyDescent="0.3">
      <c r="A12" s="70" t="s">
        <v>22</v>
      </c>
      <c r="B12" s="71">
        <v>1</v>
      </c>
      <c r="C12" s="71">
        <v>8</v>
      </c>
      <c r="D12" s="70" t="s">
        <v>98</v>
      </c>
      <c r="E12" s="70" t="s">
        <v>98</v>
      </c>
      <c r="F12" s="70" t="s">
        <v>25</v>
      </c>
      <c r="G12" s="71">
        <v>1024</v>
      </c>
      <c r="H12" s="70" t="s">
        <v>32</v>
      </c>
      <c r="I12" s="71" t="s">
        <v>28</v>
      </c>
      <c r="J12" s="77" t="s">
        <v>385</v>
      </c>
      <c r="L12" t="s">
        <v>98</v>
      </c>
      <c r="M12" s="1">
        <v>32</v>
      </c>
      <c r="N12" t="s">
        <v>99</v>
      </c>
    </row>
    <row r="13" spans="1:15" x14ac:dyDescent="0.3">
      <c r="A13" t="s">
        <v>22</v>
      </c>
      <c r="B13" s="60">
        <v>1</v>
      </c>
      <c r="C13" s="37">
        <v>0</v>
      </c>
      <c r="D13" s="21" t="s">
        <v>359</v>
      </c>
      <c r="E13" s="21" t="s">
        <v>360</v>
      </c>
      <c r="F13" s="38" t="s">
        <v>33</v>
      </c>
      <c r="G13" s="22">
        <v>1024</v>
      </c>
      <c r="H13" s="21" t="s">
        <v>32</v>
      </c>
      <c r="I13" s="22" t="s">
        <v>28</v>
      </c>
      <c r="J13" s="22" t="s">
        <v>18</v>
      </c>
      <c r="M13" s="22">
        <v>11</v>
      </c>
      <c r="N13" s="21" t="s">
        <v>364</v>
      </c>
    </row>
    <row r="14" spans="1:15" x14ac:dyDescent="0.3">
      <c r="A14" t="s">
        <v>22</v>
      </c>
      <c r="B14" s="60">
        <v>1</v>
      </c>
      <c r="C14" s="37">
        <v>1</v>
      </c>
      <c r="D14" s="21" t="s">
        <v>361</v>
      </c>
      <c r="E14" s="21" t="s">
        <v>362</v>
      </c>
      <c r="F14" s="38" t="s">
        <v>33</v>
      </c>
      <c r="G14" s="22">
        <v>1024</v>
      </c>
      <c r="H14" s="21" t="s">
        <v>32</v>
      </c>
      <c r="I14" s="22" t="s">
        <v>28</v>
      </c>
      <c r="J14" s="22" t="s">
        <v>18</v>
      </c>
      <c r="M14" s="22">
        <v>9</v>
      </c>
      <c r="N14" s="21" t="s">
        <v>363</v>
      </c>
    </row>
    <row r="15" spans="1:15" x14ac:dyDescent="0.3">
      <c r="A15" t="s">
        <v>22</v>
      </c>
      <c r="B15" s="73">
        <v>1</v>
      </c>
      <c r="C15" s="37">
        <v>2</v>
      </c>
      <c r="D15" s="70" t="s">
        <v>405</v>
      </c>
      <c r="E15" s="70" t="s">
        <v>406</v>
      </c>
      <c r="F15" s="70" t="s">
        <v>34</v>
      </c>
      <c r="G15" s="22">
        <v>1024</v>
      </c>
      <c r="H15" s="21" t="s">
        <v>32</v>
      </c>
      <c r="I15" s="22" t="s">
        <v>28</v>
      </c>
      <c r="J15" s="22" t="s">
        <v>18</v>
      </c>
      <c r="K15" s="73"/>
      <c r="M15" s="22"/>
      <c r="N15" s="21" t="s">
        <v>407</v>
      </c>
    </row>
    <row r="16" spans="1:15" x14ac:dyDescent="0.3">
      <c r="A16" t="s">
        <v>22</v>
      </c>
      <c r="B16" s="62">
        <v>1</v>
      </c>
      <c r="C16" s="37">
        <v>3</v>
      </c>
      <c r="D16" s="21" t="s">
        <v>379</v>
      </c>
      <c r="E16" s="21" t="s">
        <v>381</v>
      </c>
      <c r="F16" t="s">
        <v>34</v>
      </c>
      <c r="G16" s="22">
        <v>1024</v>
      </c>
      <c r="H16" s="21" t="s">
        <v>32</v>
      </c>
      <c r="I16" s="22" t="s">
        <v>28</v>
      </c>
      <c r="J16" s="22" t="s">
        <v>18</v>
      </c>
      <c r="K16" s="62"/>
      <c r="M16" s="22">
        <v>55</v>
      </c>
      <c r="N16" s="21" t="s">
        <v>382</v>
      </c>
    </row>
    <row r="17" spans="1:17" x14ac:dyDescent="0.3">
      <c r="A17" t="s">
        <v>22</v>
      </c>
      <c r="B17" s="61">
        <v>1</v>
      </c>
      <c r="C17" s="61">
        <v>10</v>
      </c>
      <c r="D17" t="s">
        <v>368</v>
      </c>
      <c r="E17" t="s">
        <v>370</v>
      </c>
      <c r="F17" t="s">
        <v>34</v>
      </c>
      <c r="G17" s="22">
        <v>1024</v>
      </c>
      <c r="H17" s="21" t="s">
        <v>32</v>
      </c>
      <c r="I17" s="61" t="s">
        <v>56</v>
      </c>
      <c r="J17" s="22" t="s">
        <v>18</v>
      </c>
      <c r="K17" s="61"/>
      <c r="N17" t="s">
        <v>369</v>
      </c>
    </row>
    <row r="18" spans="1:17" x14ac:dyDescent="0.3">
      <c r="A18" t="s">
        <v>22</v>
      </c>
      <c r="B18" s="61">
        <v>1</v>
      </c>
      <c r="C18" s="61">
        <v>1</v>
      </c>
      <c r="D18" t="s">
        <v>372</v>
      </c>
      <c r="E18" t="s">
        <v>371</v>
      </c>
      <c r="F18" s="38" t="s">
        <v>367</v>
      </c>
      <c r="G18" s="22">
        <v>1024</v>
      </c>
      <c r="H18" s="21" t="s">
        <v>32</v>
      </c>
      <c r="I18" s="61" t="s">
        <v>36</v>
      </c>
      <c r="J18" s="22" t="s">
        <v>18</v>
      </c>
      <c r="K18" s="61"/>
      <c r="N18" t="s">
        <v>373</v>
      </c>
    </row>
    <row r="19" spans="1:17" x14ac:dyDescent="0.3">
      <c r="A19" t="s">
        <v>22</v>
      </c>
      <c r="B19" s="60">
        <v>1</v>
      </c>
      <c r="C19" s="37">
        <v>2</v>
      </c>
      <c r="D19" s="21" t="s">
        <v>374</v>
      </c>
      <c r="E19" s="21" t="s">
        <v>375</v>
      </c>
      <c r="F19" s="38" t="s">
        <v>367</v>
      </c>
      <c r="G19" s="22">
        <v>1024</v>
      </c>
      <c r="H19" s="21" t="s">
        <v>32</v>
      </c>
      <c r="I19" s="22" t="s">
        <v>28</v>
      </c>
      <c r="J19" s="22" t="s">
        <v>18</v>
      </c>
      <c r="L19" s="6"/>
      <c r="M19" s="22">
        <v>96</v>
      </c>
      <c r="N19" s="21" t="s">
        <v>376</v>
      </c>
    </row>
    <row r="20" spans="1:17" s="21" customFormat="1" x14ac:dyDescent="0.3">
      <c r="A20" s="21" t="s">
        <v>22</v>
      </c>
      <c r="B20" s="37" t="s">
        <v>533</v>
      </c>
      <c r="C20" s="37">
        <v>11</v>
      </c>
      <c r="D20" s="21" t="s">
        <v>129</v>
      </c>
      <c r="E20" s="21" t="s">
        <v>130</v>
      </c>
      <c r="F20" s="21" t="s">
        <v>131</v>
      </c>
      <c r="G20" s="22">
        <v>1024</v>
      </c>
      <c r="H20" s="21" t="s">
        <v>32</v>
      </c>
      <c r="I20" s="22" t="s">
        <v>28</v>
      </c>
      <c r="J20" s="22" t="s">
        <v>18</v>
      </c>
      <c r="K20" s="22"/>
      <c r="M20" s="22">
        <v>17</v>
      </c>
      <c r="N20" s="21" t="s">
        <v>354</v>
      </c>
    </row>
    <row r="21" spans="1:17" s="21" customFormat="1" x14ac:dyDescent="0.3">
      <c r="A21" s="21" t="s">
        <v>22</v>
      </c>
      <c r="C21" s="37">
        <v>11</v>
      </c>
      <c r="D21" s="21" t="s">
        <v>132</v>
      </c>
      <c r="E21" s="21" t="s">
        <v>134</v>
      </c>
      <c r="F21" s="21" t="s">
        <v>131</v>
      </c>
      <c r="G21" s="22">
        <v>1024</v>
      </c>
      <c r="H21" s="21" t="s">
        <v>32</v>
      </c>
      <c r="I21" s="22" t="s">
        <v>28</v>
      </c>
      <c r="J21" s="22" t="s">
        <v>18</v>
      </c>
      <c r="K21" s="22"/>
      <c r="M21" s="22">
        <v>17</v>
      </c>
      <c r="N21" s="21" t="s">
        <v>355</v>
      </c>
    </row>
    <row r="22" spans="1:17" s="21" customFormat="1" x14ac:dyDescent="0.3">
      <c r="A22" s="21" t="s">
        <v>22</v>
      </c>
      <c r="C22" s="37">
        <v>11</v>
      </c>
      <c r="D22" s="21" t="s">
        <v>135</v>
      </c>
      <c r="E22" s="21" t="s">
        <v>133</v>
      </c>
      <c r="F22" s="21" t="s">
        <v>131</v>
      </c>
      <c r="G22" s="22">
        <v>1024</v>
      </c>
      <c r="H22" s="21" t="s">
        <v>32</v>
      </c>
      <c r="I22" s="22" t="s">
        <v>28</v>
      </c>
      <c r="J22" s="22" t="s">
        <v>18</v>
      </c>
      <c r="K22" s="22"/>
      <c r="M22" s="22">
        <v>17</v>
      </c>
      <c r="N22" s="21" t="s">
        <v>357</v>
      </c>
    </row>
    <row r="23" spans="1:17" s="37" customFormat="1" ht="15" customHeight="1" x14ac:dyDescent="0.3">
      <c r="A23" s="32" t="s">
        <v>22</v>
      </c>
      <c r="C23" s="37">
        <v>11</v>
      </c>
      <c r="D23" s="11" t="s">
        <v>128</v>
      </c>
      <c r="E23" s="38" t="s">
        <v>126</v>
      </c>
      <c r="F23" s="21" t="s">
        <v>15</v>
      </c>
      <c r="G23" s="22">
        <v>1024</v>
      </c>
      <c r="H23" s="21" t="s">
        <v>32</v>
      </c>
      <c r="I23" s="73" t="s">
        <v>56</v>
      </c>
      <c r="J23" s="22" t="s">
        <v>18</v>
      </c>
      <c r="K23" s="22" t="s">
        <v>127</v>
      </c>
      <c r="L23" s="22"/>
      <c r="M23" s="39"/>
      <c r="N23" s="21" t="s">
        <v>356</v>
      </c>
      <c r="O23" s="22"/>
      <c r="P23" s="38"/>
      <c r="Q23" s="39"/>
    </row>
    <row r="24" spans="1:17" s="37" customFormat="1" ht="15" customHeight="1" x14ac:dyDescent="0.3">
      <c r="A24" s="32" t="s">
        <v>22</v>
      </c>
      <c r="C24" s="37">
        <v>11</v>
      </c>
      <c r="D24" s="11" t="s">
        <v>454</v>
      </c>
      <c r="E24" s="38" t="s">
        <v>456</v>
      </c>
      <c r="F24" s="21" t="s">
        <v>131</v>
      </c>
      <c r="G24" s="22">
        <v>1024</v>
      </c>
      <c r="H24" s="21" t="s">
        <v>32</v>
      </c>
      <c r="I24" s="77" t="s">
        <v>391</v>
      </c>
      <c r="J24" s="22" t="s">
        <v>18</v>
      </c>
      <c r="K24" s="22"/>
      <c r="L24" s="22"/>
      <c r="M24" s="39"/>
      <c r="N24" s="21" t="s">
        <v>455</v>
      </c>
      <c r="O24" s="22"/>
      <c r="P24" s="38"/>
      <c r="Q24" s="39"/>
    </row>
    <row r="25" spans="1:17" s="21" customFormat="1" x14ac:dyDescent="0.3">
      <c r="B25" s="22"/>
      <c r="C25" s="22"/>
      <c r="G25" s="22"/>
      <c r="I25" s="22"/>
      <c r="J25" s="22"/>
      <c r="K25" s="22"/>
      <c r="L25" s="40"/>
      <c r="M25" s="22"/>
    </row>
    <row r="28" spans="1:17" s="37" customFormat="1" ht="15" customHeight="1" x14ac:dyDescent="0.3">
      <c r="A28" s="32"/>
      <c r="D28" s="11"/>
      <c r="E28" s="38"/>
      <c r="F28" s="38"/>
      <c r="G28" s="22"/>
      <c r="H28" s="21"/>
      <c r="I28" s="22"/>
      <c r="J28" s="22"/>
      <c r="K28" s="39"/>
      <c r="L28" s="38"/>
      <c r="M28" s="22"/>
      <c r="N28" s="38"/>
      <c r="O28" s="39"/>
    </row>
    <row r="29" spans="1:17" s="21" customFormat="1" ht="15" customHeight="1" x14ac:dyDescent="0.3">
      <c r="B29" s="22"/>
      <c r="C29" s="22"/>
      <c r="G29" s="22"/>
      <c r="H29" s="40"/>
      <c r="I29" s="22"/>
      <c r="J29" s="22"/>
      <c r="M29" s="22"/>
    </row>
    <row r="30" spans="1:17" s="32" customFormat="1" x14ac:dyDescent="0.3">
      <c r="C30" s="37"/>
      <c r="G30" s="37"/>
      <c r="I30" s="37"/>
      <c r="J30" s="37"/>
      <c r="K30" s="37"/>
      <c r="N30" s="21"/>
    </row>
    <row r="33" spans="2:11" x14ac:dyDescent="0.3">
      <c r="B33" s="61"/>
      <c r="C33" s="61"/>
      <c r="G33" s="22"/>
      <c r="H33" s="21"/>
      <c r="I33" s="61"/>
      <c r="J33" s="22"/>
      <c r="K33" s="61"/>
    </row>
    <row r="34" spans="2:11" x14ac:dyDescent="0.3">
      <c r="B34" s="61"/>
      <c r="C34" s="61"/>
      <c r="G34" s="22"/>
      <c r="H34" s="21"/>
      <c r="I34" s="61"/>
      <c r="J34" s="22"/>
      <c r="K34" s="61"/>
    </row>
    <row r="35" spans="2:11" x14ac:dyDescent="0.3">
      <c r="B35" s="61"/>
      <c r="C35" s="61"/>
      <c r="G35" s="22"/>
      <c r="H35" s="21"/>
      <c r="I35" s="61"/>
      <c r="J35" s="22"/>
      <c r="K35" s="61"/>
    </row>
    <row r="36" spans="2:11" x14ac:dyDescent="0.3">
      <c r="B36" s="61"/>
      <c r="C36" s="61"/>
      <c r="G36" s="22"/>
      <c r="H36" s="21"/>
      <c r="I36" s="61"/>
      <c r="J36" s="22"/>
      <c r="K36" s="61"/>
    </row>
    <row r="37" spans="2:11" x14ac:dyDescent="0.3">
      <c r="B37" s="61"/>
      <c r="C37" s="61"/>
      <c r="G37" s="22"/>
      <c r="H37" s="21"/>
      <c r="I37" s="61"/>
      <c r="J37" s="22"/>
      <c r="K37" s="61"/>
    </row>
    <row r="38" spans="2:11" x14ac:dyDescent="0.3">
      <c r="B38" s="61"/>
      <c r="C38" s="61"/>
      <c r="G38" s="22"/>
      <c r="H38" s="21"/>
      <c r="I38" s="61"/>
      <c r="J38" s="22"/>
      <c r="K38" s="61"/>
    </row>
    <row r="39" spans="2:11" x14ac:dyDescent="0.3">
      <c r="B39" s="61"/>
      <c r="C39" s="61"/>
      <c r="G39" s="22"/>
      <c r="H39" s="21"/>
      <c r="I39" s="61"/>
      <c r="J39" s="22"/>
    </row>
    <row r="40" spans="2:11" x14ac:dyDescent="0.3">
      <c r="B40" s="61"/>
      <c r="C40" s="61"/>
      <c r="G40" s="22"/>
      <c r="H40" s="21"/>
      <c r="I40" s="61"/>
      <c r="J40" s="22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V25"/>
  <sheetViews>
    <sheetView tabSelected="1" workbookViewId="0">
      <selection activeCell="D10" sqref="D10"/>
    </sheetView>
  </sheetViews>
  <sheetFormatPr defaultRowHeight="14.4" x14ac:dyDescent="0.3"/>
  <cols>
    <col min="1" max="1" width="8.6640625" style="15" customWidth="1"/>
    <col min="2" max="2" width="6.6640625" style="84" customWidth="1"/>
    <col min="3" max="3" width="4.6640625" style="21" customWidth="1"/>
    <col min="4" max="4" width="17" customWidth="1"/>
    <col min="5" max="5" width="38.6640625" customWidth="1"/>
    <col min="6" max="6" width="16.109375" customWidth="1"/>
    <col min="7" max="7" width="8" customWidth="1"/>
    <col min="8" max="8" width="21" customWidth="1"/>
    <col min="9" max="9" width="11.33203125" customWidth="1"/>
    <col min="10" max="10" width="12.5546875" customWidth="1"/>
    <col min="11" max="11" width="11.44140625" style="66" bestFit="1" customWidth="1"/>
    <col min="12" max="12" width="6.5546875" style="1" bestFit="1" customWidth="1"/>
    <col min="13" max="13" width="8.5546875" customWidth="1"/>
    <col min="14" max="15" width="9.109375" customWidth="1"/>
    <col min="16" max="16" width="5.88671875" customWidth="1"/>
    <col min="17" max="17" width="77.33203125" bestFit="1" customWidth="1"/>
  </cols>
  <sheetData>
    <row r="2" spans="1:22" x14ac:dyDescent="0.3">
      <c r="C2" s="22"/>
    </row>
    <row r="3" spans="1:22" x14ac:dyDescent="0.3">
      <c r="C3" s="22"/>
    </row>
    <row r="4" spans="1:22" s="2" customFormat="1" ht="27.6" x14ac:dyDescent="0.3">
      <c r="A4" s="31"/>
      <c r="B4" s="2" t="s">
        <v>14</v>
      </c>
      <c r="C4" s="23" t="s">
        <v>30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0" customFormat="1" ht="15" customHeight="1" x14ac:dyDescent="0.3">
      <c r="A5" s="9" t="s">
        <v>22</v>
      </c>
      <c r="B5" s="10">
        <v>1</v>
      </c>
      <c r="C5" s="22">
        <v>0</v>
      </c>
      <c r="D5" s="6" t="s">
        <v>100</v>
      </c>
      <c r="E5" s="13"/>
      <c r="F5" s="6" t="s">
        <v>26</v>
      </c>
      <c r="G5" s="1">
        <v>1024</v>
      </c>
      <c r="H5" s="15" t="s">
        <v>16</v>
      </c>
      <c r="I5" s="1" t="s">
        <v>28</v>
      </c>
      <c r="J5" s="12"/>
      <c r="K5" s="22" t="s">
        <v>18</v>
      </c>
      <c r="L5" s="1" t="s">
        <v>101</v>
      </c>
      <c r="M5" s="12"/>
      <c r="N5" s="12"/>
      <c r="O5" s="12"/>
      <c r="P5" s="12"/>
      <c r="Q5" s="6" t="s">
        <v>101</v>
      </c>
      <c r="R5" s="12"/>
    </row>
    <row r="6" spans="1:22" x14ac:dyDescent="0.3">
      <c r="A6" s="6" t="s">
        <v>22</v>
      </c>
      <c r="B6" s="84">
        <v>1</v>
      </c>
      <c r="C6" s="22">
        <v>3</v>
      </c>
      <c r="D6" s="6" t="s">
        <v>59</v>
      </c>
      <c r="E6" s="6" t="s">
        <v>105</v>
      </c>
      <c r="F6" s="6" t="s">
        <v>15</v>
      </c>
      <c r="G6" s="1">
        <v>1024</v>
      </c>
      <c r="H6" s="6" t="s">
        <v>16</v>
      </c>
      <c r="I6" s="1" t="s">
        <v>38</v>
      </c>
      <c r="K6" s="66" t="s">
        <v>18</v>
      </c>
      <c r="O6" s="1">
        <v>0</v>
      </c>
      <c r="Q6" s="6" t="s">
        <v>106</v>
      </c>
    </row>
    <row r="7" spans="1:22" ht="15" customHeight="1" x14ac:dyDescent="0.3">
      <c r="A7" s="6" t="s">
        <v>22</v>
      </c>
      <c r="B7" s="84">
        <v>1</v>
      </c>
      <c r="C7" s="22">
        <v>4</v>
      </c>
      <c r="D7" s="6" t="s">
        <v>60</v>
      </c>
      <c r="E7" s="6" t="s">
        <v>107</v>
      </c>
      <c r="F7" s="6" t="s">
        <v>15</v>
      </c>
      <c r="G7" s="1">
        <v>1024</v>
      </c>
      <c r="H7" s="6" t="s">
        <v>16</v>
      </c>
      <c r="I7" s="1" t="s">
        <v>38</v>
      </c>
      <c r="K7" s="66" t="s">
        <v>18</v>
      </c>
      <c r="N7" s="1">
        <v>0</v>
      </c>
      <c r="Q7" s="6" t="s">
        <v>108</v>
      </c>
    </row>
    <row r="8" spans="1:22" x14ac:dyDescent="0.3">
      <c r="A8" s="6" t="s">
        <v>22</v>
      </c>
      <c r="B8" s="84">
        <v>1</v>
      </c>
      <c r="C8" s="22">
        <v>5</v>
      </c>
      <c r="D8" s="6" t="s">
        <v>109</v>
      </c>
      <c r="E8" s="6" t="s">
        <v>110</v>
      </c>
      <c r="F8" s="6" t="s">
        <v>15</v>
      </c>
      <c r="G8" s="1">
        <v>1024</v>
      </c>
      <c r="H8" s="6" t="s">
        <v>16</v>
      </c>
      <c r="I8" s="36" t="s">
        <v>42</v>
      </c>
      <c r="K8" s="66" t="s">
        <v>18</v>
      </c>
      <c r="N8" s="1">
        <v>0</v>
      </c>
      <c r="O8" s="1">
        <v>0</v>
      </c>
      <c r="Q8" s="6" t="s">
        <v>111</v>
      </c>
    </row>
    <row r="9" spans="1:22" s="10" customFormat="1" ht="15" customHeight="1" x14ac:dyDescent="0.3">
      <c r="A9" s="9" t="s">
        <v>22</v>
      </c>
      <c r="B9" s="10">
        <v>1</v>
      </c>
      <c r="C9" s="22">
        <v>1</v>
      </c>
      <c r="D9" s="6" t="s">
        <v>112</v>
      </c>
      <c r="E9" s="13" t="s">
        <v>365</v>
      </c>
      <c r="F9" s="6" t="s">
        <v>15</v>
      </c>
      <c r="G9" s="63">
        <v>1024</v>
      </c>
      <c r="H9" s="15" t="s">
        <v>16</v>
      </c>
      <c r="I9" s="63" t="s">
        <v>56</v>
      </c>
      <c r="J9" s="12"/>
      <c r="K9" s="66" t="s">
        <v>18</v>
      </c>
      <c r="L9" s="63"/>
      <c r="M9" s="12"/>
      <c r="N9" s="12">
        <v>0</v>
      </c>
      <c r="O9" s="12">
        <v>0</v>
      </c>
      <c r="P9" s="12" t="s">
        <v>113</v>
      </c>
      <c r="Q9" s="6" t="s">
        <v>366</v>
      </c>
      <c r="R9" s="12"/>
    </row>
    <row r="10" spans="1:22" x14ac:dyDescent="0.3">
      <c r="A10" s="6" t="s">
        <v>22</v>
      </c>
      <c r="B10" s="84">
        <v>1</v>
      </c>
      <c r="C10" s="22">
        <v>2</v>
      </c>
      <c r="D10" s="6" t="s">
        <v>102</v>
      </c>
      <c r="E10" s="6" t="s">
        <v>103</v>
      </c>
      <c r="F10" s="6" t="s">
        <v>15</v>
      </c>
      <c r="G10" s="1">
        <v>1024</v>
      </c>
      <c r="H10" s="6" t="s">
        <v>16</v>
      </c>
      <c r="I10" s="1" t="s">
        <v>17</v>
      </c>
      <c r="K10" s="78" t="s">
        <v>387</v>
      </c>
      <c r="P10" s="78" t="s">
        <v>29</v>
      </c>
      <c r="Q10" s="6" t="s">
        <v>104</v>
      </c>
    </row>
    <row r="11" spans="1:22" s="10" customFormat="1" ht="15" customHeight="1" x14ac:dyDescent="0.3">
      <c r="A11" s="9" t="s">
        <v>22</v>
      </c>
      <c r="B11" s="10">
        <v>1</v>
      </c>
      <c r="C11" s="22">
        <v>3</v>
      </c>
      <c r="D11" s="6" t="s">
        <v>481</v>
      </c>
      <c r="E11" s="13" t="s">
        <v>482</v>
      </c>
      <c r="F11" s="6" t="s">
        <v>15</v>
      </c>
      <c r="G11" s="78">
        <v>1024</v>
      </c>
      <c r="H11" s="15" t="s">
        <v>16</v>
      </c>
      <c r="I11" s="78" t="s">
        <v>17</v>
      </c>
      <c r="J11" s="12"/>
      <c r="K11" s="78" t="s">
        <v>383</v>
      </c>
      <c r="L11" s="78"/>
      <c r="M11" s="12"/>
      <c r="N11" s="12"/>
      <c r="O11" s="12"/>
      <c r="P11" s="12" t="s">
        <v>139</v>
      </c>
      <c r="Q11" s="6" t="s">
        <v>480</v>
      </c>
      <c r="R11" s="12"/>
    </row>
    <row r="12" spans="1:22" s="10" customFormat="1" ht="15" customHeight="1" x14ac:dyDescent="0.3">
      <c r="A12" s="9" t="s">
        <v>22</v>
      </c>
      <c r="B12" s="10">
        <v>1</v>
      </c>
      <c r="C12" s="22">
        <v>4</v>
      </c>
      <c r="D12" s="6" t="s">
        <v>463</v>
      </c>
      <c r="E12" s="13" t="s">
        <v>465</v>
      </c>
      <c r="F12" s="6" t="s">
        <v>15</v>
      </c>
      <c r="G12" s="63">
        <v>1024</v>
      </c>
      <c r="H12" s="15" t="s">
        <v>16</v>
      </c>
      <c r="I12" s="63" t="s">
        <v>17</v>
      </c>
      <c r="J12" s="12"/>
      <c r="K12" s="66" t="s">
        <v>383</v>
      </c>
      <c r="L12" s="63"/>
      <c r="M12" s="12"/>
      <c r="N12" s="12"/>
      <c r="O12" s="12"/>
      <c r="P12" s="12" t="s">
        <v>139</v>
      </c>
      <c r="Q12" s="6" t="s">
        <v>466</v>
      </c>
      <c r="R12" s="12"/>
    </row>
    <row r="13" spans="1:22" s="10" customFormat="1" ht="15" customHeight="1" x14ac:dyDescent="0.3">
      <c r="A13" s="9" t="s">
        <v>22</v>
      </c>
      <c r="B13" s="10">
        <v>1</v>
      </c>
      <c r="C13" s="22">
        <v>5</v>
      </c>
      <c r="D13" s="6" t="s">
        <v>484</v>
      </c>
      <c r="E13" s="13" t="s">
        <v>462</v>
      </c>
      <c r="F13" s="40" t="s">
        <v>15</v>
      </c>
      <c r="G13" s="22">
        <v>1024</v>
      </c>
      <c r="H13" s="80" t="s">
        <v>16</v>
      </c>
      <c r="I13" s="22" t="s">
        <v>17</v>
      </c>
      <c r="J13" s="39"/>
      <c r="K13" s="22" t="s">
        <v>383</v>
      </c>
      <c r="L13" s="78"/>
      <c r="M13" s="12"/>
      <c r="N13" s="12"/>
      <c r="O13" s="12"/>
      <c r="P13" s="12" t="s">
        <v>139</v>
      </c>
      <c r="Q13" s="6" t="s">
        <v>485</v>
      </c>
      <c r="R13" s="12"/>
    </row>
    <row r="14" spans="1:22" s="10" customFormat="1" ht="15" customHeight="1" x14ac:dyDescent="0.3">
      <c r="A14" s="9" t="s">
        <v>22</v>
      </c>
      <c r="B14" s="10">
        <v>1</v>
      </c>
      <c r="C14" s="22">
        <v>6</v>
      </c>
      <c r="D14" s="6" t="s">
        <v>461</v>
      </c>
      <c r="E14" s="13" t="s">
        <v>464</v>
      </c>
      <c r="F14" s="40" t="s">
        <v>15</v>
      </c>
      <c r="G14" s="22">
        <v>1024</v>
      </c>
      <c r="H14" s="80" t="s">
        <v>16</v>
      </c>
      <c r="I14" s="22" t="s">
        <v>17</v>
      </c>
      <c r="J14" s="39"/>
      <c r="K14" s="22" t="s">
        <v>383</v>
      </c>
      <c r="L14" s="78"/>
      <c r="M14" s="12"/>
      <c r="N14" s="12"/>
      <c r="O14" s="12"/>
      <c r="P14" s="12" t="s">
        <v>139</v>
      </c>
      <c r="Q14" s="6" t="s">
        <v>483</v>
      </c>
      <c r="R14" s="12"/>
    </row>
    <row r="15" spans="1:22" s="26" customFormat="1" x14ac:dyDescent="0.3">
      <c r="A15" s="69" t="s">
        <v>22</v>
      </c>
      <c r="B15" s="67" t="s">
        <v>533</v>
      </c>
      <c r="C15" s="67">
        <v>8</v>
      </c>
      <c r="D15" s="69" t="s">
        <v>408</v>
      </c>
      <c r="E15" s="69" t="s">
        <v>358</v>
      </c>
      <c r="F15" s="69" t="s">
        <v>15</v>
      </c>
      <c r="G15" s="67" t="s">
        <v>21</v>
      </c>
      <c r="H15" s="69" t="s">
        <v>16</v>
      </c>
      <c r="I15" s="67" t="s">
        <v>36</v>
      </c>
      <c r="J15" s="69"/>
      <c r="K15" s="67" t="s">
        <v>18</v>
      </c>
      <c r="L15" s="69"/>
      <c r="M15" s="69"/>
      <c r="N15" s="69"/>
      <c r="O15" s="69"/>
      <c r="P15" s="69"/>
      <c r="Q15" s="69" t="s">
        <v>409</v>
      </c>
      <c r="R15" s="69"/>
      <c r="S15" s="69"/>
      <c r="T15" s="69"/>
      <c r="U15" s="69"/>
      <c r="V15" s="69"/>
    </row>
    <row r="16" spans="1:22" s="26" customFormat="1" x14ac:dyDescent="0.3">
      <c r="A16" s="69" t="s">
        <v>22</v>
      </c>
      <c r="B16" s="67"/>
      <c r="C16" s="67">
        <v>8</v>
      </c>
      <c r="D16" s="69" t="s">
        <v>435</v>
      </c>
      <c r="E16" s="69" t="s">
        <v>141</v>
      </c>
      <c r="F16" s="68" t="s">
        <v>386</v>
      </c>
      <c r="G16" s="67" t="s">
        <v>21</v>
      </c>
      <c r="H16" s="69" t="s">
        <v>16</v>
      </c>
      <c r="I16" s="67" t="s">
        <v>17</v>
      </c>
      <c r="J16" s="69"/>
      <c r="K16" s="67" t="s">
        <v>18</v>
      </c>
      <c r="L16" s="69"/>
      <c r="M16" s="69"/>
      <c r="N16" s="69"/>
      <c r="O16" s="69"/>
      <c r="P16" s="69" t="s">
        <v>20</v>
      </c>
      <c r="Q16" s="69" t="s">
        <v>439</v>
      </c>
      <c r="R16" s="69"/>
      <c r="S16" s="69"/>
      <c r="T16" s="69"/>
      <c r="U16" s="69"/>
      <c r="V16" s="69"/>
    </row>
    <row r="17" spans="1:22" s="28" customFormat="1" ht="15" customHeight="1" x14ac:dyDescent="0.3">
      <c r="A17" s="69" t="s">
        <v>22</v>
      </c>
      <c r="B17" s="67"/>
      <c r="C17" s="67">
        <v>8</v>
      </c>
      <c r="D17" s="69" t="s">
        <v>436</v>
      </c>
      <c r="E17" s="69" t="s">
        <v>143</v>
      </c>
      <c r="F17" s="68" t="s">
        <v>386</v>
      </c>
      <c r="G17" s="67" t="s">
        <v>21</v>
      </c>
      <c r="H17" s="69" t="s">
        <v>16</v>
      </c>
      <c r="I17" s="67" t="s">
        <v>17</v>
      </c>
      <c r="J17" s="69"/>
      <c r="K17" s="67" t="s">
        <v>18</v>
      </c>
      <c r="L17" s="69"/>
      <c r="M17" s="69"/>
      <c r="N17" s="69"/>
      <c r="O17" s="69"/>
      <c r="P17" s="69" t="s">
        <v>20</v>
      </c>
      <c r="Q17" s="69" t="s">
        <v>440</v>
      </c>
      <c r="R17" s="69"/>
      <c r="S17" s="69"/>
      <c r="T17" s="69"/>
      <c r="U17" s="69"/>
      <c r="V17" s="69"/>
    </row>
    <row r="18" spans="1:22" s="26" customFormat="1" x14ac:dyDescent="0.3">
      <c r="A18" s="69" t="s">
        <v>22</v>
      </c>
      <c r="B18" s="67"/>
      <c r="C18" s="67">
        <v>8</v>
      </c>
      <c r="D18" s="69" t="s">
        <v>444</v>
      </c>
      <c r="E18" s="69" t="s">
        <v>137</v>
      </c>
      <c r="F18" s="68" t="s">
        <v>386</v>
      </c>
      <c r="G18" s="67" t="s">
        <v>21</v>
      </c>
      <c r="H18" s="69" t="s">
        <v>16</v>
      </c>
      <c r="I18" s="67" t="s">
        <v>56</v>
      </c>
      <c r="J18" s="69"/>
      <c r="K18" s="67" t="s">
        <v>18</v>
      </c>
      <c r="L18" s="69"/>
      <c r="M18" s="69"/>
      <c r="N18" s="69"/>
      <c r="O18" s="69"/>
      <c r="P18" s="69" t="s">
        <v>136</v>
      </c>
      <c r="Q18" s="69" t="s">
        <v>445</v>
      </c>
      <c r="R18" s="69"/>
      <c r="S18" s="69"/>
      <c r="T18" s="69"/>
      <c r="U18" s="69"/>
      <c r="V18" s="69"/>
    </row>
    <row r="19" spans="1:22" s="26" customFormat="1" x14ac:dyDescent="0.3">
      <c r="A19" s="69" t="s">
        <v>22</v>
      </c>
      <c r="B19" s="67"/>
      <c r="C19" s="67">
        <v>8</v>
      </c>
      <c r="D19" s="69" t="s">
        <v>437</v>
      </c>
      <c r="E19" s="69" t="s">
        <v>138</v>
      </c>
      <c r="F19" s="68" t="s">
        <v>386</v>
      </c>
      <c r="G19" s="67" t="s">
        <v>21</v>
      </c>
      <c r="H19" s="69" t="s">
        <v>16</v>
      </c>
      <c r="I19" s="67" t="s">
        <v>17</v>
      </c>
      <c r="J19" s="69"/>
      <c r="K19" s="67" t="s">
        <v>387</v>
      </c>
      <c r="L19" s="69"/>
      <c r="M19" s="69"/>
      <c r="N19" s="69"/>
      <c r="O19" s="69"/>
      <c r="P19" s="69" t="s">
        <v>29</v>
      </c>
      <c r="Q19" s="69" t="s">
        <v>441</v>
      </c>
      <c r="R19" s="69"/>
      <c r="S19" s="69"/>
      <c r="T19" s="69"/>
      <c r="U19" s="69"/>
      <c r="V19" s="69"/>
    </row>
    <row r="20" spans="1:22" s="26" customFormat="1" x14ac:dyDescent="0.3">
      <c r="A20" s="69" t="s">
        <v>22</v>
      </c>
      <c r="B20" s="67"/>
      <c r="C20" s="67">
        <v>8</v>
      </c>
      <c r="D20" s="69" t="s">
        <v>438</v>
      </c>
      <c r="E20" s="69" t="s">
        <v>140</v>
      </c>
      <c r="F20" s="68" t="s">
        <v>386</v>
      </c>
      <c r="G20" s="67" t="s">
        <v>21</v>
      </c>
      <c r="H20" s="69" t="s">
        <v>16</v>
      </c>
      <c r="I20" s="67" t="s">
        <v>17</v>
      </c>
      <c r="J20" s="69"/>
      <c r="K20" s="67" t="s">
        <v>383</v>
      </c>
      <c r="L20" s="69"/>
      <c r="M20" s="69"/>
      <c r="N20" s="69"/>
      <c r="O20" s="69"/>
      <c r="P20" s="69" t="s">
        <v>139</v>
      </c>
      <c r="Q20" s="69" t="s">
        <v>442</v>
      </c>
      <c r="R20" s="69"/>
      <c r="S20" s="69"/>
      <c r="T20" s="69"/>
      <c r="U20" s="69"/>
      <c r="V20" s="69"/>
    </row>
    <row r="22" spans="1:22" x14ac:dyDescent="0.3">
      <c r="C22" s="22"/>
    </row>
    <row r="23" spans="1:22" x14ac:dyDescent="0.3">
      <c r="C23" s="22"/>
    </row>
    <row r="24" spans="1:22" x14ac:dyDescent="0.3">
      <c r="C24" s="22"/>
    </row>
    <row r="25" spans="1:22" x14ac:dyDescent="0.3">
      <c r="C25" s="22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O17"/>
  <sheetViews>
    <sheetView topLeftCell="A4" workbookViewId="0">
      <selection activeCell="A14" sqref="A14"/>
    </sheetView>
  </sheetViews>
  <sheetFormatPr defaultRowHeight="14.4" x14ac:dyDescent="0.3"/>
  <cols>
    <col min="2" max="2" width="7" customWidth="1"/>
    <col min="3" max="3" width="4.6640625" style="21" customWidth="1"/>
    <col min="4" max="4" width="17.109375" customWidth="1"/>
    <col min="5" max="5" width="47.6640625" customWidth="1"/>
    <col min="6" max="6" width="26.109375" customWidth="1"/>
    <col min="8" max="8" width="18.88671875" customWidth="1"/>
    <col min="9" max="9" width="10.109375" customWidth="1"/>
    <col min="10" max="10" width="12.44140625" customWidth="1"/>
    <col min="11" max="11" width="14.44140625" customWidth="1"/>
    <col min="14" max="14" width="17.88671875" customWidth="1"/>
  </cols>
  <sheetData>
    <row r="1" spans="1:15" x14ac:dyDescent="0.3">
      <c r="A1" s="6"/>
      <c r="L1" s="1"/>
    </row>
    <row r="2" spans="1:15" x14ac:dyDescent="0.3">
      <c r="A2" s="6"/>
      <c r="C2" s="22"/>
      <c r="L2" s="1"/>
    </row>
    <row r="3" spans="1:15" x14ac:dyDescent="0.3">
      <c r="A3" s="6"/>
      <c r="C3" s="22"/>
      <c r="L3" s="1"/>
    </row>
    <row r="4" spans="1:15" s="2" customFormat="1" ht="15" customHeight="1" x14ac:dyDescent="0.3">
      <c r="A4" s="7"/>
      <c r="B4" s="2" t="s">
        <v>14</v>
      </c>
      <c r="C4" s="23" t="s">
        <v>30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5" x14ac:dyDescent="0.3">
      <c r="A5" t="s">
        <v>22</v>
      </c>
      <c r="B5" s="1">
        <v>1</v>
      </c>
      <c r="C5" s="22">
        <v>0</v>
      </c>
      <c r="D5" t="s">
        <v>114</v>
      </c>
      <c r="F5" t="s">
        <v>26</v>
      </c>
      <c r="G5" s="1">
        <v>1024</v>
      </c>
      <c r="H5" t="s">
        <v>35</v>
      </c>
      <c r="I5" t="s">
        <v>28</v>
      </c>
      <c r="K5" s="22" t="s">
        <v>18</v>
      </c>
      <c r="L5" s="1" t="s">
        <v>115</v>
      </c>
      <c r="N5" t="s">
        <v>115</v>
      </c>
    </row>
    <row r="6" spans="1:15" x14ac:dyDescent="0.3">
      <c r="A6" t="s">
        <v>22</v>
      </c>
      <c r="B6" s="73" t="s">
        <v>533</v>
      </c>
      <c r="C6" s="22">
        <v>2</v>
      </c>
      <c r="D6" t="s">
        <v>429</v>
      </c>
      <c r="E6" t="s">
        <v>427</v>
      </c>
      <c r="F6" s="6" t="s">
        <v>23</v>
      </c>
      <c r="G6" s="76">
        <v>1024</v>
      </c>
      <c r="H6" t="s">
        <v>35</v>
      </c>
      <c r="I6" s="76" t="s">
        <v>391</v>
      </c>
      <c r="K6" s="22" t="s">
        <v>18</v>
      </c>
      <c r="N6" t="s">
        <v>431</v>
      </c>
    </row>
    <row r="7" spans="1:15" x14ac:dyDescent="0.3">
      <c r="A7" t="s">
        <v>22</v>
      </c>
      <c r="B7" s="76"/>
      <c r="C7" s="22">
        <v>2</v>
      </c>
      <c r="D7" t="s">
        <v>430</v>
      </c>
      <c r="E7" t="s">
        <v>428</v>
      </c>
      <c r="F7" s="6" t="s">
        <v>15</v>
      </c>
      <c r="G7" s="76">
        <v>1024</v>
      </c>
      <c r="H7" t="s">
        <v>35</v>
      </c>
      <c r="I7" s="76" t="s">
        <v>391</v>
      </c>
      <c r="K7" s="22" t="s">
        <v>18</v>
      </c>
      <c r="N7" t="s">
        <v>432</v>
      </c>
    </row>
    <row r="8" spans="1:15" x14ac:dyDescent="0.3">
      <c r="A8" t="s">
        <v>22</v>
      </c>
      <c r="B8" s="73">
        <v>1</v>
      </c>
      <c r="C8" s="22">
        <v>3</v>
      </c>
      <c r="D8" t="s">
        <v>416</v>
      </c>
      <c r="E8" t="s">
        <v>417</v>
      </c>
      <c r="F8" s="6" t="s">
        <v>23</v>
      </c>
      <c r="G8" s="73">
        <v>1024</v>
      </c>
      <c r="H8" t="s">
        <v>35</v>
      </c>
      <c r="I8" s="73" t="s">
        <v>38</v>
      </c>
      <c r="K8" s="73" t="s">
        <v>385</v>
      </c>
      <c r="L8" s="73">
        <v>0</v>
      </c>
      <c r="N8" t="s">
        <v>418</v>
      </c>
    </row>
    <row r="9" spans="1:15" x14ac:dyDescent="0.3">
      <c r="A9" t="s">
        <v>22</v>
      </c>
      <c r="B9" s="73">
        <v>1</v>
      </c>
      <c r="C9" s="22">
        <v>4</v>
      </c>
      <c r="D9" t="s">
        <v>415</v>
      </c>
      <c r="E9" t="s">
        <v>458</v>
      </c>
      <c r="F9" s="6" t="s">
        <v>23</v>
      </c>
      <c r="G9" s="73">
        <v>1024</v>
      </c>
      <c r="H9" t="s">
        <v>35</v>
      </c>
      <c r="I9" s="73" t="s">
        <v>38</v>
      </c>
      <c r="K9" s="22" t="s">
        <v>18</v>
      </c>
      <c r="L9" s="73">
        <v>0</v>
      </c>
      <c r="N9" t="s">
        <v>421</v>
      </c>
    </row>
    <row r="11" spans="1:15" x14ac:dyDescent="0.3">
      <c r="B11" s="36"/>
      <c r="C11" s="22"/>
      <c r="F11" s="6"/>
      <c r="G11" s="36"/>
      <c r="I11" s="36"/>
      <c r="K11" s="36"/>
      <c r="L11" s="36"/>
    </row>
    <row r="12" spans="1:15" x14ac:dyDescent="0.3">
      <c r="C12" s="22">
        <v>1</v>
      </c>
      <c r="D12" t="s">
        <v>434</v>
      </c>
      <c r="E12" t="s">
        <v>433</v>
      </c>
      <c r="F12" s="6" t="s">
        <v>23</v>
      </c>
      <c r="G12" s="76">
        <v>1024</v>
      </c>
      <c r="H12" t="s">
        <v>35</v>
      </c>
      <c r="I12" s="76" t="s">
        <v>391</v>
      </c>
      <c r="K12" s="22" t="s">
        <v>18</v>
      </c>
      <c r="N12" t="s">
        <v>443</v>
      </c>
    </row>
    <row r="13" spans="1:15" x14ac:dyDescent="0.3">
      <c r="C13" s="22">
        <v>1</v>
      </c>
      <c r="D13" t="s">
        <v>422</v>
      </c>
      <c r="E13" t="s">
        <v>423</v>
      </c>
      <c r="F13" s="6" t="s">
        <v>23</v>
      </c>
      <c r="G13" s="76">
        <v>1024</v>
      </c>
      <c r="H13" t="s">
        <v>35</v>
      </c>
      <c r="I13" s="76" t="s">
        <v>391</v>
      </c>
      <c r="K13" s="22" t="s">
        <v>18</v>
      </c>
      <c r="N13" t="s">
        <v>424</v>
      </c>
    </row>
    <row r="14" spans="1:15" x14ac:dyDescent="0.3">
      <c r="C14" s="22">
        <v>1</v>
      </c>
      <c r="D14" t="s">
        <v>425</v>
      </c>
      <c r="E14" t="s">
        <v>423</v>
      </c>
      <c r="F14" s="6" t="s">
        <v>23</v>
      </c>
      <c r="G14" s="76">
        <v>1024</v>
      </c>
      <c r="H14" t="s">
        <v>35</v>
      </c>
      <c r="I14" s="76" t="s">
        <v>391</v>
      </c>
      <c r="K14" s="22" t="s">
        <v>18</v>
      </c>
      <c r="N14" t="s">
        <v>426</v>
      </c>
    </row>
    <row r="15" spans="1:15" x14ac:dyDescent="0.3">
      <c r="B15" s="36"/>
      <c r="C15" s="22"/>
      <c r="D15" s="6"/>
      <c r="G15" s="36"/>
      <c r="K15" s="12"/>
      <c r="L15" s="36"/>
    </row>
    <row r="17" spans="3:14" x14ac:dyDescent="0.3">
      <c r="C17" s="22">
        <v>2</v>
      </c>
      <c r="D17" t="s">
        <v>145</v>
      </c>
      <c r="E17" t="s">
        <v>207</v>
      </c>
      <c r="F17" s="6" t="s">
        <v>23</v>
      </c>
      <c r="G17" s="36">
        <v>1024</v>
      </c>
      <c r="H17" t="s">
        <v>35</v>
      </c>
      <c r="I17" s="36" t="s">
        <v>36</v>
      </c>
      <c r="K17" s="72" t="s">
        <v>385</v>
      </c>
      <c r="L17" s="36">
        <v>1</v>
      </c>
      <c r="N17" t="s">
        <v>212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88"/>
  <sheetViews>
    <sheetView workbookViewId="0">
      <selection activeCell="A26" sqref="A26:XFD26"/>
    </sheetView>
  </sheetViews>
  <sheetFormatPr defaultRowHeight="14.4" x14ac:dyDescent="0.3"/>
  <cols>
    <col min="1" max="1" width="6.88671875" style="16" customWidth="1"/>
    <col min="2" max="2" width="5.88671875" customWidth="1"/>
    <col min="3" max="3" width="4.6640625" customWidth="1"/>
    <col min="4" max="4" width="16" customWidth="1"/>
    <col min="5" max="5" width="65.33203125" customWidth="1"/>
    <col min="6" max="6" width="32.6640625" customWidth="1"/>
    <col min="8" max="8" width="19" customWidth="1"/>
    <col min="9" max="9" width="10.33203125" customWidth="1"/>
    <col min="10" max="10" width="20.88671875" customWidth="1"/>
    <col min="11" max="11" width="7.5546875" customWidth="1"/>
    <col min="12" max="12" width="7.33203125" customWidth="1"/>
    <col min="13" max="13" width="98.44140625" bestFit="1" customWidth="1"/>
    <col min="14" max="14" width="15.109375" customWidth="1"/>
    <col min="15" max="15" width="16.5546875" customWidth="1"/>
    <col min="16" max="16" width="19.109375" customWidth="1"/>
    <col min="17" max="17" width="23" customWidth="1"/>
  </cols>
  <sheetData>
    <row r="1" spans="1:18" x14ac:dyDescent="0.3">
      <c r="A1" s="14"/>
      <c r="K1" s="1"/>
    </row>
    <row r="2" spans="1:18" x14ac:dyDescent="0.3">
      <c r="A2" s="14"/>
      <c r="B2" s="1"/>
      <c r="C2" s="1"/>
      <c r="K2" s="1"/>
    </row>
    <row r="3" spans="1:18" x14ac:dyDescent="0.3">
      <c r="A3" s="14"/>
      <c r="B3" s="1"/>
      <c r="C3" s="1"/>
      <c r="K3" s="1"/>
    </row>
    <row r="4" spans="1:18" s="2" customFormat="1" ht="15" customHeight="1" x14ac:dyDescent="0.3">
      <c r="A4" s="8"/>
      <c r="B4" s="2" t="s">
        <v>14</v>
      </c>
      <c r="C4" s="2" t="s">
        <v>30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21" customFormat="1" x14ac:dyDescent="0.3">
      <c r="A5" s="48" t="s">
        <v>22</v>
      </c>
      <c r="B5" s="22">
        <v>1</v>
      </c>
      <c r="C5" s="22">
        <v>0</v>
      </c>
      <c r="D5" s="21" t="s">
        <v>40</v>
      </c>
      <c r="F5" s="21" t="s">
        <v>26</v>
      </c>
      <c r="G5" s="22">
        <v>1024</v>
      </c>
      <c r="H5" s="22" t="s">
        <v>24</v>
      </c>
      <c r="I5" s="22" t="s">
        <v>28</v>
      </c>
      <c r="J5" s="40" t="s">
        <v>18</v>
      </c>
      <c r="K5" s="22" t="s">
        <v>41</v>
      </c>
      <c r="L5" s="22"/>
      <c r="M5" s="22" t="s">
        <v>41</v>
      </c>
    </row>
    <row r="6" spans="1:18" x14ac:dyDescent="0.3">
      <c r="A6" s="16" t="s">
        <v>22</v>
      </c>
      <c r="B6" s="1">
        <v>1</v>
      </c>
      <c r="C6" s="1">
        <v>1</v>
      </c>
      <c r="D6" t="s">
        <v>43</v>
      </c>
      <c r="E6" t="s">
        <v>44</v>
      </c>
      <c r="F6" t="s">
        <v>23</v>
      </c>
      <c r="G6" s="1">
        <v>1024</v>
      </c>
      <c r="H6" s="1" t="s">
        <v>24</v>
      </c>
      <c r="I6" s="83" t="s">
        <v>17</v>
      </c>
      <c r="J6" s="78" t="s">
        <v>413</v>
      </c>
      <c r="K6" s="1">
        <v>70</v>
      </c>
      <c r="L6" s="1" t="s">
        <v>29</v>
      </c>
      <c r="M6" t="s">
        <v>337</v>
      </c>
    </row>
    <row r="7" spans="1:18" x14ac:dyDescent="0.3">
      <c r="A7" s="16" t="s">
        <v>22</v>
      </c>
      <c r="B7" s="1"/>
      <c r="C7" s="1">
        <v>1</v>
      </c>
      <c r="D7" t="s">
        <v>45</v>
      </c>
      <c r="E7" t="s">
        <v>335</v>
      </c>
      <c r="F7" t="s">
        <v>25</v>
      </c>
      <c r="G7" s="1">
        <v>1024</v>
      </c>
      <c r="H7" s="1" t="s">
        <v>24</v>
      </c>
      <c r="I7" s="83" t="s">
        <v>17</v>
      </c>
      <c r="J7" s="78" t="s">
        <v>413</v>
      </c>
      <c r="K7" s="1">
        <v>50</v>
      </c>
      <c r="L7" s="1" t="s">
        <v>29</v>
      </c>
      <c r="M7" t="s">
        <v>46</v>
      </c>
    </row>
    <row r="8" spans="1:18" x14ac:dyDescent="0.3">
      <c r="A8" s="16" t="s">
        <v>22</v>
      </c>
      <c r="B8" s="1"/>
      <c r="C8" s="1">
        <v>1</v>
      </c>
      <c r="D8" t="s">
        <v>47</v>
      </c>
      <c r="E8" t="s">
        <v>336</v>
      </c>
      <c r="F8" t="s">
        <v>25</v>
      </c>
      <c r="G8" s="1">
        <v>1024</v>
      </c>
      <c r="H8" s="1" t="s">
        <v>24</v>
      </c>
      <c r="I8" s="83" t="s">
        <v>17</v>
      </c>
      <c r="J8" s="78" t="s">
        <v>413</v>
      </c>
      <c r="K8" s="1">
        <v>10</v>
      </c>
      <c r="L8" s="1" t="s">
        <v>29</v>
      </c>
      <c r="M8" t="s">
        <v>48</v>
      </c>
    </row>
    <row r="9" spans="1:18" x14ac:dyDescent="0.3">
      <c r="A9" s="16" t="s">
        <v>22</v>
      </c>
      <c r="B9" s="1"/>
      <c r="C9" s="1">
        <v>1</v>
      </c>
      <c r="D9" t="s">
        <v>49</v>
      </c>
      <c r="E9" t="s">
        <v>50</v>
      </c>
      <c r="F9" t="s">
        <v>23</v>
      </c>
      <c r="G9" s="1">
        <v>1024</v>
      </c>
      <c r="H9" s="1" t="s">
        <v>24</v>
      </c>
      <c r="I9" s="83" t="s">
        <v>17</v>
      </c>
      <c r="J9" s="78" t="s">
        <v>413</v>
      </c>
      <c r="K9" s="1">
        <v>5</v>
      </c>
      <c r="L9" s="1" t="s">
        <v>29</v>
      </c>
      <c r="M9" t="s">
        <v>338</v>
      </c>
    </row>
    <row r="10" spans="1:18" x14ac:dyDescent="0.3">
      <c r="A10" s="16" t="s">
        <v>22</v>
      </c>
      <c r="B10" s="79">
        <v>1</v>
      </c>
      <c r="C10" s="79">
        <v>2</v>
      </c>
      <c r="D10" t="s">
        <v>488</v>
      </c>
      <c r="E10" t="s">
        <v>489</v>
      </c>
      <c r="F10" t="s">
        <v>23</v>
      </c>
      <c r="G10" s="79">
        <v>1024</v>
      </c>
      <c r="H10" s="79" t="s">
        <v>24</v>
      </c>
      <c r="I10" s="79" t="s">
        <v>17</v>
      </c>
      <c r="J10" s="79" t="s">
        <v>384</v>
      </c>
      <c r="K10" s="85">
        <v>3.63</v>
      </c>
      <c r="L10" s="22" t="s">
        <v>139</v>
      </c>
      <c r="M10" t="s">
        <v>496</v>
      </c>
    </row>
    <row r="11" spans="1:18" x14ac:dyDescent="0.3">
      <c r="A11" s="16" t="s">
        <v>22</v>
      </c>
      <c r="B11" s="79"/>
      <c r="C11" s="79">
        <v>2</v>
      </c>
      <c r="D11" t="s">
        <v>490</v>
      </c>
      <c r="E11" t="s">
        <v>491</v>
      </c>
      <c r="F11" t="s">
        <v>23</v>
      </c>
      <c r="G11" s="79">
        <v>1024</v>
      </c>
      <c r="H11" s="79" t="s">
        <v>24</v>
      </c>
      <c r="I11" s="79" t="s">
        <v>17</v>
      </c>
      <c r="J11" s="79" t="s">
        <v>384</v>
      </c>
      <c r="K11" s="85">
        <v>3.4649999999999999</v>
      </c>
      <c r="L11" s="22" t="s">
        <v>139</v>
      </c>
      <c r="M11" t="s">
        <v>497</v>
      </c>
    </row>
    <row r="12" spans="1:18" x14ac:dyDescent="0.3">
      <c r="A12" s="16" t="s">
        <v>22</v>
      </c>
      <c r="B12" s="79"/>
      <c r="C12" s="79">
        <v>2</v>
      </c>
      <c r="D12" t="s">
        <v>492</v>
      </c>
      <c r="E12" t="s">
        <v>493</v>
      </c>
      <c r="F12" t="s">
        <v>23</v>
      </c>
      <c r="G12" s="79">
        <v>1024</v>
      </c>
      <c r="H12" s="79" t="s">
        <v>24</v>
      </c>
      <c r="I12" s="79" t="s">
        <v>17</v>
      </c>
      <c r="J12" s="79" t="s">
        <v>384</v>
      </c>
      <c r="K12" s="85">
        <v>3.1349999999999998</v>
      </c>
      <c r="L12" s="22" t="s">
        <v>139</v>
      </c>
      <c r="M12" t="s">
        <v>498</v>
      </c>
    </row>
    <row r="13" spans="1:18" x14ac:dyDescent="0.3">
      <c r="A13" s="16" t="s">
        <v>22</v>
      </c>
      <c r="B13" s="79"/>
      <c r="C13" s="79">
        <v>2</v>
      </c>
      <c r="D13" t="s">
        <v>494</v>
      </c>
      <c r="E13" t="s">
        <v>495</v>
      </c>
      <c r="F13" t="s">
        <v>23</v>
      </c>
      <c r="G13" s="79">
        <v>1024</v>
      </c>
      <c r="H13" s="79" t="s">
        <v>24</v>
      </c>
      <c r="I13" s="79" t="s">
        <v>17</v>
      </c>
      <c r="J13" s="79" t="s">
        <v>384</v>
      </c>
      <c r="K13" s="85">
        <v>2.9699999999999998</v>
      </c>
      <c r="L13" s="22" t="s">
        <v>139</v>
      </c>
      <c r="M13" t="s">
        <v>499</v>
      </c>
    </row>
    <row r="14" spans="1:18" s="21" customFormat="1" x14ac:dyDescent="0.3">
      <c r="A14" s="48" t="s">
        <v>22</v>
      </c>
      <c r="B14" s="22">
        <v>1</v>
      </c>
      <c r="C14" s="22">
        <v>1</v>
      </c>
      <c r="D14" s="21" t="s">
        <v>467</v>
      </c>
      <c r="E14" s="21" t="s">
        <v>476</v>
      </c>
      <c r="F14" t="s">
        <v>23</v>
      </c>
      <c r="G14" s="63">
        <v>1024</v>
      </c>
      <c r="H14" s="63" t="s">
        <v>24</v>
      </c>
      <c r="I14" s="63" t="s">
        <v>17</v>
      </c>
      <c r="J14" s="65" t="s">
        <v>384</v>
      </c>
      <c r="K14" s="85">
        <v>5.5</v>
      </c>
      <c r="L14" s="22" t="s">
        <v>139</v>
      </c>
      <c r="M14" s="40" t="s">
        <v>468</v>
      </c>
    </row>
    <row r="15" spans="1:18" s="21" customFormat="1" x14ac:dyDescent="0.3">
      <c r="A15" s="48" t="s">
        <v>22</v>
      </c>
      <c r="B15" s="22"/>
      <c r="C15" s="22">
        <v>1</v>
      </c>
      <c r="D15" s="21" t="s">
        <v>469</v>
      </c>
      <c r="E15" s="21" t="s">
        <v>477</v>
      </c>
      <c r="F15" t="s">
        <v>23</v>
      </c>
      <c r="G15" s="63">
        <v>1024</v>
      </c>
      <c r="H15" s="63" t="s">
        <v>24</v>
      </c>
      <c r="I15" s="63" t="s">
        <v>17</v>
      </c>
      <c r="J15" s="65" t="s">
        <v>384</v>
      </c>
      <c r="K15" s="85">
        <v>5.25</v>
      </c>
      <c r="L15" s="22" t="s">
        <v>139</v>
      </c>
      <c r="M15" s="40" t="s">
        <v>470</v>
      </c>
    </row>
    <row r="16" spans="1:18" s="21" customFormat="1" x14ac:dyDescent="0.3">
      <c r="A16" s="48" t="s">
        <v>22</v>
      </c>
      <c r="B16" s="22"/>
      <c r="C16" s="22">
        <v>1</v>
      </c>
      <c r="D16" s="21" t="s">
        <v>471</v>
      </c>
      <c r="E16" s="21" t="s">
        <v>478</v>
      </c>
      <c r="F16" t="s">
        <v>23</v>
      </c>
      <c r="G16" s="63">
        <v>1024</v>
      </c>
      <c r="H16" s="63" t="s">
        <v>24</v>
      </c>
      <c r="I16" s="63" t="s">
        <v>17</v>
      </c>
      <c r="J16" s="65" t="s">
        <v>384</v>
      </c>
      <c r="K16" s="85">
        <v>4.75</v>
      </c>
      <c r="L16" s="22" t="s">
        <v>139</v>
      </c>
      <c r="M16" s="40" t="s">
        <v>472</v>
      </c>
    </row>
    <row r="17" spans="1:13" s="21" customFormat="1" x14ac:dyDescent="0.3">
      <c r="A17" s="48" t="s">
        <v>22</v>
      </c>
      <c r="B17" s="22"/>
      <c r="C17" s="22">
        <v>1</v>
      </c>
      <c r="D17" s="21" t="s">
        <v>473</v>
      </c>
      <c r="E17" s="21" t="s">
        <v>479</v>
      </c>
      <c r="F17" t="s">
        <v>23</v>
      </c>
      <c r="G17" s="63">
        <v>1024</v>
      </c>
      <c r="H17" s="63" t="s">
        <v>24</v>
      </c>
      <c r="I17" s="63" t="s">
        <v>17</v>
      </c>
      <c r="J17" s="72" t="s">
        <v>384</v>
      </c>
      <c r="K17" s="85">
        <v>4.5</v>
      </c>
      <c r="L17" s="22" t="s">
        <v>139</v>
      </c>
      <c r="M17" s="40" t="s">
        <v>474</v>
      </c>
    </row>
    <row r="18" spans="1:13" x14ac:dyDescent="0.3">
      <c r="A18" s="16" t="s">
        <v>22</v>
      </c>
      <c r="B18" s="79">
        <v>1</v>
      </c>
      <c r="C18" s="79">
        <v>2</v>
      </c>
      <c r="D18" s="6" t="s">
        <v>501</v>
      </c>
      <c r="E18" t="s">
        <v>502</v>
      </c>
      <c r="F18" t="s">
        <v>23</v>
      </c>
      <c r="G18" s="79">
        <v>1024</v>
      </c>
      <c r="H18" s="79" t="s">
        <v>24</v>
      </c>
      <c r="I18" s="79" t="s">
        <v>17</v>
      </c>
      <c r="J18" s="79" t="s">
        <v>384</v>
      </c>
      <c r="K18" s="85">
        <v>-4.68</v>
      </c>
      <c r="L18" s="22" t="s">
        <v>139</v>
      </c>
      <c r="M18" t="s">
        <v>509</v>
      </c>
    </row>
    <row r="19" spans="1:13" x14ac:dyDescent="0.3">
      <c r="A19" s="16" t="s">
        <v>22</v>
      </c>
      <c r="B19" s="79"/>
      <c r="C19" s="79">
        <v>2</v>
      </c>
      <c r="D19" t="s">
        <v>503</v>
      </c>
      <c r="E19" t="s">
        <v>504</v>
      </c>
      <c r="F19" t="s">
        <v>23</v>
      </c>
      <c r="G19" s="79">
        <v>1024</v>
      </c>
      <c r="H19" s="79" t="s">
        <v>24</v>
      </c>
      <c r="I19" s="79" t="s">
        <v>17</v>
      </c>
      <c r="J19" s="79" t="s">
        <v>384</v>
      </c>
      <c r="K19" s="85">
        <v>-4.9400000000000004</v>
      </c>
      <c r="L19" s="22" t="s">
        <v>139</v>
      </c>
      <c r="M19" t="s">
        <v>510</v>
      </c>
    </row>
    <row r="20" spans="1:13" x14ac:dyDescent="0.3">
      <c r="A20" s="16" t="s">
        <v>22</v>
      </c>
      <c r="B20" s="79"/>
      <c r="C20" s="79">
        <v>2</v>
      </c>
      <c r="D20" t="s">
        <v>505</v>
      </c>
      <c r="E20" t="s">
        <v>506</v>
      </c>
      <c r="F20" t="s">
        <v>23</v>
      </c>
      <c r="G20" s="79">
        <v>1024</v>
      </c>
      <c r="H20" s="79" t="s">
        <v>24</v>
      </c>
      <c r="I20" s="79" t="s">
        <v>17</v>
      </c>
      <c r="J20" s="79" t="s">
        <v>384</v>
      </c>
      <c r="K20" s="85">
        <v>-5.46</v>
      </c>
      <c r="L20" s="22" t="s">
        <v>139</v>
      </c>
      <c r="M20" t="s">
        <v>511</v>
      </c>
    </row>
    <row r="21" spans="1:13" x14ac:dyDescent="0.3">
      <c r="A21" s="16" t="s">
        <v>22</v>
      </c>
      <c r="B21" s="79"/>
      <c r="C21" s="79">
        <v>2</v>
      </c>
      <c r="D21" t="s">
        <v>507</v>
      </c>
      <c r="E21" t="s">
        <v>508</v>
      </c>
      <c r="F21" t="s">
        <v>23</v>
      </c>
      <c r="G21" s="79">
        <v>1024</v>
      </c>
      <c r="H21" s="79" t="s">
        <v>24</v>
      </c>
      <c r="I21" s="79" t="s">
        <v>17</v>
      </c>
      <c r="J21" s="79" t="s">
        <v>384</v>
      </c>
      <c r="K21" s="85">
        <v>-5.72</v>
      </c>
      <c r="L21" s="22" t="s">
        <v>139</v>
      </c>
      <c r="M21" t="s">
        <v>512</v>
      </c>
    </row>
    <row r="22" spans="1:13" x14ac:dyDescent="0.3">
      <c r="A22" s="16" t="s">
        <v>22</v>
      </c>
      <c r="B22" s="79">
        <v>1</v>
      </c>
      <c r="C22" s="79">
        <v>3</v>
      </c>
      <c r="D22" s="6" t="s">
        <v>515</v>
      </c>
      <c r="E22" t="s">
        <v>516</v>
      </c>
      <c r="F22" t="s">
        <v>23</v>
      </c>
      <c r="G22" s="79">
        <v>1024</v>
      </c>
      <c r="H22" s="79" t="s">
        <v>24</v>
      </c>
      <c r="I22" s="79" t="s">
        <v>17</v>
      </c>
      <c r="J22" s="79" t="s">
        <v>384</v>
      </c>
      <c r="K22" s="85">
        <v>3.5</v>
      </c>
      <c r="L22" s="22" t="s">
        <v>139</v>
      </c>
      <c r="M22" t="s">
        <v>523</v>
      </c>
    </row>
    <row r="23" spans="1:13" x14ac:dyDescent="0.3">
      <c r="A23" s="16" t="s">
        <v>22</v>
      </c>
      <c r="B23" s="79"/>
      <c r="C23" s="79">
        <v>3</v>
      </c>
      <c r="D23" t="s">
        <v>517</v>
      </c>
      <c r="E23" t="s">
        <v>518</v>
      </c>
      <c r="F23" t="s">
        <v>23</v>
      </c>
      <c r="G23" s="79">
        <v>1024</v>
      </c>
      <c r="H23" s="79" t="s">
        <v>24</v>
      </c>
      <c r="I23" s="79" t="s">
        <v>17</v>
      </c>
      <c r="J23" s="79" t="s">
        <v>384</v>
      </c>
      <c r="K23" s="85">
        <v>3.3</v>
      </c>
      <c r="L23" s="22" t="s">
        <v>139</v>
      </c>
      <c r="M23" t="s">
        <v>524</v>
      </c>
    </row>
    <row r="24" spans="1:13" x14ac:dyDescent="0.3">
      <c r="A24" s="16" t="s">
        <v>22</v>
      </c>
      <c r="B24" s="79"/>
      <c r="C24" s="79">
        <v>3</v>
      </c>
      <c r="D24" t="s">
        <v>519</v>
      </c>
      <c r="E24" t="s">
        <v>520</v>
      </c>
      <c r="F24" t="s">
        <v>23</v>
      </c>
      <c r="G24" s="79">
        <v>1024</v>
      </c>
      <c r="H24" s="79" t="s">
        <v>24</v>
      </c>
      <c r="I24" s="79" t="s">
        <v>17</v>
      </c>
      <c r="J24" s="79" t="s">
        <v>384</v>
      </c>
      <c r="K24" s="85">
        <v>2.5</v>
      </c>
      <c r="L24" s="22" t="s">
        <v>139</v>
      </c>
      <c r="M24" t="s">
        <v>525</v>
      </c>
    </row>
    <row r="25" spans="1:13" x14ac:dyDescent="0.3">
      <c r="A25" s="16" t="s">
        <v>22</v>
      </c>
      <c r="B25" s="79"/>
      <c r="C25" s="79">
        <v>3</v>
      </c>
      <c r="D25" t="s">
        <v>521</v>
      </c>
      <c r="E25" t="s">
        <v>522</v>
      </c>
      <c r="F25" t="s">
        <v>23</v>
      </c>
      <c r="G25" s="79">
        <v>1024</v>
      </c>
      <c r="H25" s="79" t="s">
        <v>24</v>
      </c>
      <c r="I25" s="79" t="s">
        <v>17</v>
      </c>
      <c r="J25" s="79" t="s">
        <v>384</v>
      </c>
      <c r="K25" s="85">
        <v>2.1</v>
      </c>
      <c r="L25" s="22" t="s">
        <v>139</v>
      </c>
      <c r="M25" t="s">
        <v>526</v>
      </c>
    </row>
    <row r="26" spans="1:13" s="58" customFormat="1" x14ac:dyDescent="0.3">
      <c r="A26" s="58" t="s">
        <v>22</v>
      </c>
      <c r="B26" s="59" t="s">
        <v>534</v>
      </c>
      <c r="C26" s="59">
        <v>4</v>
      </c>
      <c r="D26" s="58" t="s">
        <v>146</v>
      </c>
      <c r="E26" s="58" t="s">
        <v>147</v>
      </c>
      <c r="F26" s="58" t="s">
        <v>23</v>
      </c>
      <c r="G26" s="59">
        <v>1024</v>
      </c>
      <c r="H26" s="59" t="s">
        <v>24</v>
      </c>
      <c r="I26" s="59" t="s">
        <v>17</v>
      </c>
      <c r="J26" s="59" t="s">
        <v>413</v>
      </c>
      <c r="K26" s="75">
        <v>0</v>
      </c>
      <c r="L26" s="59" t="s">
        <v>20</v>
      </c>
      <c r="M26" s="58" t="s">
        <v>155</v>
      </c>
    </row>
    <row r="27" spans="1:13" s="58" customFormat="1" x14ac:dyDescent="0.3">
      <c r="A27" s="58" t="s">
        <v>22</v>
      </c>
      <c r="B27" s="59"/>
      <c r="C27" s="59">
        <v>4</v>
      </c>
      <c r="D27" s="58" t="s">
        <v>148</v>
      </c>
      <c r="E27" s="58" t="s">
        <v>151</v>
      </c>
      <c r="F27" s="58" t="s">
        <v>23</v>
      </c>
      <c r="G27" s="59">
        <v>1024</v>
      </c>
      <c r="H27" s="59" t="s">
        <v>24</v>
      </c>
      <c r="I27" s="59" t="s">
        <v>17</v>
      </c>
      <c r="J27" s="59" t="s">
        <v>413</v>
      </c>
      <c r="K27" s="75">
        <v>0</v>
      </c>
      <c r="L27" s="59" t="s">
        <v>20</v>
      </c>
      <c r="M27" s="58" t="s">
        <v>154</v>
      </c>
    </row>
    <row r="28" spans="1:13" s="58" customFormat="1" x14ac:dyDescent="0.3">
      <c r="A28" s="58" t="s">
        <v>22</v>
      </c>
      <c r="B28" s="59"/>
      <c r="C28" s="59">
        <v>4</v>
      </c>
      <c r="D28" s="58" t="s">
        <v>149</v>
      </c>
      <c r="E28" s="58" t="s">
        <v>152</v>
      </c>
      <c r="F28" s="58" t="s">
        <v>23</v>
      </c>
      <c r="G28" s="59">
        <v>1024</v>
      </c>
      <c r="H28" s="59" t="s">
        <v>24</v>
      </c>
      <c r="I28" s="59" t="s">
        <v>17</v>
      </c>
      <c r="J28" s="59" t="s">
        <v>413</v>
      </c>
      <c r="K28" s="75">
        <v>0</v>
      </c>
      <c r="L28" s="59" t="s">
        <v>20</v>
      </c>
      <c r="M28" s="58" t="s">
        <v>156</v>
      </c>
    </row>
    <row r="29" spans="1:13" s="58" customFormat="1" x14ac:dyDescent="0.3">
      <c r="A29" s="58" t="s">
        <v>22</v>
      </c>
      <c r="B29" s="59"/>
      <c r="C29" s="59">
        <v>4</v>
      </c>
      <c r="D29" s="58" t="s">
        <v>150</v>
      </c>
      <c r="E29" s="58" t="s">
        <v>153</v>
      </c>
      <c r="F29" s="58" t="s">
        <v>23</v>
      </c>
      <c r="G29" s="59">
        <v>1024</v>
      </c>
      <c r="H29" s="59" t="s">
        <v>24</v>
      </c>
      <c r="I29" s="59" t="s">
        <v>17</v>
      </c>
      <c r="J29" s="59" t="s">
        <v>413</v>
      </c>
      <c r="K29" s="75">
        <v>0</v>
      </c>
      <c r="L29" s="59" t="s">
        <v>20</v>
      </c>
      <c r="M29" s="58" t="s">
        <v>157</v>
      </c>
    </row>
    <row r="30" spans="1:13" s="21" customFormat="1" x14ac:dyDescent="0.3">
      <c r="A30" s="48" t="s">
        <v>22</v>
      </c>
      <c r="B30" s="22"/>
      <c r="C30" s="59">
        <v>4</v>
      </c>
      <c r="D30" s="21" t="s">
        <v>158</v>
      </c>
      <c r="E30" s="21" t="s">
        <v>162</v>
      </c>
      <c r="F30" t="s">
        <v>23</v>
      </c>
      <c r="G30" s="22">
        <v>1024</v>
      </c>
      <c r="H30" s="22" t="s">
        <v>24</v>
      </c>
      <c r="I30" s="22" t="s">
        <v>17</v>
      </c>
      <c r="J30" s="73" t="s">
        <v>413</v>
      </c>
      <c r="K30" s="75">
        <v>0</v>
      </c>
      <c r="L30" s="22" t="s">
        <v>20</v>
      </c>
      <c r="M30" s="21" t="s">
        <v>166</v>
      </c>
    </row>
    <row r="31" spans="1:13" s="21" customFormat="1" x14ac:dyDescent="0.3">
      <c r="A31" s="48" t="s">
        <v>22</v>
      </c>
      <c r="B31" s="22"/>
      <c r="C31" s="59">
        <v>4</v>
      </c>
      <c r="D31" s="21" t="s">
        <v>159</v>
      </c>
      <c r="E31" s="21" t="s">
        <v>163</v>
      </c>
      <c r="F31" t="s">
        <v>23</v>
      </c>
      <c r="G31" s="22">
        <v>1024</v>
      </c>
      <c r="H31" s="22" t="s">
        <v>24</v>
      </c>
      <c r="I31" s="22" t="s">
        <v>17</v>
      </c>
      <c r="J31" s="73" t="s">
        <v>413</v>
      </c>
      <c r="K31" s="75">
        <v>0</v>
      </c>
      <c r="L31" s="22" t="s">
        <v>20</v>
      </c>
      <c r="M31" s="21" t="s">
        <v>167</v>
      </c>
    </row>
    <row r="32" spans="1:13" s="21" customFormat="1" x14ac:dyDescent="0.3">
      <c r="A32" s="48" t="s">
        <v>22</v>
      </c>
      <c r="B32" s="22"/>
      <c r="C32" s="59">
        <v>4</v>
      </c>
      <c r="D32" s="21" t="s">
        <v>160</v>
      </c>
      <c r="E32" s="21" t="s">
        <v>164</v>
      </c>
      <c r="F32" t="s">
        <v>23</v>
      </c>
      <c r="G32" s="22">
        <v>1024</v>
      </c>
      <c r="H32" s="22" t="s">
        <v>24</v>
      </c>
      <c r="I32" s="22" t="s">
        <v>17</v>
      </c>
      <c r="J32" s="73" t="s">
        <v>413</v>
      </c>
      <c r="K32" s="75">
        <v>0</v>
      </c>
      <c r="L32" s="22" t="s">
        <v>20</v>
      </c>
      <c r="M32" s="21" t="s">
        <v>168</v>
      </c>
    </row>
    <row r="33" spans="1:13" s="21" customFormat="1" x14ac:dyDescent="0.3">
      <c r="A33" s="48" t="s">
        <v>22</v>
      </c>
      <c r="B33" s="22"/>
      <c r="C33" s="59">
        <v>4</v>
      </c>
      <c r="D33" s="21" t="s">
        <v>161</v>
      </c>
      <c r="E33" s="21" t="s">
        <v>165</v>
      </c>
      <c r="F33" t="s">
        <v>23</v>
      </c>
      <c r="G33" s="22">
        <v>1024</v>
      </c>
      <c r="H33" s="22" t="s">
        <v>24</v>
      </c>
      <c r="I33" s="22" t="s">
        <v>17</v>
      </c>
      <c r="J33" s="73" t="s">
        <v>413</v>
      </c>
      <c r="K33" s="75">
        <v>0</v>
      </c>
      <c r="L33" s="22" t="s">
        <v>20</v>
      </c>
      <c r="M33" s="21" t="s">
        <v>169</v>
      </c>
    </row>
    <row r="34" spans="1:13" s="58" customFormat="1" x14ac:dyDescent="0.3">
      <c r="A34" s="58" t="s">
        <v>22</v>
      </c>
      <c r="B34" s="59"/>
      <c r="C34" s="59">
        <v>4</v>
      </c>
      <c r="D34" s="58" t="s">
        <v>170</v>
      </c>
      <c r="E34" s="58" t="s">
        <v>171</v>
      </c>
      <c r="F34" s="58" t="s">
        <v>23</v>
      </c>
      <c r="G34" s="59">
        <v>1024</v>
      </c>
      <c r="H34" s="59" t="s">
        <v>24</v>
      </c>
      <c r="I34" s="59" t="s">
        <v>56</v>
      </c>
      <c r="J34" s="59" t="s">
        <v>413</v>
      </c>
      <c r="K34" s="75">
        <v>0</v>
      </c>
      <c r="L34" s="59" t="s">
        <v>136</v>
      </c>
      <c r="M34" s="58" t="s">
        <v>178</v>
      </c>
    </row>
    <row r="35" spans="1:13" s="58" customFormat="1" x14ac:dyDescent="0.3">
      <c r="A35" s="58" t="s">
        <v>22</v>
      </c>
      <c r="B35" s="59"/>
      <c r="C35" s="59">
        <v>4</v>
      </c>
      <c r="D35" s="58" t="s">
        <v>175</v>
      </c>
      <c r="E35" s="58" t="s">
        <v>172</v>
      </c>
      <c r="F35" s="58" t="s">
        <v>23</v>
      </c>
      <c r="G35" s="59">
        <v>1024</v>
      </c>
      <c r="H35" s="59" t="s">
        <v>24</v>
      </c>
      <c r="I35" s="59" t="s">
        <v>56</v>
      </c>
      <c r="J35" s="59" t="s">
        <v>413</v>
      </c>
      <c r="K35" s="75">
        <v>0</v>
      </c>
      <c r="L35" s="59" t="s">
        <v>136</v>
      </c>
      <c r="M35" s="58" t="s">
        <v>179</v>
      </c>
    </row>
    <row r="36" spans="1:13" s="58" customFormat="1" x14ac:dyDescent="0.3">
      <c r="A36" s="58" t="s">
        <v>22</v>
      </c>
      <c r="B36" s="59"/>
      <c r="C36" s="59">
        <v>4</v>
      </c>
      <c r="D36" s="58" t="s">
        <v>176</v>
      </c>
      <c r="E36" s="58" t="s">
        <v>173</v>
      </c>
      <c r="F36" s="58" t="s">
        <v>23</v>
      </c>
      <c r="G36" s="59">
        <v>1024</v>
      </c>
      <c r="H36" s="59" t="s">
        <v>24</v>
      </c>
      <c r="I36" s="59" t="s">
        <v>56</v>
      </c>
      <c r="J36" s="59" t="s">
        <v>413</v>
      </c>
      <c r="K36" s="75">
        <v>0</v>
      </c>
      <c r="L36" s="59" t="s">
        <v>136</v>
      </c>
      <c r="M36" s="58" t="s">
        <v>180</v>
      </c>
    </row>
    <row r="37" spans="1:13" s="58" customFormat="1" x14ac:dyDescent="0.3">
      <c r="A37" s="58" t="s">
        <v>22</v>
      </c>
      <c r="B37" s="59"/>
      <c r="C37" s="59">
        <v>4</v>
      </c>
      <c r="D37" s="58" t="s">
        <v>177</v>
      </c>
      <c r="E37" s="58" t="s">
        <v>174</v>
      </c>
      <c r="F37" s="58" t="s">
        <v>23</v>
      </c>
      <c r="G37" s="59">
        <v>1024</v>
      </c>
      <c r="H37" s="59" t="s">
        <v>24</v>
      </c>
      <c r="I37" s="59" t="s">
        <v>56</v>
      </c>
      <c r="J37" s="59" t="s">
        <v>413</v>
      </c>
      <c r="K37" s="75">
        <v>0</v>
      </c>
      <c r="L37" s="59" t="s">
        <v>136</v>
      </c>
      <c r="M37" s="58" t="s">
        <v>181</v>
      </c>
    </row>
    <row r="38" spans="1:13" s="21" customFormat="1" x14ac:dyDescent="0.3">
      <c r="A38" s="48" t="s">
        <v>22</v>
      </c>
      <c r="B38" s="22"/>
      <c r="C38" s="59">
        <v>4</v>
      </c>
      <c r="D38" s="21" t="s">
        <v>182</v>
      </c>
      <c r="E38" s="21" t="s">
        <v>186</v>
      </c>
      <c r="F38" t="s">
        <v>23</v>
      </c>
      <c r="G38" s="22">
        <v>1024</v>
      </c>
      <c r="H38" s="22" t="s">
        <v>24</v>
      </c>
      <c r="I38" s="22" t="s">
        <v>17</v>
      </c>
      <c r="J38" s="73" t="s">
        <v>413</v>
      </c>
      <c r="K38" s="75">
        <v>0</v>
      </c>
      <c r="L38" s="22" t="s">
        <v>29</v>
      </c>
      <c r="M38" s="21" t="s">
        <v>190</v>
      </c>
    </row>
    <row r="39" spans="1:13" s="21" customFormat="1" x14ac:dyDescent="0.3">
      <c r="A39" s="48" t="s">
        <v>22</v>
      </c>
      <c r="B39" s="22"/>
      <c r="C39" s="59">
        <v>4</v>
      </c>
      <c r="D39" s="21" t="s">
        <v>183</v>
      </c>
      <c r="E39" s="21" t="s">
        <v>187</v>
      </c>
      <c r="F39" t="s">
        <v>23</v>
      </c>
      <c r="G39" s="22">
        <v>1024</v>
      </c>
      <c r="H39" s="22" t="s">
        <v>24</v>
      </c>
      <c r="I39" s="22" t="s">
        <v>17</v>
      </c>
      <c r="J39" s="73" t="s">
        <v>413</v>
      </c>
      <c r="K39" s="75">
        <v>0</v>
      </c>
      <c r="L39" s="22" t="s">
        <v>29</v>
      </c>
      <c r="M39" s="21" t="s">
        <v>191</v>
      </c>
    </row>
    <row r="40" spans="1:13" s="21" customFormat="1" x14ac:dyDescent="0.3">
      <c r="A40" s="48" t="s">
        <v>22</v>
      </c>
      <c r="B40" s="22"/>
      <c r="C40" s="59">
        <v>4</v>
      </c>
      <c r="D40" s="21" t="s">
        <v>184</v>
      </c>
      <c r="E40" s="21" t="s">
        <v>188</v>
      </c>
      <c r="F40" t="s">
        <v>23</v>
      </c>
      <c r="G40" s="22">
        <v>1024</v>
      </c>
      <c r="H40" s="22" t="s">
        <v>24</v>
      </c>
      <c r="I40" s="22" t="s">
        <v>17</v>
      </c>
      <c r="J40" s="73" t="s">
        <v>413</v>
      </c>
      <c r="K40" s="75">
        <v>0</v>
      </c>
      <c r="L40" s="22" t="s">
        <v>29</v>
      </c>
      <c r="M40" s="21" t="s">
        <v>192</v>
      </c>
    </row>
    <row r="41" spans="1:13" s="21" customFormat="1" x14ac:dyDescent="0.3">
      <c r="A41" s="48" t="s">
        <v>22</v>
      </c>
      <c r="B41" s="22"/>
      <c r="C41" s="59">
        <v>4</v>
      </c>
      <c r="D41" s="21" t="s">
        <v>185</v>
      </c>
      <c r="E41" s="21" t="s">
        <v>189</v>
      </c>
      <c r="F41" t="s">
        <v>23</v>
      </c>
      <c r="G41" s="22">
        <v>1024</v>
      </c>
      <c r="H41" s="22" t="s">
        <v>24</v>
      </c>
      <c r="I41" s="22" t="s">
        <v>17</v>
      </c>
      <c r="J41" s="73" t="s">
        <v>413</v>
      </c>
      <c r="K41" s="75">
        <v>0</v>
      </c>
      <c r="L41" s="22" t="s">
        <v>29</v>
      </c>
      <c r="M41" s="21" t="s">
        <v>193</v>
      </c>
    </row>
    <row r="42" spans="1:13" s="58" customFormat="1" x14ac:dyDescent="0.3">
      <c r="A42" s="58" t="s">
        <v>22</v>
      </c>
      <c r="B42" s="59"/>
      <c r="C42" s="59">
        <v>4</v>
      </c>
      <c r="D42" s="58" t="s">
        <v>194</v>
      </c>
      <c r="E42" s="58" t="s">
        <v>198</v>
      </c>
      <c r="F42" s="58" t="s">
        <v>23</v>
      </c>
      <c r="G42" s="59">
        <v>1024</v>
      </c>
      <c r="H42" s="59" t="s">
        <v>24</v>
      </c>
      <c r="I42" s="59" t="s">
        <v>17</v>
      </c>
      <c r="J42" s="59" t="s">
        <v>384</v>
      </c>
      <c r="K42" s="75">
        <v>0</v>
      </c>
      <c r="L42" s="59" t="s">
        <v>139</v>
      </c>
      <c r="M42" s="58" t="s">
        <v>202</v>
      </c>
    </row>
    <row r="43" spans="1:13" s="58" customFormat="1" x14ac:dyDescent="0.3">
      <c r="A43" s="58" t="s">
        <v>22</v>
      </c>
      <c r="B43" s="59"/>
      <c r="C43" s="59">
        <v>4</v>
      </c>
      <c r="D43" s="58" t="s">
        <v>195</v>
      </c>
      <c r="E43" s="58" t="s">
        <v>199</v>
      </c>
      <c r="F43" s="58" t="s">
        <v>23</v>
      </c>
      <c r="G43" s="59">
        <v>1024</v>
      </c>
      <c r="H43" s="59" t="s">
        <v>24</v>
      </c>
      <c r="I43" s="59" t="s">
        <v>17</v>
      </c>
      <c r="J43" s="59" t="s">
        <v>384</v>
      </c>
      <c r="K43" s="75">
        <v>0</v>
      </c>
      <c r="L43" s="59" t="s">
        <v>139</v>
      </c>
      <c r="M43" s="58" t="s">
        <v>203</v>
      </c>
    </row>
    <row r="44" spans="1:13" s="58" customFormat="1" x14ac:dyDescent="0.3">
      <c r="A44" s="58" t="s">
        <v>22</v>
      </c>
      <c r="B44" s="59"/>
      <c r="C44" s="59">
        <v>4</v>
      </c>
      <c r="D44" s="58" t="s">
        <v>196</v>
      </c>
      <c r="E44" s="58" t="s">
        <v>200</v>
      </c>
      <c r="F44" s="58" t="s">
        <v>23</v>
      </c>
      <c r="G44" s="59">
        <v>1024</v>
      </c>
      <c r="H44" s="59" t="s">
        <v>24</v>
      </c>
      <c r="I44" s="59" t="s">
        <v>17</v>
      </c>
      <c r="J44" s="59" t="s">
        <v>384</v>
      </c>
      <c r="K44" s="75">
        <v>0</v>
      </c>
      <c r="L44" s="59" t="s">
        <v>139</v>
      </c>
      <c r="M44" s="58" t="s">
        <v>205</v>
      </c>
    </row>
    <row r="45" spans="1:13" s="58" customFormat="1" x14ac:dyDescent="0.3">
      <c r="A45" s="58" t="s">
        <v>22</v>
      </c>
      <c r="B45" s="59"/>
      <c r="C45" s="59">
        <v>4</v>
      </c>
      <c r="D45" s="58" t="s">
        <v>197</v>
      </c>
      <c r="E45" s="58" t="s">
        <v>201</v>
      </c>
      <c r="F45" s="58" t="s">
        <v>23</v>
      </c>
      <c r="G45" s="59">
        <v>1024</v>
      </c>
      <c r="H45" s="59" t="s">
        <v>24</v>
      </c>
      <c r="I45" s="59" t="s">
        <v>17</v>
      </c>
      <c r="J45" s="59" t="s">
        <v>384</v>
      </c>
      <c r="K45" s="75">
        <v>0</v>
      </c>
      <c r="L45" s="59" t="s">
        <v>139</v>
      </c>
      <c r="M45" s="58" t="s">
        <v>204</v>
      </c>
    </row>
    <row r="46" spans="1:13" x14ac:dyDescent="0.3">
      <c r="C46" s="22"/>
    </row>
    <row r="47" spans="1:13" x14ac:dyDescent="0.3">
      <c r="C47" s="22"/>
    </row>
    <row r="48" spans="1:13" s="56" customFormat="1" x14ac:dyDescent="0.3">
      <c r="B48" s="57" t="s">
        <v>118</v>
      </c>
      <c r="C48" s="57">
        <v>2</v>
      </c>
      <c r="D48" s="56" t="s">
        <v>240</v>
      </c>
      <c r="E48" s="56" t="s">
        <v>241</v>
      </c>
      <c r="F48" s="56" t="s">
        <v>23</v>
      </c>
      <c r="G48" s="57">
        <v>1024</v>
      </c>
      <c r="H48" s="57" t="s">
        <v>24</v>
      </c>
      <c r="I48" s="57" t="s">
        <v>42</v>
      </c>
      <c r="J48" s="57" t="s">
        <v>18</v>
      </c>
      <c r="K48" s="57"/>
      <c r="L48" s="57" t="s">
        <v>136</v>
      </c>
      <c r="M48" s="56" t="s">
        <v>248</v>
      </c>
    </row>
    <row r="49" spans="2:13" s="56" customFormat="1" x14ac:dyDescent="0.3">
      <c r="B49" s="57"/>
      <c r="C49" s="57">
        <v>2</v>
      </c>
      <c r="D49" s="56" t="s">
        <v>242</v>
      </c>
      <c r="E49" s="56" t="s">
        <v>243</v>
      </c>
      <c r="F49" s="56" t="s">
        <v>25</v>
      </c>
      <c r="G49" s="57">
        <v>1024</v>
      </c>
      <c r="H49" s="57" t="s">
        <v>24</v>
      </c>
      <c r="I49" s="57" t="s">
        <v>42</v>
      </c>
      <c r="J49" s="57" t="s">
        <v>18</v>
      </c>
      <c r="K49" s="57"/>
      <c r="L49" s="57" t="s">
        <v>136</v>
      </c>
      <c r="M49" s="56" t="s">
        <v>249</v>
      </c>
    </row>
    <row r="50" spans="2:13" s="56" customFormat="1" x14ac:dyDescent="0.3">
      <c r="B50" s="57"/>
      <c r="C50" s="57">
        <v>2</v>
      </c>
      <c r="D50" s="56" t="s">
        <v>244</v>
      </c>
      <c r="E50" s="56" t="s">
        <v>245</v>
      </c>
      <c r="F50" s="56" t="s">
        <v>25</v>
      </c>
      <c r="G50" s="57">
        <v>1024</v>
      </c>
      <c r="H50" s="57" t="s">
        <v>24</v>
      </c>
      <c r="I50" s="57" t="s">
        <v>42</v>
      </c>
      <c r="J50" s="57" t="s">
        <v>18</v>
      </c>
      <c r="K50" s="57"/>
      <c r="L50" s="57" t="s">
        <v>136</v>
      </c>
      <c r="M50" s="56" t="s">
        <v>250</v>
      </c>
    </row>
    <row r="51" spans="2:13" s="56" customFormat="1" x14ac:dyDescent="0.3">
      <c r="B51" s="57"/>
      <c r="C51" s="57">
        <v>2</v>
      </c>
      <c r="D51" s="56" t="s">
        <v>246</v>
      </c>
      <c r="E51" s="56" t="s">
        <v>247</v>
      </c>
      <c r="F51" s="56" t="s">
        <v>23</v>
      </c>
      <c r="G51" s="57">
        <v>1024</v>
      </c>
      <c r="H51" s="57" t="s">
        <v>24</v>
      </c>
      <c r="I51" s="57" t="s">
        <v>42</v>
      </c>
      <c r="J51" s="57" t="s">
        <v>18</v>
      </c>
      <c r="K51" s="57"/>
      <c r="L51" s="57" t="s">
        <v>136</v>
      </c>
      <c r="M51" s="56" t="s">
        <v>251</v>
      </c>
    </row>
    <row r="52" spans="2:13" x14ac:dyDescent="0.3">
      <c r="B52" s="36" t="s">
        <v>118</v>
      </c>
      <c r="C52" s="36">
        <v>3</v>
      </c>
      <c r="D52" t="s">
        <v>252</v>
      </c>
      <c r="E52" t="s">
        <v>253</v>
      </c>
      <c r="F52" t="s">
        <v>23</v>
      </c>
      <c r="G52" s="22">
        <v>1024</v>
      </c>
      <c r="H52" s="22" t="s">
        <v>24</v>
      </c>
      <c r="I52" s="22" t="s">
        <v>17</v>
      </c>
      <c r="J52" s="22" t="s">
        <v>18</v>
      </c>
      <c r="K52" s="36"/>
      <c r="L52" s="22" t="s">
        <v>20</v>
      </c>
      <c r="M52" t="s">
        <v>260</v>
      </c>
    </row>
    <row r="53" spans="2:13" x14ac:dyDescent="0.3">
      <c r="B53" s="36"/>
      <c r="C53" s="36">
        <v>3</v>
      </c>
      <c r="D53" t="s">
        <v>254</v>
      </c>
      <c r="E53" t="s">
        <v>255</v>
      </c>
      <c r="F53" t="s">
        <v>25</v>
      </c>
      <c r="G53" s="22">
        <v>1024</v>
      </c>
      <c r="H53" s="22" t="s">
        <v>24</v>
      </c>
      <c r="I53" s="22" t="s">
        <v>17</v>
      </c>
      <c r="J53" s="22" t="s">
        <v>18</v>
      </c>
      <c r="K53" s="36"/>
      <c r="L53" s="22" t="s">
        <v>20</v>
      </c>
      <c r="M53" t="s">
        <v>261</v>
      </c>
    </row>
    <row r="54" spans="2:13" x14ac:dyDescent="0.3">
      <c r="B54" s="36"/>
      <c r="C54" s="36">
        <v>3</v>
      </c>
      <c r="D54" t="s">
        <v>256</v>
      </c>
      <c r="E54" t="s">
        <v>257</v>
      </c>
      <c r="F54" t="s">
        <v>25</v>
      </c>
      <c r="G54" s="22">
        <v>1024</v>
      </c>
      <c r="H54" s="22" t="s">
        <v>24</v>
      </c>
      <c r="I54" s="22" t="s">
        <v>17</v>
      </c>
      <c r="J54" s="22" t="s">
        <v>18</v>
      </c>
      <c r="K54" s="36"/>
      <c r="L54" s="22" t="s">
        <v>20</v>
      </c>
      <c r="M54" t="s">
        <v>262</v>
      </c>
    </row>
    <row r="55" spans="2:13" x14ac:dyDescent="0.3">
      <c r="B55" s="36"/>
      <c r="C55" s="36">
        <v>3</v>
      </c>
      <c r="D55" t="s">
        <v>258</v>
      </c>
      <c r="E55" t="s">
        <v>259</v>
      </c>
      <c r="F55" t="s">
        <v>23</v>
      </c>
      <c r="G55" s="22">
        <v>1024</v>
      </c>
      <c r="H55" s="22" t="s">
        <v>24</v>
      </c>
      <c r="I55" s="22" t="s">
        <v>17</v>
      </c>
      <c r="J55" s="22" t="s">
        <v>18</v>
      </c>
      <c r="K55" s="36"/>
      <c r="L55" s="22" t="s">
        <v>20</v>
      </c>
      <c r="M55" t="s">
        <v>263</v>
      </c>
    </row>
    <row r="56" spans="2:13" s="56" customFormat="1" x14ac:dyDescent="0.3">
      <c r="B56" s="57" t="s">
        <v>118</v>
      </c>
      <c r="C56" s="57">
        <v>4</v>
      </c>
      <c r="D56" s="56" t="s">
        <v>264</v>
      </c>
      <c r="E56" s="56" t="s">
        <v>265</v>
      </c>
      <c r="F56" s="56" t="s">
        <v>23</v>
      </c>
      <c r="G56" s="57">
        <v>1024</v>
      </c>
      <c r="H56" s="57" t="s">
        <v>24</v>
      </c>
      <c r="I56" s="57" t="s">
        <v>42</v>
      </c>
      <c r="J56" s="57" t="s">
        <v>18</v>
      </c>
      <c r="K56" s="57"/>
      <c r="L56" s="57" t="s">
        <v>29</v>
      </c>
      <c r="M56" s="56" t="s">
        <v>272</v>
      </c>
    </row>
    <row r="57" spans="2:13" s="56" customFormat="1" x14ac:dyDescent="0.3">
      <c r="B57" s="57"/>
      <c r="C57" s="57">
        <v>4</v>
      </c>
      <c r="D57" s="56" t="s">
        <v>266</v>
      </c>
      <c r="E57" s="56" t="s">
        <v>267</v>
      </c>
      <c r="F57" s="56" t="s">
        <v>25</v>
      </c>
      <c r="G57" s="57">
        <v>1024</v>
      </c>
      <c r="H57" s="57" t="s">
        <v>24</v>
      </c>
      <c r="I57" s="57" t="s">
        <v>42</v>
      </c>
      <c r="J57" s="57" t="s">
        <v>18</v>
      </c>
      <c r="K57" s="57"/>
      <c r="L57" s="57" t="s">
        <v>29</v>
      </c>
      <c r="M57" s="56" t="s">
        <v>273</v>
      </c>
    </row>
    <row r="58" spans="2:13" s="56" customFormat="1" x14ac:dyDescent="0.3">
      <c r="B58" s="57"/>
      <c r="C58" s="57">
        <v>4</v>
      </c>
      <c r="D58" s="56" t="s">
        <v>268</v>
      </c>
      <c r="E58" s="56" t="s">
        <v>269</v>
      </c>
      <c r="F58" s="56" t="s">
        <v>25</v>
      </c>
      <c r="G58" s="57">
        <v>1024</v>
      </c>
      <c r="H58" s="57" t="s">
        <v>24</v>
      </c>
      <c r="I58" s="57" t="s">
        <v>42</v>
      </c>
      <c r="J58" s="57" t="s">
        <v>18</v>
      </c>
      <c r="K58" s="57"/>
      <c r="L58" s="57" t="s">
        <v>29</v>
      </c>
      <c r="M58" s="56" t="s">
        <v>274</v>
      </c>
    </row>
    <row r="59" spans="2:13" s="56" customFormat="1" x14ac:dyDescent="0.3">
      <c r="B59" s="57"/>
      <c r="C59" s="57">
        <v>4</v>
      </c>
      <c r="D59" s="56" t="s">
        <v>270</v>
      </c>
      <c r="E59" s="56" t="s">
        <v>271</v>
      </c>
      <c r="F59" s="56" t="s">
        <v>23</v>
      </c>
      <c r="G59" s="57">
        <v>1024</v>
      </c>
      <c r="H59" s="57" t="s">
        <v>24</v>
      </c>
      <c r="I59" s="57" t="s">
        <v>42</v>
      </c>
      <c r="J59" s="57" t="s">
        <v>18</v>
      </c>
      <c r="K59" s="57"/>
      <c r="L59" s="57" t="s">
        <v>29</v>
      </c>
      <c r="M59" s="56" t="s">
        <v>275</v>
      </c>
    </row>
    <row r="60" spans="2:13" x14ac:dyDescent="0.3">
      <c r="B60" s="36" t="s">
        <v>118</v>
      </c>
      <c r="C60" s="36">
        <v>5</v>
      </c>
      <c r="D60" t="s">
        <v>206</v>
      </c>
      <c r="E60" t="s">
        <v>276</v>
      </c>
      <c r="F60" t="s">
        <v>23</v>
      </c>
      <c r="G60" s="22">
        <v>1024</v>
      </c>
      <c r="H60" s="22" t="s">
        <v>24</v>
      </c>
      <c r="I60" s="22" t="s">
        <v>17</v>
      </c>
      <c r="J60" s="22" t="s">
        <v>18</v>
      </c>
      <c r="K60" s="36"/>
      <c r="L60" s="22" t="s">
        <v>20</v>
      </c>
      <c r="M60" t="s">
        <v>283</v>
      </c>
    </row>
    <row r="61" spans="2:13" x14ac:dyDescent="0.3">
      <c r="B61" s="36"/>
      <c r="C61" s="36">
        <v>5</v>
      </c>
      <c r="D61" t="s">
        <v>277</v>
      </c>
      <c r="E61" t="s">
        <v>278</v>
      </c>
      <c r="F61" t="s">
        <v>25</v>
      </c>
      <c r="G61" s="22">
        <v>1024</v>
      </c>
      <c r="H61" s="22" t="s">
        <v>24</v>
      </c>
      <c r="I61" s="22" t="s">
        <v>17</v>
      </c>
      <c r="J61" s="22" t="s">
        <v>18</v>
      </c>
      <c r="K61" s="36"/>
      <c r="L61" s="22" t="s">
        <v>20</v>
      </c>
      <c r="M61" t="s">
        <v>284</v>
      </c>
    </row>
    <row r="62" spans="2:13" x14ac:dyDescent="0.3">
      <c r="B62" s="36"/>
      <c r="C62" s="36">
        <v>5</v>
      </c>
      <c r="D62" t="s">
        <v>279</v>
      </c>
      <c r="E62" t="s">
        <v>280</v>
      </c>
      <c r="F62" t="s">
        <v>25</v>
      </c>
      <c r="G62" s="22">
        <v>1024</v>
      </c>
      <c r="H62" s="22" t="s">
        <v>24</v>
      </c>
      <c r="I62" s="22" t="s">
        <v>17</v>
      </c>
      <c r="J62" s="22" t="s">
        <v>18</v>
      </c>
      <c r="K62" s="36"/>
      <c r="L62" s="22" t="s">
        <v>20</v>
      </c>
      <c r="M62" t="s">
        <v>285</v>
      </c>
    </row>
    <row r="63" spans="2:13" x14ac:dyDescent="0.3">
      <c r="B63" s="36"/>
      <c r="C63" s="36">
        <v>5</v>
      </c>
      <c r="D63" t="s">
        <v>281</v>
      </c>
      <c r="E63" t="s">
        <v>282</v>
      </c>
      <c r="F63" t="s">
        <v>23</v>
      </c>
      <c r="G63" s="22">
        <v>1024</v>
      </c>
      <c r="H63" s="22" t="s">
        <v>24</v>
      </c>
      <c r="I63" s="22" t="s">
        <v>17</v>
      </c>
      <c r="J63" s="22" t="s">
        <v>18</v>
      </c>
      <c r="K63" s="36"/>
      <c r="L63" s="22" t="s">
        <v>20</v>
      </c>
      <c r="M63" t="s">
        <v>286</v>
      </c>
    </row>
    <row r="64" spans="2:13" s="56" customFormat="1" x14ac:dyDescent="0.3">
      <c r="B64" s="57" t="s">
        <v>118</v>
      </c>
      <c r="C64" s="57">
        <v>6</v>
      </c>
      <c r="D64" s="56" t="s">
        <v>287</v>
      </c>
      <c r="E64" s="56" t="s">
        <v>288</v>
      </c>
      <c r="F64" s="56" t="s">
        <v>23</v>
      </c>
      <c r="G64" s="57">
        <v>1024</v>
      </c>
      <c r="H64" s="57" t="s">
        <v>24</v>
      </c>
      <c r="I64" s="57" t="s">
        <v>42</v>
      </c>
      <c r="J64" s="57" t="s">
        <v>18</v>
      </c>
      <c r="K64" s="57"/>
      <c r="L64" s="57" t="s">
        <v>29</v>
      </c>
      <c r="M64" s="56" t="s">
        <v>295</v>
      </c>
    </row>
    <row r="65" spans="1:13" s="56" customFormat="1" x14ac:dyDescent="0.3">
      <c r="B65" s="57"/>
      <c r="C65" s="57">
        <v>6</v>
      </c>
      <c r="D65" s="56" t="s">
        <v>289</v>
      </c>
      <c r="E65" s="56" t="s">
        <v>290</v>
      </c>
      <c r="F65" s="56" t="s">
        <v>25</v>
      </c>
      <c r="G65" s="57">
        <v>1024</v>
      </c>
      <c r="H65" s="57" t="s">
        <v>24</v>
      </c>
      <c r="I65" s="57" t="s">
        <v>42</v>
      </c>
      <c r="J65" s="57" t="s">
        <v>18</v>
      </c>
      <c r="K65" s="57"/>
      <c r="L65" s="57" t="s">
        <v>29</v>
      </c>
      <c r="M65" s="56" t="s">
        <v>296</v>
      </c>
    </row>
    <row r="66" spans="1:13" s="56" customFormat="1" x14ac:dyDescent="0.3">
      <c r="B66" s="57"/>
      <c r="C66" s="57">
        <v>6</v>
      </c>
      <c r="D66" s="56" t="s">
        <v>291</v>
      </c>
      <c r="E66" s="56" t="s">
        <v>292</v>
      </c>
      <c r="F66" s="56" t="s">
        <v>25</v>
      </c>
      <c r="G66" s="57">
        <v>1024</v>
      </c>
      <c r="H66" s="57" t="s">
        <v>24</v>
      </c>
      <c r="I66" s="57" t="s">
        <v>42</v>
      </c>
      <c r="J66" s="57" t="s">
        <v>18</v>
      </c>
      <c r="K66" s="57"/>
      <c r="L66" s="57" t="s">
        <v>29</v>
      </c>
      <c r="M66" s="56" t="s">
        <v>297</v>
      </c>
    </row>
    <row r="67" spans="1:13" s="56" customFormat="1" x14ac:dyDescent="0.3">
      <c r="B67" s="57"/>
      <c r="C67" s="57">
        <v>6</v>
      </c>
      <c r="D67" s="56" t="s">
        <v>293</v>
      </c>
      <c r="E67" s="56" t="s">
        <v>294</v>
      </c>
      <c r="F67" s="56" t="s">
        <v>23</v>
      </c>
      <c r="G67" s="57">
        <v>1024</v>
      </c>
      <c r="H67" s="57" t="s">
        <v>24</v>
      </c>
      <c r="I67" s="57" t="s">
        <v>42</v>
      </c>
      <c r="J67" s="57" t="s">
        <v>18</v>
      </c>
      <c r="K67" s="57"/>
      <c r="L67" s="57" t="s">
        <v>29</v>
      </c>
      <c r="M67" s="56" t="s">
        <v>298</v>
      </c>
    </row>
    <row r="68" spans="1:13" x14ac:dyDescent="0.3">
      <c r="B68" s="36" t="s">
        <v>118</v>
      </c>
      <c r="C68" s="36">
        <v>7</v>
      </c>
      <c r="D68" t="s">
        <v>299</v>
      </c>
      <c r="E68" t="s">
        <v>300</v>
      </c>
      <c r="F68" t="s">
        <v>23</v>
      </c>
      <c r="G68" s="36">
        <v>1024</v>
      </c>
      <c r="H68" s="36" t="s">
        <v>24</v>
      </c>
      <c r="I68" s="36" t="s">
        <v>42</v>
      </c>
      <c r="J68" s="36" t="s">
        <v>18</v>
      </c>
      <c r="K68" s="36"/>
      <c r="L68" s="36" t="s">
        <v>29</v>
      </c>
      <c r="M68" t="s">
        <v>307</v>
      </c>
    </row>
    <row r="69" spans="1:13" x14ac:dyDescent="0.3">
      <c r="B69" s="36"/>
      <c r="C69" s="36">
        <v>7</v>
      </c>
      <c r="D69" t="s">
        <v>301</v>
      </c>
      <c r="E69" t="s">
        <v>302</v>
      </c>
      <c r="F69" t="s">
        <v>25</v>
      </c>
      <c r="G69" s="36">
        <v>1024</v>
      </c>
      <c r="H69" s="36" t="s">
        <v>24</v>
      </c>
      <c r="I69" s="36" t="s">
        <v>42</v>
      </c>
      <c r="J69" s="36" t="s">
        <v>18</v>
      </c>
      <c r="K69" s="36"/>
      <c r="L69" s="36" t="s">
        <v>29</v>
      </c>
      <c r="M69" t="s">
        <v>308</v>
      </c>
    </row>
    <row r="70" spans="1:13" x14ac:dyDescent="0.3">
      <c r="B70" s="36"/>
      <c r="C70" s="36">
        <v>7</v>
      </c>
      <c r="D70" t="s">
        <v>303</v>
      </c>
      <c r="E70" t="s">
        <v>304</v>
      </c>
      <c r="F70" t="s">
        <v>25</v>
      </c>
      <c r="G70" s="36">
        <v>1024</v>
      </c>
      <c r="H70" s="36" t="s">
        <v>24</v>
      </c>
      <c r="I70" s="36" t="s">
        <v>42</v>
      </c>
      <c r="J70" s="36" t="s">
        <v>18</v>
      </c>
      <c r="K70" s="36"/>
      <c r="L70" s="36" t="s">
        <v>29</v>
      </c>
      <c r="M70" t="s">
        <v>309</v>
      </c>
    </row>
    <row r="71" spans="1:13" x14ac:dyDescent="0.3">
      <c r="B71" s="36"/>
      <c r="C71" s="36">
        <v>7</v>
      </c>
      <c r="D71" t="s">
        <v>305</v>
      </c>
      <c r="E71" t="s">
        <v>306</v>
      </c>
      <c r="F71" t="s">
        <v>23</v>
      </c>
      <c r="G71" s="36">
        <v>1024</v>
      </c>
      <c r="H71" s="36" t="s">
        <v>24</v>
      </c>
      <c r="I71" s="36" t="s">
        <v>42</v>
      </c>
      <c r="J71" s="36" t="s">
        <v>18</v>
      </c>
      <c r="K71" s="36"/>
      <c r="L71" s="36" t="s">
        <v>29</v>
      </c>
      <c r="M71" t="s">
        <v>310</v>
      </c>
    </row>
    <row r="72" spans="1:13" s="56" customFormat="1" x14ac:dyDescent="0.3">
      <c r="B72" s="57" t="s">
        <v>118</v>
      </c>
      <c r="C72" s="57">
        <v>8</v>
      </c>
      <c r="D72" s="56" t="s">
        <v>311</v>
      </c>
      <c r="E72" s="56" t="s">
        <v>312</v>
      </c>
      <c r="F72" s="56" t="s">
        <v>23</v>
      </c>
      <c r="G72" s="57">
        <v>1024</v>
      </c>
      <c r="H72" s="57" t="s">
        <v>24</v>
      </c>
      <c r="I72" s="57" t="s">
        <v>56</v>
      </c>
      <c r="J72" s="57" t="s">
        <v>18</v>
      </c>
      <c r="K72" s="57"/>
      <c r="L72" s="57"/>
      <c r="M72" s="56" t="s">
        <v>319</v>
      </c>
    </row>
    <row r="73" spans="1:13" s="56" customFormat="1" x14ac:dyDescent="0.3">
      <c r="B73" s="57"/>
      <c r="C73" s="57">
        <v>8</v>
      </c>
      <c r="D73" s="56" t="s">
        <v>313</v>
      </c>
      <c r="E73" s="56" t="s">
        <v>314</v>
      </c>
      <c r="F73" s="56" t="s">
        <v>25</v>
      </c>
      <c r="G73" s="57">
        <v>1024</v>
      </c>
      <c r="H73" s="57" t="s">
        <v>24</v>
      </c>
      <c r="I73" s="57" t="s">
        <v>56</v>
      </c>
      <c r="J73" s="57" t="s">
        <v>18</v>
      </c>
      <c r="K73" s="57"/>
      <c r="L73" s="57"/>
      <c r="M73" s="56" t="s">
        <v>320</v>
      </c>
    </row>
    <row r="74" spans="1:13" s="56" customFormat="1" x14ac:dyDescent="0.3">
      <c r="B74" s="57"/>
      <c r="C74" s="57">
        <v>8</v>
      </c>
      <c r="D74" s="56" t="s">
        <v>315</v>
      </c>
      <c r="E74" s="56" t="s">
        <v>316</v>
      </c>
      <c r="F74" s="56" t="s">
        <v>25</v>
      </c>
      <c r="G74" s="57">
        <v>1024</v>
      </c>
      <c r="H74" s="57" t="s">
        <v>24</v>
      </c>
      <c r="I74" s="57" t="s">
        <v>56</v>
      </c>
      <c r="J74" s="57" t="s">
        <v>18</v>
      </c>
      <c r="K74" s="57"/>
      <c r="L74" s="57"/>
      <c r="M74" s="56" t="s">
        <v>321</v>
      </c>
    </row>
    <row r="75" spans="1:13" s="56" customFormat="1" x14ac:dyDescent="0.3">
      <c r="B75" s="57"/>
      <c r="C75" s="57">
        <v>8</v>
      </c>
      <c r="D75" s="56" t="s">
        <v>317</v>
      </c>
      <c r="E75" s="56" t="s">
        <v>318</v>
      </c>
      <c r="F75" s="56" t="s">
        <v>23</v>
      </c>
      <c r="G75" s="57">
        <v>1024</v>
      </c>
      <c r="H75" s="57" t="s">
        <v>24</v>
      </c>
      <c r="I75" s="57" t="s">
        <v>56</v>
      </c>
      <c r="J75" s="57" t="s">
        <v>18</v>
      </c>
      <c r="K75" s="57"/>
      <c r="L75" s="57"/>
      <c r="M75" s="56" t="s">
        <v>322</v>
      </c>
    </row>
    <row r="76" spans="1:13" x14ac:dyDescent="0.3">
      <c r="B76" s="36" t="s">
        <v>118</v>
      </c>
      <c r="C76" s="36">
        <v>9</v>
      </c>
      <c r="D76" t="s">
        <v>323</v>
      </c>
      <c r="E76" t="s">
        <v>324</v>
      </c>
      <c r="F76" t="s">
        <v>23</v>
      </c>
      <c r="G76" s="36">
        <v>1024</v>
      </c>
      <c r="H76" s="36" t="s">
        <v>24</v>
      </c>
      <c r="I76" s="36" t="s">
        <v>42</v>
      </c>
      <c r="J76" s="36" t="s">
        <v>18</v>
      </c>
      <c r="K76" s="36"/>
      <c r="L76" s="36" t="s">
        <v>29</v>
      </c>
      <c r="M76" t="s">
        <v>331</v>
      </c>
    </row>
    <row r="77" spans="1:13" x14ac:dyDescent="0.3">
      <c r="B77" s="36"/>
      <c r="C77" s="36">
        <v>9</v>
      </c>
      <c r="D77" t="s">
        <v>325</v>
      </c>
      <c r="E77" t="s">
        <v>326</v>
      </c>
      <c r="F77" t="s">
        <v>25</v>
      </c>
      <c r="G77" s="36">
        <v>1024</v>
      </c>
      <c r="H77" s="36" t="s">
        <v>24</v>
      </c>
      <c r="I77" s="36" t="s">
        <v>42</v>
      </c>
      <c r="J77" s="36" t="s">
        <v>18</v>
      </c>
      <c r="K77" s="36"/>
      <c r="L77" s="36" t="s">
        <v>29</v>
      </c>
      <c r="M77" t="s">
        <v>332</v>
      </c>
    </row>
    <row r="78" spans="1:13" x14ac:dyDescent="0.3">
      <c r="B78" s="36"/>
      <c r="C78" s="36">
        <v>9</v>
      </c>
      <c r="D78" t="s">
        <v>327</v>
      </c>
      <c r="E78" t="s">
        <v>328</v>
      </c>
      <c r="F78" t="s">
        <v>25</v>
      </c>
      <c r="G78" s="36">
        <v>1024</v>
      </c>
      <c r="H78" s="36" t="s">
        <v>24</v>
      </c>
      <c r="I78" s="36" t="s">
        <v>42</v>
      </c>
      <c r="J78" s="36" t="s">
        <v>18</v>
      </c>
      <c r="K78" s="36"/>
      <c r="L78" s="36" t="s">
        <v>29</v>
      </c>
      <c r="M78" t="s">
        <v>333</v>
      </c>
    </row>
    <row r="79" spans="1:13" x14ac:dyDescent="0.3">
      <c r="B79" s="36"/>
      <c r="C79" s="36">
        <v>9</v>
      </c>
      <c r="D79" t="s">
        <v>329</v>
      </c>
      <c r="E79" t="s">
        <v>330</v>
      </c>
      <c r="F79" t="s">
        <v>23</v>
      </c>
      <c r="G79" s="36">
        <v>1024</v>
      </c>
      <c r="H79" s="36" t="s">
        <v>24</v>
      </c>
      <c r="I79" s="36" t="s">
        <v>42</v>
      </c>
      <c r="J79" s="36" t="s">
        <v>18</v>
      </c>
      <c r="K79" s="36"/>
      <c r="L79" s="36" t="s">
        <v>29</v>
      </c>
      <c r="M79" t="s">
        <v>334</v>
      </c>
    </row>
    <row r="80" spans="1:13" s="21" customFormat="1" x14ac:dyDescent="0.3">
      <c r="A80" s="48"/>
      <c r="B80" s="22">
        <v>1</v>
      </c>
      <c r="C80" s="22">
        <v>8</v>
      </c>
      <c r="D80" s="21" t="s">
        <v>37</v>
      </c>
      <c r="F80" s="21" t="s">
        <v>26</v>
      </c>
      <c r="G80" s="22">
        <v>64512</v>
      </c>
      <c r="H80" s="22" t="s">
        <v>24</v>
      </c>
      <c r="I80" s="22" t="s">
        <v>38</v>
      </c>
      <c r="J80" s="22" t="s">
        <v>18</v>
      </c>
      <c r="K80" s="22">
        <v>1</v>
      </c>
      <c r="L80" s="22"/>
    </row>
    <row r="81" spans="1:13" s="21" customFormat="1" ht="15" customHeight="1" x14ac:dyDescent="0.3">
      <c r="A81" s="48"/>
      <c r="B81" s="22">
        <v>1</v>
      </c>
      <c r="C81" s="22">
        <v>9</v>
      </c>
      <c r="D81" s="21" t="s">
        <v>39</v>
      </c>
      <c r="F81" s="21" t="s">
        <v>26</v>
      </c>
      <c r="G81" s="22">
        <v>64512</v>
      </c>
      <c r="H81" s="22" t="s">
        <v>24</v>
      </c>
      <c r="I81" s="22" t="s">
        <v>38</v>
      </c>
      <c r="J81" s="22" t="s">
        <v>18</v>
      </c>
      <c r="K81" s="22">
        <v>1</v>
      </c>
      <c r="L81" s="22"/>
    </row>
    <row r="82" spans="1:13" x14ac:dyDescent="0.3">
      <c r="B82" s="36" t="s">
        <v>118</v>
      </c>
      <c r="C82" s="22">
        <v>10</v>
      </c>
      <c r="D82" t="s">
        <v>410</v>
      </c>
      <c r="F82" s="21" t="s">
        <v>26</v>
      </c>
      <c r="G82" s="22">
        <v>64512</v>
      </c>
      <c r="H82" s="22" t="s">
        <v>24</v>
      </c>
      <c r="I82" s="22" t="s">
        <v>38</v>
      </c>
      <c r="J82" s="22" t="s">
        <v>18</v>
      </c>
      <c r="K82" s="36">
        <v>2</v>
      </c>
    </row>
    <row r="83" spans="1:13" x14ac:dyDescent="0.3">
      <c r="C83" s="22">
        <v>10</v>
      </c>
      <c r="D83" t="s">
        <v>411</v>
      </c>
      <c r="F83" s="21" t="s">
        <v>26</v>
      </c>
      <c r="G83" s="22">
        <v>64512</v>
      </c>
      <c r="H83" s="22" t="s">
        <v>24</v>
      </c>
      <c r="I83" s="22" t="s">
        <v>38</v>
      </c>
      <c r="J83" s="22" t="s">
        <v>18</v>
      </c>
      <c r="K83" s="36">
        <v>0</v>
      </c>
    </row>
    <row r="84" spans="1:13" x14ac:dyDescent="0.3">
      <c r="B84" s="36" t="s">
        <v>118</v>
      </c>
      <c r="C84" s="22">
        <v>11</v>
      </c>
      <c r="D84" t="s">
        <v>223</v>
      </c>
      <c r="F84" s="21" t="s">
        <v>26</v>
      </c>
      <c r="G84" s="22">
        <v>64512</v>
      </c>
      <c r="H84" s="22" t="s">
        <v>24</v>
      </c>
      <c r="I84" s="22" t="s">
        <v>38</v>
      </c>
      <c r="J84" s="22" t="s">
        <v>18</v>
      </c>
      <c r="K84" s="36">
        <v>0</v>
      </c>
    </row>
    <row r="88" spans="1:13" s="19" customFormat="1" x14ac:dyDescent="0.3">
      <c r="A88" s="17"/>
      <c r="B88" s="18" t="s">
        <v>118</v>
      </c>
      <c r="C88" s="18">
        <v>2</v>
      </c>
      <c r="D88" s="19" t="s">
        <v>281</v>
      </c>
      <c r="E88" s="19" t="s">
        <v>142</v>
      </c>
      <c r="F88" s="19" t="s">
        <v>33</v>
      </c>
      <c r="G88" s="18">
        <v>1024</v>
      </c>
      <c r="H88" s="18" t="s">
        <v>24</v>
      </c>
      <c r="I88" s="18" t="s">
        <v>17</v>
      </c>
      <c r="J88" s="18" t="s">
        <v>18</v>
      </c>
      <c r="K88" s="18"/>
      <c r="L88" s="18" t="s">
        <v>20</v>
      </c>
      <c r="M88" s="19" t="s">
        <v>404</v>
      </c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8"/>
  <sheetViews>
    <sheetView workbookViewId="0">
      <selection activeCell="L9" sqref="L9"/>
    </sheetView>
  </sheetViews>
  <sheetFormatPr defaultRowHeight="14.4" x14ac:dyDescent="0.3"/>
  <cols>
    <col min="1" max="1" width="8.5546875" style="16" customWidth="1"/>
    <col min="2" max="2" width="5.88671875" customWidth="1"/>
    <col min="3" max="3" width="16" customWidth="1"/>
    <col min="4" max="4" width="16.44140625" bestFit="1" customWidth="1"/>
    <col min="5" max="5" width="16.109375" bestFit="1" customWidth="1"/>
    <col min="7" max="7" width="19" customWidth="1"/>
    <col min="8" max="8" width="10.33203125" customWidth="1"/>
    <col min="9" max="9" width="15" customWidth="1"/>
    <col min="11" max="11" width="7.33203125" customWidth="1"/>
    <col min="12" max="12" width="34.88671875" bestFit="1" customWidth="1"/>
    <col min="13" max="13" width="15.109375" customWidth="1"/>
    <col min="14" max="14" width="16.5546875" customWidth="1"/>
    <col min="15" max="15" width="19.109375" customWidth="1"/>
    <col min="16" max="16" width="23" customWidth="1"/>
  </cols>
  <sheetData>
    <row r="1" spans="1:17" x14ac:dyDescent="0.3">
      <c r="A1" s="14"/>
      <c r="J1" s="1"/>
    </row>
    <row r="2" spans="1:17" x14ac:dyDescent="0.3">
      <c r="A2" s="14"/>
      <c r="B2" s="1"/>
      <c r="J2" s="1"/>
    </row>
    <row r="3" spans="1:17" x14ac:dyDescent="0.3">
      <c r="A3" s="14"/>
      <c r="B3" s="1"/>
      <c r="J3" s="1"/>
    </row>
    <row r="4" spans="1:17" s="2" customFormat="1" ht="15" customHeight="1" x14ac:dyDescent="0.3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x14ac:dyDescent="0.3">
      <c r="A5" s="16" t="s">
        <v>22</v>
      </c>
      <c r="B5" s="1">
        <v>1</v>
      </c>
      <c r="C5" s="6" t="s">
        <v>51</v>
      </c>
      <c r="E5" t="s">
        <v>26</v>
      </c>
      <c r="F5" s="1">
        <v>1024</v>
      </c>
      <c r="G5" s="1" t="s">
        <v>52</v>
      </c>
      <c r="H5" s="1" t="s">
        <v>28</v>
      </c>
      <c r="I5" s="22" t="s">
        <v>18</v>
      </c>
      <c r="J5" s="1" t="s">
        <v>53</v>
      </c>
      <c r="K5" s="1"/>
      <c r="L5" s="6" t="s">
        <v>53</v>
      </c>
    </row>
    <row r="6" spans="1:17" x14ac:dyDescent="0.3">
      <c r="A6" s="16" t="s">
        <v>22</v>
      </c>
      <c r="B6" s="79">
        <v>1</v>
      </c>
      <c r="C6" t="s">
        <v>54</v>
      </c>
      <c r="D6" t="s">
        <v>55</v>
      </c>
      <c r="E6" t="s">
        <v>15</v>
      </c>
      <c r="F6" s="79">
        <v>1024</v>
      </c>
      <c r="G6" s="79" t="s">
        <v>52</v>
      </c>
      <c r="H6" s="79" t="s">
        <v>56</v>
      </c>
      <c r="I6" s="79" t="s">
        <v>18</v>
      </c>
      <c r="L6" t="s">
        <v>537</v>
      </c>
    </row>
    <row r="7" spans="1:17" x14ac:dyDescent="0.3">
      <c r="A7" s="16" t="s">
        <v>22</v>
      </c>
      <c r="B7" s="1">
        <v>1</v>
      </c>
      <c r="C7" t="s">
        <v>57</v>
      </c>
      <c r="D7" t="s">
        <v>535</v>
      </c>
      <c r="E7" t="s">
        <v>15</v>
      </c>
      <c r="F7" s="1">
        <v>1024</v>
      </c>
      <c r="G7" s="1" t="s">
        <v>52</v>
      </c>
      <c r="H7" s="1" t="s">
        <v>56</v>
      </c>
      <c r="I7" s="1" t="s">
        <v>18</v>
      </c>
      <c r="J7" s="1"/>
      <c r="K7" s="1"/>
      <c r="L7" t="s">
        <v>538</v>
      </c>
    </row>
    <row r="8" spans="1:17" x14ac:dyDescent="0.3">
      <c r="A8" s="16" t="s">
        <v>22</v>
      </c>
      <c r="B8" s="1">
        <v>1</v>
      </c>
      <c r="C8" t="s">
        <v>58</v>
      </c>
      <c r="D8" t="s">
        <v>536</v>
      </c>
      <c r="E8" t="s">
        <v>15</v>
      </c>
      <c r="F8" s="1">
        <v>1024</v>
      </c>
      <c r="G8" s="1" t="s">
        <v>52</v>
      </c>
      <c r="H8" s="1" t="s">
        <v>56</v>
      </c>
      <c r="I8" s="1" t="s">
        <v>18</v>
      </c>
      <c r="J8" s="1"/>
      <c r="K8" s="1"/>
      <c r="L8" t="s">
        <v>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"/>
  <sheetViews>
    <sheetView workbookViewId="0">
      <selection activeCell="C35" sqref="C35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0"/>
  <sheetViews>
    <sheetView workbookViewId="0">
      <selection activeCell="A8" sqref="A8"/>
    </sheetView>
  </sheetViews>
  <sheetFormatPr defaultRowHeight="14.4" x14ac:dyDescent="0.3"/>
  <cols>
    <col min="1" max="1" width="8.6640625" style="6" customWidth="1"/>
    <col min="2" max="2" width="8.109375" customWidth="1"/>
    <col min="3" max="3" width="4.6640625" style="21" customWidth="1"/>
    <col min="4" max="4" width="19.88671875" customWidth="1"/>
    <col min="5" max="5" width="25.88671875" customWidth="1"/>
    <col min="6" max="6" width="32.44140625" customWidth="1"/>
    <col min="7" max="7" width="8.109375" customWidth="1"/>
    <col min="8" max="8" width="19.44140625" customWidth="1"/>
    <col min="9" max="9" width="11.33203125" customWidth="1"/>
    <col min="10" max="10" width="22.33203125" customWidth="1"/>
    <col min="11" max="11" width="20.5546875" style="1" customWidth="1"/>
    <col min="12" max="12" width="13.33203125" customWidth="1"/>
    <col min="13" max="13" width="7.88671875" customWidth="1"/>
  </cols>
  <sheetData>
    <row r="2" spans="1:14" x14ac:dyDescent="0.3">
      <c r="C2" s="22"/>
    </row>
    <row r="3" spans="1:14" x14ac:dyDescent="0.3">
      <c r="C3" s="22"/>
    </row>
    <row r="4" spans="1:14" s="2" customFormat="1" ht="15" customHeight="1" x14ac:dyDescent="0.3">
      <c r="A4" s="7"/>
      <c r="B4" s="2" t="s">
        <v>14</v>
      </c>
      <c r="C4" s="23" t="s">
        <v>30</v>
      </c>
      <c r="D4" s="20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8</v>
      </c>
      <c r="M4" s="4" t="s">
        <v>19</v>
      </c>
      <c r="N4" s="4" t="s">
        <v>13</v>
      </c>
    </row>
    <row r="5" spans="1:14" s="10" customFormat="1" ht="15" customHeight="1" x14ac:dyDescent="0.3">
      <c r="A5" s="9" t="s">
        <v>22</v>
      </c>
      <c r="B5" s="10">
        <v>1</v>
      </c>
      <c r="C5" s="22">
        <v>0</v>
      </c>
      <c r="D5" s="6" t="s">
        <v>61</v>
      </c>
      <c r="E5" s="13"/>
      <c r="F5" s="6" t="s">
        <v>26</v>
      </c>
      <c r="G5" s="1">
        <v>1024</v>
      </c>
      <c r="H5" s="6" t="s">
        <v>62</v>
      </c>
      <c r="I5" s="1" t="s">
        <v>28</v>
      </c>
      <c r="J5" s="40" t="s">
        <v>18</v>
      </c>
      <c r="K5" s="1" t="s">
        <v>63</v>
      </c>
      <c r="L5" s="12"/>
      <c r="M5" s="12"/>
      <c r="N5" s="12"/>
    </row>
    <row r="7" spans="1:14" s="26" customFormat="1" x14ac:dyDescent="0.3">
      <c r="A7" s="24"/>
      <c r="B7" s="25"/>
      <c r="C7" s="25"/>
      <c r="D7" s="24"/>
      <c r="E7" s="24"/>
      <c r="F7" s="24"/>
      <c r="G7" s="25"/>
      <c r="H7" s="24"/>
      <c r="I7" s="25"/>
      <c r="J7" s="24"/>
      <c r="K7" s="24"/>
      <c r="L7" s="25"/>
    </row>
    <row r="8" spans="1:14" s="28" customFormat="1" ht="15" customHeight="1" x14ac:dyDescent="0.3">
      <c r="A8" s="27"/>
      <c r="C8" s="25"/>
      <c r="D8" s="24"/>
      <c r="E8" s="24"/>
      <c r="F8" s="24"/>
      <c r="G8" s="25"/>
      <c r="H8" s="24"/>
      <c r="I8" s="25"/>
      <c r="J8" s="24"/>
      <c r="K8" s="29"/>
      <c r="L8" s="29"/>
      <c r="M8" s="29"/>
      <c r="N8" s="29"/>
    </row>
    <row r="9" spans="1:14" x14ac:dyDescent="0.3">
      <c r="B9" s="1"/>
      <c r="C9" s="22"/>
      <c r="D9" s="6"/>
      <c r="E9" s="6"/>
      <c r="F9" s="1"/>
      <c r="G9" s="1"/>
      <c r="H9" s="6"/>
      <c r="I9" s="1"/>
      <c r="J9" s="1"/>
      <c r="M9" s="1"/>
    </row>
    <row r="10" spans="1:14" x14ac:dyDescent="0.3">
      <c r="C10" s="22"/>
    </row>
    <row r="11" spans="1:14" x14ac:dyDescent="0.3">
      <c r="C11" s="22"/>
    </row>
    <row r="12" spans="1:14" x14ac:dyDescent="0.3">
      <c r="C12" s="22"/>
    </row>
    <row r="13" spans="1:14" x14ac:dyDescent="0.3">
      <c r="C13" s="22"/>
    </row>
    <row r="14" spans="1:14" x14ac:dyDescent="0.3">
      <c r="C14" s="22"/>
      <c r="D14" s="21"/>
    </row>
    <row r="15" spans="1:14" x14ac:dyDescent="0.3">
      <c r="C15" s="22"/>
    </row>
    <row r="16" spans="1:14" x14ac:dyDescent="0.3">
      <c r="C16" s="22"/>
    </row>
    <row r="17" spans="3:3" x14ac:dyDescent="0.3">
      <c r="C17" s="22"/>
    </row>
    <row r="18" spans="3:3" x14ac:dyDescent="0.3">
      <c r="C18" s="22"/>
    </row>
    <row r="19" spans="3:3" x14ac:dyDescent="0.3">
      <c r="C19" s="22"/>
    </row>
    <row r="20" spans="3:3" x14ac:dyDescent="0.3">
      <c r="C20" s="22"/>
    </row>
    <row r="21" spans="3:3" x14ac:dyDescent="0.3">
      <c r="C21" s="22"/>
    </row>
    <row r="22" spans="3:3" x14ac:dyDescent="0.3">
      <c r="C22" s="22"/>
    </row>
    <row r="23" spans="3:3" x14ac:dyDescent="0.3">
      <c r="C23" s="22"/>
    </row>
    <row r="24" spans="3:3" x14ac:dyDescent="0.3">
      <c r="C24" s="22"/>
    </row>
    <row r="25" spans="3:3" x14ac:dyDescent="0.3">
      <c r="C25" s="22"/>
    </row>
    <row r="26" spans="3:3" x14ac:dyDescent="0.3">
      <c r="C26" s="22"/>
    </row>
    <row r="27" spans="3:3" x14ac:dyDescent="0.3">
      <c r="C27" s="22"/>
    </row>
    <row r="28" spans="3:3" x14ac:dyDescent="0.3">
      <c r="C28" s="22"/>
    </row>
    <row r="29" spans="3:3" x14ac:dyDescent="0.3">
      <c r="C29" s="22"/>
    </row>
    <row r="30" spans="3:3" x14ac:dyDescent="0.3">
      <c r="C30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4:K11"/>
  <sheetViews>
    <sheetView workbookViewId="0">
      <selection activeCell="B5" sqref="B5"/>
    </sheetView>
  </sheetViews>
  <sheetFormatPr defaultRowHeight="14.4" x14ac:dyDescent="0.3"/>
  <cols>
    <col min="1" max="1" width="8.6640625" style="6" customWidth="1"/>
    <col min="2" max="2" width="8.109375" customWidth="1"/>
    <col min="3" max="3" width="14.6640625" customWidth="1"/>
    <col min="4" max="4" width="16.5546875" customWidth="1"/>
    <col min="5" max="5" width="8.109375" customWidth="1"/>
    <col min="6" max="6" width="13.33203125" customWidth="1"/>
    <col min="7" max="7" width="11.33203125" customWidth="1"/>
    <col min="8" max="8" width="25.33203125" customWidth="1"/>
    <col min="9" max="9" width="51.109375" style="1" customWidth="1"/>
    <col min="10" max="10" width="28.44140625" customWidth="1"/>
    <col min="11" max="11" width="6.33203125" customWidth="1"/>
  </cols>
  <sheetData>
    <row r="4" spans="1:11" s="2" customFormat="1" ht="15" customHeight="1" x14ac:dyDescent="0.3">
      <c r="A4" s="7"/>
      <c r="B4" s="2" t="s">
        <v>14</v>
      </c>
      <c r="C4" s="3" t="s">
        <v>0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7</v>
      </c>
      <c r="J4" s="5" t="s">
        <v>12</v>
      </c>
      <c r="K4" s="4" t="s">
        <v>13</v>
      </c>
    </row>
    <row r="5" spans="1:11" s="10" customFormat="1" ht="15" customHeight="1" x14ac:dyDescent="0.3">
      <c r="A5" s="9" t="s">
        <v>22</v>
      </c>
      <c r="B5" s="10">
        <v>1</v>
      </c>
      <c r="C5" s="9" t="s">
        <v>121</v>
      </c>
      <c r="D5" s="6" t="s">
        <v>26</v>
      </c>
      <c r="E5" s="6">
        <v>1024</v>
      </c>
      <c r="F5" s="6" t="s">
        <v>64</v>
      </c>
      <c r="G5" s="6" t="s">
        <v>28</v>
      </c>
      <c r="H5" s="40" t="s">
        <v>18</v>
      </c>
      <c r="I5" s="6" t="s">
        <v>65</v>
      </c>
      <c r="J5" s="6" t="s">
        <v>65</v>
      </c>
      <c r="K5" s="12"/>
    </row>
    <row r="7" spans="1:11" s="10" customFormat="1" ht="15" customHeight="1" x14ac:dyDescent="0.3">
      <c r="A7" s="9"/>
      <c r="B7" s="10" t="s">
        <v>118</v>
      </c>
      <c r="C7" s="11" t="s">
        <v>221</v>
      </c>
      <c r="D7" s="40" t="s">
        <v>26</v>
      </c>
      <c r="E7" s="40">
        <v>1024</v>
      </c>
      <c r="F7" s="40" t="s">
        <v>64</v>
      </c>
      <c r="G7" s="40" t="s">
        <v>28</v>
      </c>
      <c r="H7" s="40" t="s">
        <v>18</v>
      </c>
      <c r="I7" s="13" t="s">
        <v>395</v>
      </c>
      <c r="J7" s="13" t="s">
        <v>222</v>
      </c>
      <c r="K7" s="12"/>
    </row>
    <row r="11" spans="1:11" s="26" customFormat="1" x14ac:dyDescent="0.3">
      <c r="A11" s="24"/>
      <c r="B11" s="25" t="s">
        <v>118</v>
      </c>
      <c r="C11" s="24" t="s">
        <v>66</v>
      </c>
      <c r="D11" s="24" t="s">
        <v>26</v>
      </c>
      <c r="E11" s="24">
        <v>1024</v>
      </c>
      <c r="F11" s="24" t="s">
        <v>64</v>
      </c>
      <c r="G11" s="24" t="s">
        <v>28</v>
      </c>
      <c r="H11" s="24" t="s">
        <v>18</v>
      </c>
      <c r="I11" s="24" t="s">
        <v>125</v>
      </c>
      <c r="J11" s="26" t="s">
        <v>124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"/>
  <sheetViews>
    <sheetView workbookViewId="0">
      <selection activeCell="G34" sqref="G3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K23"/>
  <sheetViews>
    <sheetView workbookViewId="0">
      <selection activeCell="H2" sqref="H2"/>
    </sheetView>
  </sheetViews>
  <sheetFormatPr defaultRowHeight="14.4" x14ac:dyDescent="0.3"/>
  <cols>
    <col min="1" max="1" width="8.6640625" style="6" customWidth="1"/>
    <col min="2" max="2" width="8.109375" customWidth="1"/>
    <col min="3" max="3" width="17.5546875" customWidth="1"/>
    <col min="4" max="4" width="16.88671875" customWidth="1"/>
    <col min="5" max="5" width="8.109375" customWidth="1"/>
    <col min="6" max="6" width="17" customWidth="1"/>
    <col min="7" max="7" width="11.33203125" customWidth="1"/>
    <col min="8" max="8" width="15.33203125" customWidth="1"/>
    <col min="9" max="9" width="87.33203125" style="1" customWidth="1"/>
    <col min="10" max="10" width="83" customWidth="1"/>
  </cols>
  <sheetData>
    <row r="2" spans="1:11" x14ac:dyDescent="0.3">
      <c r="H2" s="73" t="s">
        <v>414</v>
      </c>
    </row>
    <row r="4" spans="1:11" s="2" customFormat="1" ht="15" customHeight="1" x14ac:dyDescent="0.3">
      <c r="A4" s="7"/>
      <c r="B4" s="2" t="s">
        <v>14</v>
      </c>
      <c r="C4" s="3" t="s">
        <v>0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7</v>
      </c>
      <c r="J4" s="5" t="s">
        <v>12</v>
      </c>
      <c r="K4" s="4" t="s">
        <v>13</v>
      </c>
    </row>
    <row r="5" spans="1:11" s="10" customFormat="1" ht="15" customHeight="1" x14ac:dyDescent="0.3">
      <c r="A5" s="9" t="s">
        <v>22</v>
      </c>
      <c r="B5" s="10">
        <v>1</v>
      </c>
      <c r="C5" s="9" t="s">
        <v>122</v>
      </c>
      <c r="D5" s="6" t="s">
        <v>26</v>
      </c>
      <c r="E5" s="6">
        <v>1024</v>
      </c>
      <c r="F5" s="6" t="s">
        <v>67</v>
      </c>
      <c r="G5" s="6" t="s">
        <v>28</v>
      </c>
      <c r="H5" s="40" t="s">
        <v>18</v>
      </c>
      <c r="I5" s="6" t="s">
        <v>68</v>
      </c>
      <c r="J5" s="6" t="s">
        <v>68</v>
      </c>
      <c r="K5" s="12"/>
    </row>
    <row r="6" spans="1:11" s="10" customFormat="1" ht="15" customHeight="1" x14ac:dyDescent="0.3">
      <c r="A6" s="9" t="s">
        <v>22</v>
      </c>
      <c r="B6" s="10">
        <v>1</v>
      </c>
      <c r="C6" t="s">
        <v>372</v>
      </c>
      <c r="D6" s="6" t="s">
        <v>26</v>
      </c>
      <c r="E6" s="6">
        <v>1024</v>
      </c>
      <c r="F6" s="6" t="s">
        <v>67</v>
      </c>
      <c r="G6" s="6" t="s">
        <v>28</v>
      </c>
      <c r="H6" s="6" t="s">
        <v>385</v>
      </c>
      <c r="I6" t="s">
        <v>377</v>
      </c>
      <c r="J6" t="s">
        <v>378</v>
      </c>
      <c r="K6" s="12"/>
    </row>
    <row r="7" spans="1:11" s="10" customFormat="1" ht="15" customHeight="1" x14ac:dyDescent="0.3">
      <c r="A7" s="9" t="s">
        <v>22</v>
      </c>
      <c r="B7" s="10" t="s">
        <v>533</v>
      </c>
      <c r="C7" s="9" t="s">
        <v>394</v>
      </c>
      <c r="D7" s="6" t="s">
        <v>26</v>
      </c>
      <c r="E7" s="6">
        <v>1024</v>
      </c>
      <c r="F7" s="6" t="s">
        <v>67</v>
      </c>
      <c r="G7" s="6" t="s">
        <v>28</v>
      </c>
      <c r="H7" s="6" t="s">
        <v>385</v>
      </c>
      <c r="I7" s="40" t="s">
        <v>210</v>
      </c>
      <c r="J7" s="6" t="s">
        <v>211</v>
      </c>
      <c r="K7" s="12"/>
    </row>
    <row r="8" spans="1:11" s="10" customFormat="1" ht="15" customHeight="1" x14ac:dyDescent="0.3">
      <c r="A8" s="9" t="s">
        <v>22</v>
      </c>
      <c r="B8" s="10" t="s">
        <v>533</v>
      </c>
      <c r="C8" s="9" t="s">
        <v>144</v>
      </c>
      <c r="D8" s="6" t="s">
        <v>26</v>
      </c>
      <c r="E8" s="6">
        <v>1024</v>
      </c>
      <c r="F8" s="6" t="s">
        <v>67</v>
      </c>
      <c r="G8" s="6" t="s">
        <v>28</v>
      </c>
      <c r="H8" s="6" t="s">
        <v>385</v>
      </c>
      <c r="I8" s="6" t="s">
        <v>393</v>
      </c>
      <c r="J8" s="6" t="s">
        <v>393</v>
      </c>
      <c r="K8" s="12"/>
    </row>
    <row r="9" spans="1:11" s="10" customFormat="1" ht="15" customHeight="1" x14ac:dyDescent="0.3">
      <c r="A9" s="9" t="s">
        <v>22</v>
      </c>
      <c r="B9" s="10" t="s">
        <v>533</v>
      </c>
      <c r="C9" s="74" t="s">
        <v>388</v>
      </c>
      <c r="D9" s="6" t="s">
        <v>26</v>
      </c>
      <c r="E9" s="6">
        <v>1024</v>
      </c>
      <c r="F9" s="6" t="s">
        <v>67</v>
      </c>
      <c r="G9" s="6" t="s">
        <v>28</v>
      </c>
      <c r="H9" s="6" t="s">
        <v>385</v>
      </c>
      <c r="I9" s="74" t="s">
        <v>396</v>
      </c>
      <c r="J9" s="74" t="s">
        <v>400</v>
      </c>
      <c r="K9" s="12"/>
    </row>
    <row r="10" spans="1:11" s="10" customFormat="1" ht="15" customHeight="1" x14ac:dyDescent="0.3">
      <c r="A10" s="9" t="s">
        <v>22</v>
      </c>
      <c r="B10" s="10" t="s">
        <v>533</v>
      </c>
      <c r="C10" s="74" t="s">
        <v>389</v>
      </c>
      <c r="D10" s="6" t="s">
        <v>26</v>
      </c>
      <c r="E10" s="6">
        <v>1024</v>
      </c>
      <c r="F10" s="6" t="s">
        <v>67</v>
      </c>
      <c r="G10" s="6" t="s">
        <v>28</v>
      </c>
      <c r="H10" s="6" t="s">
        <v>385</v>
      </c>
      <c r="I10" s="74" t="s">
        <v>397</v>
      </c>
      <c r="J10" s="74" t="s">
        <v>401</v>
      </c>
      <c r="K10" s="12"/>
    </row>
    <row r="11" spans="1:11" s="10" customFormat="1" ht="15" customHeight="1" x14ac:dyDescent="0.3">
      <c r="A11" s="9" t="s">
        <v>22</v>
      </c>
      <c r="B11" s="10" t="s">
        <v>533</v>
      </c>
      <c r="C11" s="74" t="s">
        <v>392</v>
      </c>
      <c r="D11" s="6" t="s">
        <v>26</v>
      </c>
      <c r="E11" s="6">
        <v>1024</v>
      </c>
      <c r="F11" s="6" t="s">
        <v>67</v>
      </c>
      <c r="G11" s="6" t="s">
        <v>28</v>
      </c>
      <c r="H11" s="6" t="s">
        <v>385</v>
      </c>
      <c r="I11" s="74" t="s">
        <v>398</v>
      </c>
      <c r="J11" s="74" t="s">
        <v>402</v>
      </c>
      <c r="K11" s="12"/>
    </row>
    <row r="12" spans="1:11" s="10" customFormat="1" ht="15" customHeight="1" x14ac:dyDescent="0.3">
      <c r="A12" s="9" t="s">
        <v>22</v>
      </c>
      <c r="B12" s="10" t="s">
        <v>533</v>
      </c>
      <c r="C12" s="74" t="s">
        <v>390</v>
      </c>
      <c r="D12" s="6" t="s">
        <v>26</v>
      </c>
      <c r="E12" s="6">
        <v>1024</v>
      </c>
      <c r="F12" s="6" t="s">
        <v>67</v>
      </c>
      <c r="G12" s="6" t="s">
        <v>28</v>
      </c>
      <c r="H12" s="6" t="s">
        <v>385</v>
      </c>
      <c r="I12" s="74" t="s">
        <v>399</v>
      </c>
      <c r="J12" s="74" t="s">
        <v>403</v>
      </c>
      <c r="K12" s="12"/>
    </row>
    <row r="13" spans="1:11" s="10" customFormat="1" ht="15" customHeight="1" x14ac:dyDescent="0.3">
      <c r="A13" s="9" t="s">
        <v>22</v>
      </c>
      <c r="B13" s="10" t="s">
        <v>534</v>
      </c>
      <c r="C13" s="9" t="s">
        <v>408</v>
      </c>
      <c r="D13" s="6" t="s">
        <v>26</v>
      </c>
      <c r="E13" s="6">
        <v>1024</v>
      </c>
      <c r="F13" s="6" t="s">
        <v>67</v>
      </c>
      <c r="G13" s="6" t="s">
        <v>28</v>
      </c>
      <c r="H13" s="6" t="s">
        <v>385</v>
      </c>
      <c r="I13" s="6" t="s">
        <v>448</v>
      </c>
      <c r="J13" s="6" t="s">
        <v>449</v>
      </c>
      <c r="K13" s="12"/>
    </row>
    <row r="14" spans="1:11" s="10" customFormat="1" ht="15" customHeight="1" x14ac:dyDescent="0.3">
      <c r="A14" s="9" t="s">
        <v>22</v>
      </c>
      <c r="B14" s="10" t="s">
        <v>534</v>
      </c>
      <c r="C14" s="9" t="s">
        <v>145</v>
      </c>
      <c r="D14" s="6" t="s">
        <v>26</v>
      </c>
      <c r="E14" s="6">
        <v>1024</v>
      </c>
      <c r="F14" s="6" t="s">
        <v>67</v>
      </c>
      <c r="G14" s="6" t="s">
        <v>28</v>
      </c>
      <c r="H14" s="6" t="s">
        <v>385</v>
      </c>
      <c r="I14" s="6" t="s">
        <v>208</v>
      </c>
      <c r="J14" s="6" t="s">
        <v>209</v>
      </c>
      <c r="K14" s="12"/>
    </row>
    <row r="15" spans="1:11" x14ac:dyDescent="0.3">
      <c r="A15" s="6" t="s">
        <v>22</v>
      </c>
      <c r="B15" s="10">
        <v>1</v>
      </c>
      <c r="C15" t="s">
        <v>416</v>
      </c>
      <c r="D15" s="6" t="s">
        <v>26</v>
      </c>
      <c r="E15" s="6">
        <v>1024</v>
      </c>
      <c r="F15" s="6" t="s">
        <v>67</v>
      </c>
      <c r="G15" s="6" t="s">
        <v>28</v>
      </c>
      <c r="H15" s="6" t="s">
        <v>385</v>
      </c>
      <c r="I15" s="6" t="s">
        <v>419</v>
      </c>
      <c r="J15" s="6" t="s">
        <v>420</v>
      </c>
    </row>
    <row r="16" spans="1:11" x14ac:dyDescent="0.3">
      <c r="A16" s="6" t="s">
        <v>22</v>
      </c>
      <c r="B16" s="10">
        <v>1</v>
      </c>
      <c r="C16" t="s">
        <v>415</v>
      </c>
      <c r="D16" s="6" t="s">
        <v>26</v>
      </c>
      <c r="E16" s="6">
        <v>1024</v>
      </c>
      <c r="F16" s="6" t="s">
        <v>67</v>
      </c>
      <c r="G16" s="6" t="s">
        <v>28</v>
      </c>
      <c r="H16" s="6" t="s">
        <v>385</v>
      </c>
      <c r="I16" s="6" t="s">
        <v>459</v>
      </c>
      <c r="J16" s="6" t="s">
        <v>460</v>
      </c>
    </row>
    <row r="17" spans="1:10" x14ac:dyDescent="0.3">
      <c r="A17" s="6" t="s">
        <v>22</v>
      </c>
      <c r="B17" s="10" t="s">
        <v>533</v>
      </c>
      <c r="C17" t="s">
        <v>446</v>
      </c>
      <c r="D17" s="6" t="s">
        <v>26</v>
      </c>
      <c r="E17" s="6">
        <v>1024</v>
      </c>
      <c r="F17" s="6" t="s">
        <v>67</v>
      </c>
      <c r="G17" s="6" t="s">
        <v>28</v>
      </c>
      <c r="H17" s="6" t="s">
        <v>385</v>
      </c>
      <c r="I17" s="6" t="s">
        <v>452</v>
      </c>
      <c r="J17" s="6" t="s">
        <v>447</v>
      </c>
    </row>
    <row r="18" spans="1:10" x14ac:dyDescent="0.3">
      <c r="A18" s="6" t="s">
        <v>22</v>
      </c>
      <c r="B18" s="10" t="s">
        <v>533</v>
      </c>
      <c r="C18" t="s">
        <v>450</v>
      </c>
      <c r="D18" s="6" t="s">
        <v>26</v>
      </c>
      <c r="E18" s="6">
        <v>1024</v>
      </c>
      <c r="F18" s="6" t="s">
        <v>67</v>
      </c>
      <c r="G18" s="6" t="s">
        <v>28</v>
      </c>
      <c r="H18" s="6" t="s">
        <v>385</v>
      </c>
      <c r="I18" t="s">
        <v>457</v>
      </c>
      <c r="J18" t="s">
        <v>457</v>
      </c>
    </row>
    <row r="19" spans="1:10" x14ac:dyDescent="0.3">
      <c r="A19" s="6" t="s">
        <v>22</v>
      </c>
      <c r="B19" s="10" t="s">
        <v>533</v>
      </c>
      <c r="C19" t="s">
        <v>451</v>
      </c>
      <c r="D19" s="6" t="s">
        <v>26</v>
      </c>
      <c r="E19" s="6">
        <v>1024</v>
      </c>
      <c r="F19" s="6" t="s">
        <v>67</v>
      </c>
      <c r="G19" s="6" t="s">
        <v>28</v>
      </c>
      <c r="H19" s="6" t="s">
        <v>385</v>
      </c>
      <c r="I19" t="s">
        <v>453</v>
      </c>
      <c r="J19" t="s">
        <v>453</v>
      </c>
    </row>
    <row r="20" spans="1:10" x14ac:dyDescent="0.3">
      <c r="I20" s="77"/>
    </row>
    <row r="21" spans="1:10" s="21" customFormat="1" x14ac:dyDescent="0.3">
      <c r="A21" s="40"/>
      <c r="B21" s="22">
        <v>1</v>
      </c>
      <c r="C21" s="32" t="s">
        <v>69</v>
      </c>
      <c r="D21" s="40" t="s">
        <v>26</v>
      </c>
      <c r="E21" s="40">
        <v>1024</v>
      </c>
      <c r="F21" s="40" t="s">
        <v>67</v>
      </c>
      <c r="G21" s="40" t="s">
        <v>28</v>
      </c>
      <c r="H21" s="40" t="s">
        <v>18</v>
      </c>
      <c r="I21" s="40" t="s">
        <v>70</v>
      </c>
      <c r="J21" s="40" t="s">
        <v>119</v>
      </c>
    </row>
    <row r="22" spans="1:10" x14ac:dyDescent="0.3">
      <c r="B22" s="1">
        <v>1</v>
      </c>
      <c r="C22" s="9" t="s">
        <v>69</v>
      </c>
      <c r="D22" s="6" t="s">
        <v>26</v>
      </c>
      <c r="E22" s="6">
        <v>1024</v>
      </c>
      <c r="F22" s="6" t="s">
        <v>67</v>
      </c>
      <c r="G22" s="6" t="s">
        <v>28</v>
      </c>
      <c r="H22" s="6" t="s">
        <v>18</v>
      </c>
      <c r="I22" s="6" t="s">
        <v>71</v>
      </c>
      <c r="J22" s="6" t="s">
        <v>120</v>
      </c>
    </row>
    <row r="23" spans="1:10" x14ac:dyDescent="0.3">
      <c r="I23" s="3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36"/>
  <sheetViews>
    <sheetView workbookViewId="0">
      <selection activeCell="C20" sqref="C20"/>
    </sheetView>
  </sheetViews>
  <sheetFormatPr defaultRowHeight="14.4" x14ac:dyDescent="0.3"/>
  <cols>
    <col min="1" max="1" width="8.33203125" customWidth="1"/>
    <col min="2" max="2" width="7.33203125" customWidth="1"/>
    <col min="3" max="3" width="15.33203125" customWidth="1"/>
    <col min="4" max="4" width="16.88671875" customWidth="1"/>
    <col min="6" max="6" width="22.5546875" customWidth="1"/>
    <col min="7" max="7" width="11.88671875" customWidth="1"/>
    <col min="8" max="8" width="14" customWidth="1"/>
    <col min="9" max="9" width="92.5546875" customWidth="1"/>
  </cols>
  <sheetData>
    <row r="1" spans="1:10" x14ac:dyDescent="0.3">
      <c r="A1" s="6"/>
      <c r="I1" s="1"/>
    </row>
    <row r="2" spans="1:10" x14ac:dyDescent="0.3">
      <c r="A2" s="6"/>
      <c r="I2" s="1"/>
    </row>
    <row r="3" spans="1:10" x14ac:dyDescent="0.3">
      <c r="A3" s="6"/>
      <c r="I3" s="1"/>
    </row>
    <row r="4" spans="1:10" s="2" customFormat="1" ht="15" customHeight="1" x14ac:dyDescent="0.3">
      <c r="A4" s="7"/>
      <c r="B4" s="2" t="s">
        <v>14</v>
      </c>
      <c r="C4" s="3" t="s">
        <v>0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7</v>
      </c>
      <c r="J4" s="2" t="s">
        <v>13</v>
      </c>
    </row>
    <row r="5" spans="1:10" x14ac:dyDescent="0.3">
      <c r="A5" t="s">
        <v>22</v>
      </c>
      <c r="B5" s="1">
        <v>1</v>
      </c>
      <c r="C5" t="s">
        <v>123</v>
      </c>
      <c r="D5" t="s">
        <v>26</v>
      </c>
      <c r="E5" s="1">
        <v>1024</v>
      </c>
      <c r="F5" t="s">
        <v>27</v>
      </c>
      <c r="G5" s="1" t="s">
        <v>28</v>
      </c>
      <c r="H5" s="22" t="s">
        <v>18</v>
      </c>
      <c r="I5" t="s">
        <v>72</v>
      </c>
    </row>
    <row r="6" spans="1:10" s="21" customFormat="1" x14ac:dyDescent="0.3">
      <c r="A6" s="21" t="s">
        <v>22</v>
      </c>
      <c r="B6" s="22">
        <v>1</v>
      </c>
      <c r="C6" s="21" t="s">
        <v>31</v>
      </c>
      <c r="D6" s="21" t="s">
        <v>26</v>
      </c>
      <c r="E6" s="22">
        <v>1024</v>
      </c>
      <c r="F6" s="21" t="s">
        <v>27</v>
      </c>
      <c r="G6" s="22" t="s">
        <v>28</v>
      </c>
      <c r="H6" s="79" t="s">
        <v>385</v>
      </c>
      <c r="I6" s="21" t="s">
        <v>224</v>
      </c>
    </row>
    <row r="7" spans="1:10" x14ac:dyDescent="0.3">
      <c r="A7" t="s">
        <v>22</v>
      </c>
      <c r="B7" s="79">
        <v>1</v>
      </c>
      <c r="C7" s="21" t="s">
        <v>31</v>
      </c>
      <c r="D7" s="21" t="s">
        <v>26</v>
      </c>
      <c r="E7" s="22">
        <v>1024</v>
      </c>
      <c r="F7" s="21" t="s">
        <v>27</v>
      </c>
      <c r="G7" s="22" t="s">
        <v>28</v>
      </c>
      <c r="H7" s="79" t="s">
        <v>385</v>
      </c>
      <c r="I7" t="s">
        <v>527</v>
      </c>
    </row>
    <row r="8" spans="1:10" x14ac:dyDescent="0.3">
      <c r="A8" t="s">
        <v>22</v>
      </c>
      <c r="B8" s="63">
        <v>1</v>
      </c>
      <c r="C8" s="21" t="s">
        <v>31</v>
      </c>
      <c r="D8" s="21" t="s">
        <v>26</v>
      </c>
      <c r="E8" s="22">
        <v>1024</v>
      </c>
      <c r="F8" s="21" t="s">
        <v>27</v>
      </c>
      <c r="G8" s="22" t="s">
        <v>28</v>
      </c>
      <c r="H8" s="66" t="s">
        <v>385</v>
      </c>
      <c r="I8" t="s">
        <v>475</v>
      </c>
    </row>
    <row r="9" spans="1:10" x14ac:dyDescent="0.3">
      <c r="A9" t="s">
        <v>22</v>
      </c>
      <c r="B9" s="79">
        <v>1</v>
      </c>
      <c r="C9" s="21" t="s">
        <v>31</v>
      </c>
      <c r="D9" s="21" t="s">
        <v>26</v>
      </c>
      <c r="E9" s="22">
        <v>1024</v>
      </c>
      <c r="F9" s="21" t="s">
        <v>27</v>
      </c>
      <c r="G9" s="22" t="s">
        <v>28</v>
      </c>
      <c r="H9" s="79" t="s">
        <v>385</v>
      </c>
      <c r="I9" t="s">
        <v>528</v>
      </c>
    </row>
    <row r="10" spans="1:10" x14ac:dyDescent="0.3">
      <c r="A10" t="s">
        <v>22</v>
      </c>
      <c r="B10" s="79">
        <v>1</v>
      </c>
      <c r="C10" s="21" t="s">
        <v>31</v>
      </c>
      <c r="D10" s="21" t="s">
        <v>26</v>
      </c>
      <c r="E10" s="22">
        <v>1024</v>
      </c>
      <c r="F10" s="21" t="s">
        <v>27</v>
      </c>
      <c r="G10" s="22" t="s">
        <v>28</v>
      </c>
      <c r="H10" s="79" t="s">
        <v>385</v>
      </c>
      <c r="I10" t="s">
        <v>529</v>
      </c>
    </row>
    <row r="11" spans="1:10" s="21" customFormat="1" ht="15" customHeight="1" x14ac:dyDescent="0.3">
      <c r="A11" s="40" t="s">
        <v>22</v>
      </c>
      <c r="B11" s="22" t="s">
        <v>534</v>
      </c>
      <c r="C11" s="21" t="s">
        <v>31</v>
      </c>
      <c r="D11" s="21" t="s">
        <v>26</v>
      </c>
      <c r="E11" s="22">
        <v>1024</v>
      </c>
      <c r="F11" s="21" t="s">
        <v>27</v>
      </c>
      <c r="G11" s="22" t="s">
        <v>28</v>
      </c>
      <c r="H11" s="73" t="s">
        <v>385</v>
      </c>
      <c r="I11" s="40" t="s">
        <v>340</v>
      </c>
    </row>
    <row r="12" spans="1:10" s="21" customFormat="1" ht="15" customHeight="1" x14ac:dyDescent="0.3">
      <c r="A12" s="40" t="s">
        <v>22</v>
      </c>
      <c r="B12" s="22" t="s">
        <v>534</v>
      </c>
      <c r="C12" s="21" t="s">
        <v>31</v>
      </c>
      <c r="D12" s="21" t="s">
        <v>26</v>
      </c>
      <c r="E12" s="22">
        <v>1024</v>
      </c>
      <c r="F12" s="21" t="s">
        <v>27</v>
      </c>
      <c r="G12" s="22" t="s">
        <v>28</v>
      </c>
      <c r="H12" s="73" t="s">
        <v>385</v>
      </c>
      <c r="I12" s="40" t="s">
        <v>341</v>
      </c>
    </row>
    <row r="13" spans="1:10" s="21" customFormat="1" ht="15" customHeight="1" x14ac:dyDescent="0.3">
      <c r="A13" s="40" t="s">
        <v>22</v>
      </c>
      <c r="B13" s="22" t="s">
        <v>534</v>
      </c>
      <c r="C13" s="21" t="s">
        <v>31</v>
      </c>
      <c r="D13" s="21" t="s">
        <v>26</v>
      </c>
      <c r="E13" s="22">
        <v>1024</v>
      </c>
      <c r="F13" s="21" t="s">
        <v>27</v>
      </c>
      <c r="G13" s="22" t="s">
        <v>28</v>
      </c>
      <c r="H13" s="73" t="s">
        <v>385</v>
      </c>
      <c r="I13" s="40" t="s">
        <v>342</v>
      </c>
    </row>
    <row r="14" spans="1:10" s="21" customFormat="1" ht="15" customHeight="1" x14ac:dyDescent="0.3">
      <c r="A14" s="40" t="s">
        <v>22</v>
      </c>
      <c r="B14" s="22" t="s">
        <v>534</v>
      </c>
      <c r="C14" s="21" t="s">
        <v>31</v>
      </c>
      <c r="D14" s="21" t="s">
        <v>26</v>
      </c>
      <c r="E14" s="22">
        <v>1024</v>
      </c>
      <c r="F14" s="21" t="s">
        <v>27</v>
      </c>
      <c r="G14" s="22" t="s">
        <v>28</v>
      </c>
      <c r="H14" s="73" t="s">
        <v>385</v>
      </c>
      <c r="I14" s="40" t="s">
        <v>343</v>
      </c>
    </row>
    <row r="15" spans="1:10" s="21" customFormat="1" ht="15" customHeight="1" x14ac:dyDescent="0.3">
      <c r="A15" s="40" t="s">
        <v>22</v>
      </c>
      <c r="B15" s="22" t="s">
        <v>534</v>
      </c>
      <c r="C15" s="21" t="s">
        <v>31</v>
      </c>
      <c r="D15" s="21" t="s">
        <v>26</v>
      </c>
      <c r="E15" s="22">
        <v>1024</v>
      </c>
      <c r="F15" s="21" t="s">
        <v>27</v>
      </c>
      <c r="G15" s="22" t="s">
        <v>28</v>
      </c>
      <c r="H15" s="73" t="s">
        <v>385</v>
      </c>
      <c r="I15" s="40" t="s">
        <v>344</v>
      </c>
    </row>
    <row r="16" spans="1:10" s="21" customFormat="1" x14ac:dyDescent="0.3">
      <c r="B16" s="22"/>
      <c r="E16" s="22"/>
      <c r="G16" s="22"/>
      <c r="H16" s="22"/>
    </row>
    <row r="17" spans="1:9" s="21" customFormat="1" ht="15" customHeight="1" x14ac:dyDescent="0.3">
      <c r="A17" s="40"/>
      <c r="B17" s="22" t="s">
        <v>118</v>
      </c>
      <c r="C17" s="21" t="s">
        <v>31</v>
      </c>
      <c r="D17" s="21" t="s">
        <v>26</v>
      </c>
      <c r="E17" s="22">
        <v>1024</v>
      </c>
      <c r="F17" s="21" t="s">
        <v>27</v>
      </c>
      <c r="G17" s="22" t="s">
        <v>28</v>
      </c>
      <c r="H17" s="73" t="s">
        <v>385</v>
      </c>
      <c r="I17" s="40" t="s">
        <v>412</v>
      </c>
    </row>
    <row r="19" spans="1:9" s="21" customFormat="1" ht="15" customHeight="1" x14ac:dyDescent="0.3">
      <c r="A19" s="40"/>
      <c r="B19" s="22">
        <v>1</v>
      </c>
      <c r="C19" s="21" t="s">
        <v>31</v>
      </c>
      <c r="D19" s="21" t="s">
        <v>26</v>
      </c>
      <c r="E19" s="22">
        <v>1024</v>
      </c>
      <c r="F19" s="21" t="s">
        <v>27</v>
      </c>
      <c r="G19" s="22" t="s">
        <v>28</v>
      </c>
      <c r="H19" s="22" t="s">
        <v>18</v>
      </c>
      <c r="I19" s="40" t="s">
        <v>73</v>
      </c>
    </row>
    <row r="20" spans="1:9" s="21" customFormat="1" ht="15" customHeight="1" x14ac:dyDescent="0.3">
      <c r="A20" s="40"/>
      <c r="B20" s="22">
        <v>1</v>
      </c>
      <c r="C20" s="21" t="s">
        <v>31</v>
      </c>
      <c r="D20" s="21" t="s">
        <v>26</v>
      </c>
      <c r="E20" s="22">
        <v>1024</v>
      </c>
      <c r="F20" s="21" t="s">
        <v>27</v>
      </c>
      <c r="G20" s="22" t="s">
        <v>28</v>
      </c>
      <c r="H20" s="22" t="s">
        <v>18</v>
      </c>
      <c r="I20" s="40" t="s">
        <v>225</v>
      </c>
    </row>
    <row r="21" spans="1:9" s="21" customFormat="1" ht="15" customHeight="1" x14ac:dyDescent="0.3">
      <c r="A21" s="40"/>
      <c r="B21" s="22" t="s">
        <v>118</v>
      </c>
      <c r="C21" s="21" t="s">
        <v>31</v>
      </c>
      <c r="D21" s="21" t="s">
        <v>26</v>
      </c>
      <c r="E21" s="22">
        <v>1024</v>
      </c>
      <c r="F21" s="21" t="s">
        <v>27</v>
      </c>
      <c r="G21" s="22" t="s">
        <v>28</v>
      </c>
      <c r="H21" s="22" t="s">
        <v>18</v>
      </c>
      <c r="I21" s="40" t="s">
        <v>351</v>
      </c>
    </row>
    <row r="22" spans="1:9" s="21" customFormat="1" ht="15" customHeight="1" x14ac:dyDescent="0.3">
      <c r="A22" s="40"/>
      <c r="B22" s="22" t="s">
        <v>118</v>
      </c>
      <c r="C22" s="21" t="s">
        <v>31</v>
      </c>
      <c r="D22" s="21" t="s">
        <v>26</v>
      </c>
      <c r="E22" s="22">
        <v>1024</v>
      </c>
      <c r="F22" s="21" t="s">
        <v>27</v>
      </c>
      <c r="G22" s="22" t="s">
        <v>28</v>
      </c>
      <c r="H22" s="22" t="s">
        <v>18</v>
      </c>
      <c r="I22" s="21" t="s">
        <v>346</v>
      </c>
    </row>
    <row r="23" spans="1:9" x14ac:dyDescent="0.3">
      <c r="B23" s="22" t="s">
        <v>118</v>
      </c>
      <c r="C23" s="21" t="s">
        <v>31</v>
      </c>
      <c r="D23" s="21" t="s">
        <v>26</v>
      </c>
      <c r="E23" s="22">
        <v>1024</v>
      </c>
      <c r="F23" s="21" t="s">
        <v>27</v>
      </c>
      <c r="G23" s="22" t="s">
        <v>28</v>
      </c>
      <c r="H23" s="22" t="s">
        <v>18</v>
      </c>
      <c r="I23" t="s">
        <v>347</v>
      </c>
    </row>
    <row r="24" spans="1:9" s="21" customFormat="1" x14ac:dyDescent="0.3">
      <c r="B24" s="22" t="s">
        <v>118</v>
      </c>
      <c r="C24" s="21" t="s">
        <v>31</v>
      </c>
      <c r="D24" s="21" t="s">
        <v>26</v>
      </c>
      <c r="E24" s="22">
        <v>1024</v>
      </c>
      <c r="F24" s="21" t="s">
        <v>27</v>
      </c>
      <c r="G24" s="22" t="s">
        <v>28</v>
      </c>
      <c r="H24" s="22" t="s">
        <v>18</v>
      </c>
      <c r="I24" s="21" t="s">
        <v>348</v>
      </c>
    </row>
    <row r="25" spans="1:9" s="21" customFormat="1" x14ac:dyDescent="0.3">
      <c r="B25" s="22" t="s">
        <v>118</v>
      </c>
      <c r="C25" s="21" t="s">
        <v>31</v>
      </c>
      <c r="D25" s="21" t="s">
        <v>26</v>
      </c>
      <c r="E25" s="22">
        <v>1024</v>
      </c>
      <c r="F25" s="21" t="s">
        <v>27</v>
      </c>
      <c r="G25" s="22" t="s">
        <v>28</v>
      </c>
      <c r="H25" s="22" t="s">
        <v>18</v>
      </c>
      <c r="I25" s="21" t="s">
        <v>349</v>
      </c>
    </row>
    <row r="26" spans="1:9" x14ac:dyDescent="0.3">
      <c r="B26" s="22" t="s">
        <v>118</v>
      </c>
      <c r="C26" s="21" t="s">
        <v>31</v>
      </c>
      <c r="D26" s="21" t="s">
        <v>26</v>
      </c>
      <c r="E26" s="22">
        <v>1024</v>
      </c>
      <c r="F26" s="21" t="s">
        <v>27</v>
      </c>
      <c r="G26" s="22" t="s">
        <v>28</v>
      </c>
      <c r="H26" s="22" t="s">
        <v>18</v>
      </c>
      <c r="I26" t="s">
        <v>350</v>
      </c>
    </row>
    <row r="27" spans="1:9" x14ac:dyDescent="0.3">
      <c r="B27" s="22" t="s">
        <v>118</v>
      </c>
      <c r="C27" s="21" t="s">
        <v>31</v>
      </c>
      <c r="D27" s="21" t="s">
        <v>26</v>
      </c>
      <c r="E27" s="22">
        <v>1024</v>
      </c>
      <c r="F27" s="21" t="s">
        <v>27</v>
      </c>
      <c r="G27" s="22" t="s">
        <v>28</v>
      </c>
      <c r="H27" s="22" t="s">
        <v>18</v>
      </c>
      <c r="I27" t="s">
        <v>352</v>
      </c>
    </row>
    <row r="28" spans="1:9" x14ac:dyDescent="0.3">
      <c r="B28" s="22" t="s">
        <v>118</v>
      </c>
      <c r="C28" s="21" t="s">
        <v>31</v>
      </c>
      <c r="D28" s="21" t="s">
        <v>26</v>
      </c>
      <c r="E28" s="22">
        <v>1024</v>
      </c>
      <c r="F28" s="21" t="s">
        <v>27</v>
      </c>
      <c r="G28" s="22" t="s">
        <v>28</v>
      </c>
      <c r="H28" s="22" t="s">
        <v>18</v>
      </c>
      <c r="I28" t="s">
        <v>353</v>
      </c>
    </row>
    <row r="29" spans="1:9" x14ac:dyDescent="0.3">
      <c r="B29" s="22" t="s">
        <v>118</v>
      </c>
      <c r="C29" s="21" t="s">
        <v>31</v>
      </c>
      <c r="D29" s="21" t="s">
        <v>26</v>
      </c>
      <c r="E29" s="22">
        <v>1024</v>
      </c>
      <c r="F29" s="21" t="s">
        <v>27</v>
      </c>
      <c r="G29" s="22" t="s">
        <v>28</v>
      </c>
      <c r="H29" s="22" t="s">
        <v>18</v>
      </c>
      <c r="I29" t="s">
        <v>345</v>
      </c>
    </row>
    <row r="30" spans="1:9" x14ac:dyDescent="0.3">
      <c r="I30" s="40"/>
    </row>
    <row r="31" spans="1:9" x14ac:dyDescent="0.3">
      <c r="G31" s="21"/>
    </row>
    <row r="36" spans="1:9" s="21" customFormat="1" ht="15" customHeight="1" x14ac:dyDescent="0.3">
      <c r="A36" s="40"/>
      <c r="B36" s="22" t="s">
        <v>118</v>
      </c>
      <c r="C36" s="21" t="s">
        <v>31</v>
      </c>
      <c r="D36" s="21" t="s">
        <v>26</v>
      </c>
      <c r="E36" s="22">
        <v>1024</v>
      </c>
      <c r="F36" s="21" t="s">
        <v>27</v>
      </c>
      <c r="G36" s="22" t="s">
        <v>28</v>
      </c>
      <c r="H36" s="22" t="s">
        <v>18</v>
      </c>
      <c r="I36" s="21" t="s">
        <v>339</v>
      </c>
    </row>
  </sheetData>
  <pageMargins left="0.7" right="0.7" top="0.75" bottom="0.75" header="0.3" footer="0.3"/>
  <pageSetup paperSize="9" orientation="portrait" horizontalDpi="180" verticalDpi="18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A1:I3"/>
  <sheetViews>
    <sheetView workbookViewId="0">
      <selection activeCell="C2" sqref="C2"/>
    </sheetView>
  </sheetViews>
  <sheetFormatPr defaultRowHeight="14.4" x14ac:dyDescent="0.3"/>
  <cols>
    <col min="1" max="1" width="7.109375" bestFit="1" customWidth="1"/>
    <col min="2" max="2" width="6.88671875" hidden="1" customWidth="1"/>
    <col min="3" max="3" width="25.6640625" customWidth="1"/>
    <col min="4" max="4" width="14" bestFit="1" customWidth="1"/>
    <col min="5" max="5" width="20.5546875" bestFit="1" customWidth="1"/>
    <col min="6" max="6" width="52.77734375" customWidth="1"/>
    <col min="7" max="7" width="13.109375" bestFit="1" customWidth="1"/>
    <col min="8" max="8" width="14.5546875" bestFit="1" customWidth="1"/>
    <col min="9" max="9" width="22.5546875" customWidth="1"/>
    <col min="10" max="10" width="16.44140625" customWidth="1"/>
  </cols>
  <sheetData>
    <row r="1" spans="1:9" s="86" customFormat="1" ht="28.8" x14ac:dyDescent="0.3">
      <c r="A1" s="87"/>
      <c r="B1" s="87"/>
      <c r="C1" s="93" t="s">
        <v>77</v>
      </c>
      <c r="D1" s="93"/>
      <c r="E1" s="87" t="s">
        <v>116</v>
      </c>
      <c r="F1" s="87" t="s">
        <v>117</v>
      </c>
      <c r="G1" s="88" t="s">
        <v>530</v>
      </c>
      <c r="H1" s="88" t="s">
        <v>531</v>
      </c>
      <c r="I1" s="87" t="s">
        <v>532</v>
      </c>
    </row>
    <row r="2" spans="1:9" s="30" customFormat="1" ht="30" customHeight="1" x14ac:dyDescent="0.3">
      <c r="A2" s="89" t="s">
        <v>22</v>
      </c>
      <c r="B2" s="90"/>
      <c r="C2" s="91" t="s">
        <v>543</v>
      </c>
      <c r="D2" s="91" t="s">
        <v>542</v>
      </c>
      <c r="E2" s="92" t="s">
        <v>540</v>
      </c>
      <c r="F2" s="89" t="str">
        <f ca="1">MID(CELL("имяфайла"), 1, SEARCH("[", CELL("имяфайла"))-1) &amp; "profCU.txt"</f>
        <v>D:\work\Dnepr\Sources\Profile\Generator\profCU.txt</v>
      </c>
      <c r="G2" s="90">
        <v>2</v>
      </c>
      <c r="H2" s="90">
        <v>1</v>
      </c>
      <c r="I2" s="89"/>
    </row>
    <row r="3" spans="1:9" s="30" customFormat="1" ht="30" customHeight="1" x14ac:dyDescent="0.3">
      <c r="A3" s="89"/>
      <c r="B3" s="90"/>
      <c r="C3" s="91"/>
      <c r="D3" s="91"/>
      <c r="E3" s="92"/>
      <c r="F3" s="89"/>
      <c r="G3" s="90"/>
      <c r="H3" s="90"/>
      <c r="I3" s="89"/>
    </row>
  </sheetData>
  <mergeCells count="1">
    <mergeCell ref="C1:D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GenProfile2">
          <controlPr defaultSize="0" autoLine="0" autoPict="0" r:id="rId5">
            <anchor moveWithCells="1">
              <from>
                <xdr:col>8</xdr:col>
                <xdr:colOff>175260</xdr:colOff>
                <xdr:row>1</xdr:row>
                <xdr:rowOff>68580</xdr:rowOff>
              </from>
              <to>
                <xdr:col>8</xdr:col>
                <xdr:colOff>1188720</xdr:colOff>
                <xdr:row>1</xdr:row>
                <xdr:rowOff>335280</xdr:rowOff>
              </to>
            </anchor>
          </controlPr>
        </control>
      </mc:Choice>
      <mc:Fallback>
        <control shapeId="5121" r:id="rId4" name="GenProfile2"/>
      </mc:Fallback>
    </mc:AlternateContent>
    <mc:AlternateContent xmlns:mc="http://schemas.openxmlformats.org/markup-compatibility/2006">
      <mc:Choice Requires="x14">
        <control shapeId="5122" r:id="rId6" name="GenProfile4">
          <controlPr defaultSize="0" autoLine="0" autoPict="0" r:id="rId7">
            <anchor moveWithCells="1">
              <from>
                <xdr:col>8</xdr:col>
                <xdr:colOff>175260</xdr:colOff>
                <xdr:row>2</xdr:row>
                <xdr:rowOff>76200</xdr:rowOff>
              </from>
              <to>
                <xdr:col>8</xdr:col>
                <xdr:colOff>1188720</xdr:colOff>
                <xdr:row>2</xdr:row>
                <xdr:rowOff>342900</xdr:rowOff>
              </to>
            </anchor>
          </controlPr>
        </control>
      </mc:Choice>
      <mc:Fallback>
        <control shapeId="5122" r:id="rId6" name="GenProfile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4:F15"/>
  <sheetViews>
    <sheetView workbookViewId="0">
      <selection activeCell="F21" sqref="F21"/>
    </sheetView>
  </sheetViews>
  <sheetFormatPr defaultRowHeight="14.4" x14ac:dyDescent="0.3"/>
  <cols>
    <col min="1" max="1" width="13.6640625" customWidth="1"/>
    <col min="2" max="2" width="6" customWidth="1"/>
    <col min="3" max="3" width="6.44140625" customWidth="1"/>
    <col min="4" max="4" width="6.33203125" customWidth="1"/>
    <col min="5" max="5" width="5.88671875" customWidth="1"/>
    <col min="6" max="6" width="100.33203125" customWidth="1"/>
  </cols>
  <sheetData>
    <row r="4" spans="1:6" x14ac:dyDescent="0.3">
      <c r="A4" s="49" t="s">
        <v>213</v>
      </c>
      <c r="B4" s="21" t="s">
        <v>226</v>
      </c>
      <c r="C4" t="s">
        <v>227</v>
      </c>
      <c r="D4" t="s">
        <v>228</v>
      </c>
      <c r="E4" t="s">
        <v>229</v>
      </c>
      <c r="F4" t="str">
        <f>CONCATENATE(A4,";",A4,";",A4,B4,"|",A4,C4,"|",A4,D4,"|",A4,E4,";7|5|3|5|7")</f>
        <v>Trsp?LsC;Trsp?LsC;Trsp?LsCCMax|Trsp?LsCWMax|Trsp?LsCWMin|Trsp?LsCCMin;7|5|3|5|7</v>
      </c>
    </row>
    <row r="5" spans="1:6" x14ac:dyDescent="0.3">
      <c r="A5" s="40" t="s">
        <v>214</v>
      </c>
      <c r="B5" s="21" t="s">
        <v>226</v>
      </c>
      <c r="C5" t="s">
        <v>227</v>
      </c>
      <c r="D5" t="s">
        <v>228</v>
      </c>
      <c r="E5" t="s">
        <v>229</v>
      </c>
      <c r="F5" t="str">
        <f t="shared" ref="F5:F11" si="0">CONCATENATE(A5,";",A5,";",A5,B5,"|",A5,C5,"|",A5,D5,"|",A5,E5,";7|5|3|5|7")</f>
        <v>Trsp?Pout;Trsp?Pout;Trsp?PoutCMax|Trsp?PoutWMax|Trsp?PoutWMin|Trsp?PoutCMin;7|5|3|5|7</v>
      </c>
    </row>
    <row r="6" spans="1:6" x14ac:dyDescent="0.3">
      <c r="A6" s="40" t="s">
        <v>215</v>
      </c>
      <c r="B6" s="21" t="s">
        <v>226</v>
      </c>
      <c r="C6" t="s">
        <v>227</v>
      </c>
      <c r="D6" t="s">
        <v>228</v>
      </c>
      <c r="E6" t="s">
        <v>229</v>
      </c>
      <c r="F6" t="str">
        <f t="shared" si="0"/>
        <v>Trsp?LsT;Trsp?LsT;Trsp?LsTCMax|Trsp?LsTWMax|Trsp?LsTWMin|Trsp?LsTCMin;7|5|3|5|7</v>
      </c>
    </row>
    <row r="7" spans="1:6" x14ac:dyDescent="0.3">
      <c r="A7" s="40" t="s">
        <v>216</v>
      </c>
      <c r="B7" s="21" t="s">
        <v>226</v>
      </c>
      <c r="C7" t="s">
        <v>227</v>
      </c>
      <c r="D7" t="s">
        <v>228</v>
      </c>
      <c r="E7" t="s">
        <v>229</v>
      </c>
      <c r="F7" t="str">
        <f t="shared" si="0"/>
        <v>Trsp?Pin;Trsp?Pin;Trsp?PinCMax|Trsp?PinWMax|Trsp?PinWMin|Trsp?PinCMin;7|5|3|5|7</v>
      </c>
    </row>
    <row r="8" spans="1:6" x14ac:dyDescent="0.3">
      <c r="A8" s="21" t="s">
        <v>217</v>
      </c>
      <c r="B8" s="21" t="s">
        <v>226</v>
      </c>
      <c r="C8" t="s">
        <v>227</v>
      </c>
      <c r="D8" t="s">
        <v>228</v>
      </c>
      <c r="E8" t="s">
        <v>229</v>
      </c>
      <c r="F8" t="str">
        <f t="shared" si="0"/>
        <v>Trsp?T;Trsp?T;Trsp?TCMax|Trsp?TWMax|Trsp?TWMin|Trsp?TCMin;7|5|3|5|7</v>
      </c>
    </row>
    <row r="9" spans="1:6" x14ac:dyDescent="0.3">
      <c r="A9" s="21" t="s">
        <v>218</v>
      </c>
      <c r="B9" s="21" t="s">
        <v>226</v>
      </c>
      <c r="C9" t="s">
        <v>227</v>
      </c>
      <c r="D9" t="s">
        <v>228</v>
      </c>
      <c r="E9" t="s">
        <v>229</v>
      </c>
      <c r="F9" t="str">
        <f t="shared" si="0"/>
        <v>Trsp?PdT;Trsp?PdT;Trsp?PdTCMax|Trsp?PdTWMax|Trsp?PdTWMin|Trsp?PdTCMin;7|5|3|5|7</v>
      </c>
    </row>
    <row r="10" spans="1:6" x14ac:dyDescent="0.3">
      <c r="A10" s="21" t="s">
        <v>219</v>
      </c>
      <c r="B10" s="21" t="s">
        <v>226</v>
      </c>
      <c r="C10" t="s">
        <v>227</v>
      </c>
      <c r="D10" t="s">
        <v>228</v>
      </c>
      <c r="E10" t="s">
        <v>229</v>
      </c>
      <c r="F10" t="str">
        <f t="shared" si="0"/>
        <v>Trsp?MB;Trsp?MB;Trsp?MBCMax|Trsp?MBWMax|Trsp?MBWMin|Trsp?MBCMin;7|5|3|5|7</v>
      </c>
    </row>
    <row r="11" spans="1:6" x14ac:dyDescent="0.3">
      <c r="A11" s="21" t="s">
        <v>220</v>
      </c>
      <c r="B11" s="21" t="s">
        <v>226</v>
      </c>
      <c r="C11" t="s">
        <v>227</v>
      </c>
      <c r="D11" t="s">
        <v>228</v>
      </c>
      <c r="E11" t="s">
        <v>229</v>
      </c>
      <c r="F11" t="str">
        <f t="shared" si="0"/>
        <v>Trsp?LsAT;Trsp?LsAT;Trsp?LsATCMax|Trsp?LsATWMax|Trsp?LsATWMin|Trsp?LsATCMin;7|5|3|5|7</v>
      </c>
    </row>
    <row r="12" spans="1:6" x14ac:dyDescent="0.3">
      <c r="A12" s="6" t="s">
        <v>481</v>
      </c>
      <c r="B12" s="21" t="s">
        <v>226</v>
      </c>
      <c r="C12" t="s">
        <v>227</v>
      </c>
      <c r="D12" t="s">
        <v>228</v>
      </c>
      <c r="E12" t="s">
        <v>229</v>
      </c>
      <c r="F12" t="str">
        <f>CONCATENATE(A12,";",A12,";",A12,B12,"|",A12,C12,"|",A12,D12,"|",A12,E12,";7|5|3|5|7")</f>
        <v>Vmcu;Vmcu;VmcuCMax|VmcuWMax|VmcuWMin|VmcuCMin;7|5|3|5|7</v>
      </c>
    </row>
    <row r="13" spans="1:6" x14ac:dyDescent="0.3">
      <c r="A13" s="6" t="s">
        <v>463</v>
      </c>
      <c r="B13" s="21" t="s">
        <v>226</v>
      </c>
      <c r="C13" t="s">
        <v>227</v>
      </c>
      <c r="D13" t="s">
        <v>228</v>
      </c>
      <c r="E13" t="s">
        <v>229</v>
      </c>
      <c r="F13" t="str">
        <f>CONCATENATE(A13,";",A13,";",A13,B13,"|",A13,C13,"|",A13,D13,"|",A13,E13,";7|5|3|5|7")</f>
        <v>V5v;V5v;V5vCMax|V5vWMax|V5vWMin|V5vCMin;7|5|3|5|7</v>
      </c>
    </row>
    <row r="14" spans="1:6" x14ac:dyDescent="0.3">
      <c r="A14" s="6" t="s">
        <v>484</v>
      </c>
      <c r="B14" s="21" t="s">
        <v>226</v>
      </c>
      <c r="C14" t="s">
        <v>227</v>
      </c>
      <c r="D14" t="s">
        <v>228</v>
      </c>
      <c r="E14" t="s">
        <v>229</v>
      </c>
      <c r="F14" t="str">
        <f>CONCATENATE(A14,";",A14,";",A14,B14,"|",A14,C14,"|",A14,D14,"|",A14,E14,";7|5|3|5|7")</f>
        <v>Vmsa;Vmsa;VmsaCMax|VmsaWMax|VmsaWMin|VmsaCMin;7|5|3|5|7</v>
      </c>
    </row>
    <row r="15" spans="1:6" x14ac:dyDescent="0.3">
      <c r="A15" s="6" t="s">
        <v>461</v>
      </c>
      <c r="B15" s="21" t="s">
        <v>226</v>
      </c>
      <c r="C15" t="s">
        <v>227</v>
      </c>
      <c r="D15" t="s">
        <v>228</v>
      </c>
      <c r="E15" t="s">
        <v>229</v>
      </c>
      <c r="F15" t="str">
        <f>CONCATENATE(A15,";",A15,";",A15,B15,"|",A15,C15,"|",A15,D15,"|",A15,E15,";7|5|3|5|7")</f>
        <v>Vbat;Vbat;VbatCMax|VbatWMax|VbatWMin|VbatCMin;7|5|3|5|7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4:M17"/>
  <sheetViews>
    <sheetView workbookViewId="0">
      <selection activeCell="E15" sqref="E15"/>
    </sheetView>
  </sheetViews>
  <sheetFormatPr defaultRowHeight="14.4" x14ac:dyDescent="0.3"/>
  <cols>
    <col min="1" max="1" width="10.6640625" customWidth="1"/>
    <col min="2" max="2" width="7.44140625" customWidth="1"/>
    <col min="3" max="3" width="18.6640625" customWidth="1"/>
    <col min="4" max="4" width="27.33203125" customWidth="1"/>
    <col min="5" max="5" width="27.6640625" customWidth="1"/>
    <col min="6" max="6" width="8.44140625" customWidth="1"/>
    <col min="7" max="7" width="17.44140625" customWidth="1"/>
    <col min="8" max="8" width="35.6640625" customWidth="1"/>
    <col min="9" max="9" width="40" customWidth="1"/>
    <col min="10" max="10" width="2.5546875" customWidth="1"/>
    <col min="11" max="11" width="16.5546875" customWidth="1"/>
    <col min="12" max="12" width="66.33203125" customWidth="1"/>
    <col min="13" max="13" width="97.5546875" customWidth="1"/>
  </cols>
  <sheetData>
    <row r="4" spans="1:13" s="41" customFormat="1" ht="15" customHeight="1" x14ac:dyDescent="0.3">
      <c r="C4" s="43"/>
      <c r="D4" s="44"/>
      <c r="E4" s="45"/>
      <c r="F4" s="46"/>
      <c r="G4" s="46"/>
      <c r="H4" s="46"/>
      <c r="I4" s="42"/>
      <c r="J4" s="47"/>
      <c r="K4" s="42"/>
      <c r="L4" s="45"/>
    </row>
    <row r="5" spans="1:13" ht="15" customHeight="1" x14ac:dyDescent="0.3">
      <c r="F5" s="50" t="s">
        <v>233</v>
      </c>
      <c r="G5" s="50"/>
      <c r="H5" s="50"/>
      <c r="I5" s="50" t="s">
        <v>234</v>
      </c>
      <c r="J5" s="50"/>
      <c r="K5" s="3" t="s">
        <v>0</v>
      </c>
      <c r="L5" s="4" t="s">
        <v>1</v>
      </c>
      <c r="M5" s="5" t="s">
        <v>12</v>
      </c>
    </row>
    <row r="6" spans="1:13" x14ac:dyDescent="0.3">
      <c r="A6" s="82" t="s">
        <v>461</v>
      </c>
      <c r="B6" s="21" t="s">
        <v>226</v>
      </c>
      <c r="C6" s="82" t="s">
        <v>513</v>
      </c>
      <c r="D6" s="21" t="s">
        <v>231</v>
      </c>
      <c r="E6" s="51" t="s">
        <v>487</v>
      </c>
      <c r="F6" s="54" t="s">
        <v>380</v>
      </c>
      <c r="G6" s="53" t="s">
        <v>514</v>
      </c>
      <c r="H6" s="21" t="s">
        <v>235</v>
      </c>
      <c r="I6" s="52" t="s">
        <v>486</v>
      </c>
      <c r="J6" s="64"/>
      <c r="K6" t="str">
        <f>CONCATENATE(A6,B6)</f>
        <v>VbatCMax</v>
      </c>
      <c r="L6" t="str">
        <f>CONCATENATE(C6," ",D6," of ",E6)</f>
        <v>Battery Maximum Limit (Critical) of voltage</v>
      </c>
      <c r="M6" t="str">
        <f>CONCATENATE(A6,B6,";",F6,";",G6," ",H6," ",I6)</f>
        <v>VbatCMax;В;Батарейка Верхний порог (отказ) напряжения</v>
      </c>
    </row>
    <row r="7" spans="1:13" x14ac:dyDescent="0.3">
      <c r="A7" t="str">
        <f>A6</f>
        <v>Vbat</v>
      </c>
      <c r="B7" t="s">
        <v>227</v>
      </c>
      <c r="C7" s="21" t="str">
        <f>C6</f>
        <v>Battery</v>
      </c>
      <c r="D7" t="s">
        <v>239</v>
      </c>
      <c r="E7" s="49" t="str">
        <f>E6</f>
        <v>voltage</v>
      </c>
      <c r="F7" s="55" t="str">
        <f>F6</f>
        <v>В</v>
      </c>
      <c r="G7" s="36" t="str">
        <f>G6</f>
        <v>Батарейка</v>
      </c>
      <c r="H7" t="s">
        <v>236</v>
      </c>
      <c r="I7" s="6" t="str">
        <f>I6</f>
        <v>напряжения</v>
      </c>
      <c r="K7" t="str">
        <f>CONCATENATE(A7,B7)</f>
        <v>VbatWMax</v>
      </c>
      <c r="L7" t="str">
        <f>CONCATENATE(C7," ",D7," of ",E7)</f>
        <v>Battery Maximum Limit (Warning) of voltage</v>
      </c>
      <c r="M7" t="str">
        <f>CONCATENATE(A7,B7,";",F7,";",G7," ",H7," ",I7)</f>
        <v>VbatWMax;В;Батарейка Верхний порог (предупреждение) напряжения</v>
      </c>
    </row>
    <row r="8" spans="1:13" x14ac:dyDescent="0.3">
      <c r="A8" t="str">
        <f>A6</f>
        <v>Vbat</v>
      </c>
      <c r="B8" t="s">
        <v>228</v>
      </c>
      <c r="C8" s="21" t="str">
        <f>C6</f>
        <v>Battery</v>
      </c>
      <c r="D8" t="s">
        <v>230</v>
      </c>
      <c r="E8" s="49" t="str">
        <f>E6</f>
        <v>voltage</v>
      </c>
      <c r="F8" s="55" t="str">
        <f>F6</f>
        <v>В</v>
      </c>
      <c r="G8" s="36" t="str">
        <f>G6</f>
        <v>Батарейка</v>
      </c>
      <c r="H8" t="s">
        <v>237</v>
      </c>
      <c r="I8" s="6" t="str">
        <f>I6</f>
        <v>напряжения</v>
      </c>
      <c r="K8" t="str">
        <f>CONCATENATE(A8,B8)</f>
        <v>VbatWMin</v>
      </c>
      <c r="L8" t="str">
        <f>CONCATENATE(C8," ",D8," of ",E8)</f>
        <v>Battery Minimum Limit (Warning) of voltage</v>
      </c>
      <c r="M8" t="str">
        <f>CONCATENATE(A8,B8,";",F8,";",G8," ",H8," ",I8)</f>
        <v>VbatWMin;В;Батарейка Нижний порог (предупреждение) напряжения</v>
      </c>
    </row>
    <row r="9" spans="1:13" x14ac:dyDescent="0.3">
      <c r="A9" t="str">
        <f>A6</f>
        <v>Vbat</v>
      </c>
      <c r="B9" t="s">
        <v>229</v>
      </c>
      <c r="C9" s="21" t="str">
        <f>C6</f>
        <v>Battery</v>
      </c>
      <c r="D9" t="s">
        <v>232</v>
      </c>
      <c r="E9" s="49" t="str">
        <f>E6</f>
        <v>voltage</v>
      </c>
      <c r="F9" s="55" t="str">
        <f>F6</f>
        <v>В</v>
      </c>
      <c r="G9" s="36" t="str">
        <f>G6</f>
        <v>Батарейка</v>
      </c>
      <c r="H9" t="s">
        <v>238</v>
      </c>
      <c r="I9" s="6" t="str">
        <f>I6</f>
        <v>напряжения</v>
      </c>
      <c r="K9" t="str">
        <f>CONCATENATE(A9,B9)</f>
        <v>VbatCMin</v>
      </c>
      <c r="L9" t="str">
        <f>CONCATENATE(C9," ",D9," of ",E9)</f>
        <v>Battery Minimum Limit (Critical) of voltage</v>
      </c>
      <c r="M9" t="str">
        <f>CONCATENATE(A9,B9,";",F9,";",G9," ",H9," ",I9)</f>
        <v>VbatCMin;В;Батарейка Нижний порог (отказ) напряжения</v>
      </c>
    </row>
    <row r="13" spans="1:13" s="21" customFormat="1" x14ac:dyDescent="0.3">
      <c r="A13" s="21" t="s">
        <v>500</v>
      </c>
      <c r="B13" s="21">
        <v>3</v>
      </c>
    </row>
    <row r="14" spans="1:13" x14ac:dyDescent="0.3">
      <c r="A14" s="21" t="s">
        <v>226</v>
      </c>
      <c r="B14">
        <v>1.1000000000000001</v>
      </c>
      <c r="C14" s="81">
        <f>$B$13*B14</f>
        <v>3.3000000000000003</v>
      </c>
    </row>
    <row r="15" spans="1:13" x14ac:dyDescent="0.3">
      <c r="A15" t="s">
        <v>227</v>
      </c>
      <c r="B15">
        <v>1.05</v>
      </c>
      <c r="C15" s="81">
        <f>$B$13*B15</f>
        <v>3.1500000000000004</v>
      </c>
    </row>
    <row r="16" spans="1:13" x14ac:dyDescent="0.3">
      <c r="A16" t="s">
        <v>228</v>
      </c>
      <c r="B16">
        <v>0.95</v>
      </c>
      <c r="C16" s="81">
        <f>$B$13*B16</f>
        <v>2.8499999999999996</v>
      </c>
    </row>
    <row r="17" spans="1:3" x14ac:dyDescent="0.3">
      <c r="A17" t="s">
        <v>229</v>
      </c>
      <c r="B17">
        <v>0.9</v>
      </c>
      <c r="C17" s="81">
        <f>$B$13*B17</f>
        <v>2.7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Header</vt:lpstr>
      <vt:lpstr>Info</vt:lpstr>
      <vt:lpstr>Dynamic</vt:lpstr>
      <vt:lpstr>Set</vt:lpstr>
      <vt:lpstr>Limits</vt:lpstr>
      <vt:lpstr>Led</vt:lpstr>
      <vt:lpstr>Calib</vt:lpstr>
      <vt:lpstr>CalibCoef</vt:lpstr>
      <vt:lpstr>100</vt:lpstr>
      <vt:lpstr>101</vt:lpstr>
      <vt:lpstr>102</vt:lpstr>
      <vt:lpstr>103</vt:lpstr>
      <vt:lpstr>Port</vt:lpstr>
      <vt:lpstr>GROUPMON</vt:lpstr>
      <vt:lpstr>Alarms</vt:lpstr>
      <vt:lpstr>Enum</vt:lpstr>
      <vt:lpstr>ColorTranslator</vt:lpstr>
      <vt:lpstr>ParRelation</vt:lpstr>
      <vt:lpstr>Main</vt:lpstr>
      <vt:lpstr>AddColorT</vt:lpstr>
      <vt:lpstr>AddLimits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Сергеев</dc:creator>
  <cp:lastModifiedBy>Михаил В. Баранов</cp:lastModifiedBy>
  <dcterms:created xsi:type="dcterms:W3CDTF">2006-09-28T05:33:49Z</dcterms:created>
  <dcterms:modified xsi:type="dcterms:W3CDTF">2012-08-09T14:49:11Z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DesignMode" visible="true"/>
      </mso:documentControls>
    </mso:qat>
  </mso:ribbon>
</mso:customUI>
</file>