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<sst xmlns="http://schemas.openxmlformats.org/spreadsheetml/2006/main" count="2870" uniqueCount="880">
  <si>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</si>
  <si>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</si>
  <si>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</si>
  <si>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</si>
  <si>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</si>
  <si>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</si>
  <si>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</si>
  <si>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</si>
  <si>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</si>
  <si>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</si>
  <si>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</si>
  <si>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</si>
  <si>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</si>
  <si>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</si>
  <si>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</si>
  <si>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</si>
  <si>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</si>
  <si>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</si>
  <si>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</si>
  <si>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</si>
  <si>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</si>
  <si>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</si>
  <si>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</si>
  <si>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</si>
  <si>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</si>
  <si>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</si>
  <si>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</si>
  <si>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</si>
  <si>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</si>
  <si>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</si>
  <si>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</si>
  <si>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</si>
  <si>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</si>
  <si>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</si>
  <si>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</si>
  <si>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</si>
  <si>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</si>
  <si>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</si>
  <si>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</si>
  <si>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</si>
  <si>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</si>
  <si>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</si>
  <si>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</si>
  <si>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</si>
  <si>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</si>
  <si>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</si>
  <si>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</si>
  <si>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</si>
  <si>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</si>
  <si>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</si>
  <si>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</si>
  <si>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</si>
  <si>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</si>
  <si>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</si>
  <si>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</si>
  <si>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</si>
  <si>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</si>
  <si>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</si>
  <si>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</si>
  <si>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</si>
  <si>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</si>
  <si>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</si>
  <si>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</si>
  <si>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</si>
  <si>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</si>
  <si>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</si>
  <si>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</si>
  <si>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</si>
  <si>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</si>
  <si>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</si>
  <si>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</si>
  <si>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</si>
  <si>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</si>
  <si>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</si>
  <si>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</si>
  <si>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</si>
  <si>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</si>
  <si>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</si>
  <si>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</si>
  <si>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</si>
  <si>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</si>
  <si>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</si>
  <si>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</si>
  <si>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</si>
  <si>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</si>
  <si>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</si>
  <si>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</si>
  <si>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</si>
  <si>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</si>
  <si>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</si>
  <si>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</si>
  <si>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</si>
  <si>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</si>
  <si>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</si>
  <si>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</si>
  <si>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</si>
  <si>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</si>
  <si>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</si>
  <si>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</si>
  <si>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</si>
  <si>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</si>
  <si>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</si>
  <si>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</si>
  <si>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</si>
  <si>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</si>
  <si>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</si>
  <si>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</si>
  <si>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</si>
  <si>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</si>
  <si>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</si>
  <si>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</si>
  <si>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</si>
  <si>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</si>
  <si>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</si>
  <si>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</si>
  <si>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</si>
  <si>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</si>
  <si>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</si>
  <si>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</si>
  <si>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</si>
  <si>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</si>
  <si>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</si>
  <si>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</si>
  <si>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</si>
  <si>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</si>
  <si>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</si>
  <si>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</si>
  <si>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</si>
  <si>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</si>
  <si>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</si>
  <si>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</si>
  <si>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</si>
  <si>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</si>
  <si>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</si>
  <si>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</si>
  <si>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</si>
  <si>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</si>
  <si>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</si>
  <si>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</si>
  <si>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</si>
  <si>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</si>
  <si>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</si>
  <si>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</si>
  <si>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</si>
  <si>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</si>
  <si>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</si>
  <si>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</si>
  <si>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</si>
  <si>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</si>
  <si>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</si>
  <si>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</si>
  <si>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</si>
  <si>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</si>
  <si>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</si>
  <si>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</si>
  <si>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</si>
  <si>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</si>
  <si>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</si>
  <si>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</si>
  <si>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</si>
  <si>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</si>
  <si>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</si>
  <si>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</si>
  <si>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</si>
  <si>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</si>
  <si>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</si>
  <si>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</si>
  <si>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</si>
  <si>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</si>
  <si>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</si>
  <si>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</si>
  <si>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</si>
  <si>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</si>
  <si>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</si>
  <si>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</si>
  <si>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</si>
  <si>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</si>
  <si>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</si>
  <si>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</si>
  <si>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</si>
  <si>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</si>
  <si>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</si>
  <si>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</si>
  <si>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</si>
  <si>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</si>
  <si>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</si>
  <si>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</si>
  <si>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</si>
  <si>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</si>
  <si>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</si>
  <si>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</si>
  <si>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</si>
  <si>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</si>
  <si>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</si>
  <si>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</si>
  <si>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</si>
  <si>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</si>
  <si>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</si>
  <si>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</si>
  <si>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</si>
  <si>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</si>
  <si>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</si>
  <si>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</si>
  <si>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</si>
  <si>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</si>
  <si>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</si>
  <si>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</si>
  <si>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</si>
  <si>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</si>
  <si>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</si>
  <si>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</si>
  <si>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</si>
  <si>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</si>
  <si>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</si>
  <si>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</si>
  <si>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</si>
  <si>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</si>
  <si>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</si>
  <si>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</si>
  <si>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</si>
  <si>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</si>
  <si>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</si>
  <si>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</si>
  <si>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</si>
  <si>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</si>
  <si>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</si>
  <si>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</si>
  <si>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</si>
  <si>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</si>
  <si>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</si>
  <si>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</si>
  <si>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</si>
  <si>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</si>
  <si>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</si>
  <si>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</si>
  <si>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</si>
  <si>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</si>
  <si>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</si>
  <si>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</si>
  <si>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</si>
  <si>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</si>
  <si>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</si>
  <si>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</si>
  <si>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</si>
  <si>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</si>
  <si>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</si>
  <si>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</si>
  <si>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</si>
  <si>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</si>
  <si>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</si>
  <si>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</si>
  <si>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</si>
  <si>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</si>
  <si>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</si>
  <si>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</si>
  <si>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</si>
  <si>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</si>
  <si>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</si>
  <si>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</si>
  <si>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</si>
  <si>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</si>
  <si>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</si>
  <si>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</si>
  <si>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</si>
  <si>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</si>
  <si>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</si>
  <si>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</si>
  <si>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</si>
  <si>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</si>
  <si>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</si>
  <si>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</si>
  <si>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</si>
  <si>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</si>
  <si>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</si>
  <si>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</si>
  <si>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</si>
  <si>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</si>
  <si>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</si>
  <si>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</si>
  <si>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</si>
  <si>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</si>
  <si>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</si>
  <si>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</si>
  <si>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</si>
  <si>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</si>
  <si>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</si>
  <si>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</si>
  <si>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</si>
  <si>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</si>
  <si>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</si>
  <si>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</si>
  <si>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</si>
  <si>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</si>
  <si>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</si>
  <si>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</si>
  <si>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</si>
  <si>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</si>
  <si>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</si>
  <si>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</si>
  <si>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</si>
  <si>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</si>
  <si>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</si>
  <si>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</si>
  <si>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</si>
  <si>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</si>
  <si>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</si>
  <si>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</si>
  <si>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</si>
  <si>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</si>
  <si>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</si>
  <si>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</si>
  <si>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</si>
  <si>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</si>
  <si>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</si>
  <si>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</si>
  <si>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</si>
  <si>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</si>
  <si>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</si>
  <si>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</si>
  <si>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</si>
  <si>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</si>
  <si>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</si>
  <si>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</si>
  <si>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</si>
  <si>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</si>
  <si>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</si>
  <si>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</si>
  <si>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</si>
  <si>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</si>
  <si>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</si>
  <si>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</si>
  <si>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</si>
  <si>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</si>
  <si>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</si>
  <si>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</si>
  <si>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</si>
  <si>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</si>
  <si>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</si>
  <si>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</si>
  <si>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</si>
  <si>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</si>
  <si>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</si>
  <si>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</si>
  <si>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</si>
  <si>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</si>
  <si>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</si>
  <si>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</si>
  <si>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</si>
  <si>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</si>
  <si>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</si>
  <si>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</si>
  <si>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</si>
  <si>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</si>
  <si>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</si>
  <si>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</si>
  <si>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</si>
  <si>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</si>
  <si>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</si>
  <si>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</si>
  <si>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</si>
  <si>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</si>
  <si>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</si>
  <si>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</si>
  <si>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</si>
  <si>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</si>
  <si>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</si>
  <si>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</si>
  <si>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</si>
  <si>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</si>
  <si>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</si>
  <si>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</si>
  <si>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</si>
  <si>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</si>
  <si>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</si>
  <si>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</si>
  <si>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</si>
  <si>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</si>
  <si>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</si>
  <si>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</si>
  <si>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</si>
  <si>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</si>
  <si>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</si>
  <si>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</si>
  <si>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</si>
  <si>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</si>
  <si>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</si>
  <si>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</si>
  <si>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</si>
  <si>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</si>
  <si>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</si>
  <si>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</si>
  <si>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</si>
  <si>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</si>
  <si>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</si>
  <si>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</si>
  <si>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</si>
  <si>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</si>
  <si>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</si>
  <si>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</si>
  <si>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</si>
  <si>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</si>
  <si>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</si>
  <si>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</si>
  <si>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</si>
  <si>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</si>
  <si>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</si>
  <si>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</si>
  <si>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</si>
  <si>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</si>
  <si>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</si>
  <si>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</si>
  <si>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</si>
  <si>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</si>
  <si>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</si>
  <si>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</si>
  <si>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</si>
  <si>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</si>
  <si>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</si>
  <si>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</si>
  <si>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</si>
  <si>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</si>
  <si>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</si>
  <si>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</si>
  <si>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</si>
  <si>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</si>
  <si>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</si>
  <si>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</si>
  <si>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</si>
  <si>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</si>
  <si>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</si>
  <si>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</si>
  <si>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</si>
  <si>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</si>
  <si>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</si>
  <si>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</si>
  <si>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</si>
  <si>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</si>
  <si>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</si>
  <si>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</si>
  <si>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</si>
  <si>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</si>
  <si>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</si>
  <si>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</si>
  <si>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</si>
  <si>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</si>
  <si>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</si>
  <si>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</si>
  <si>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</si>
  <si>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</si>
  <si>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</si>
  <si>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</si>
  <si>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</si>
  <si>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</si>
  <si>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</si>
  <si>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</si>
  <si>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</si>
  <si>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</si>
  <si>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</si>
  <si>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</si>
  <si>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</si>
  <si>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</si>
  <si>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</si>
  <si>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</si>
  <si>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</si>
  <si>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</si>
  <si>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</si>
  <si>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</si>
  <si>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</si>
  <si>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</si>
  <si>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</si>
  <si>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</si>
  <si>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</si>
  <si>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</si>
  <si>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</si>
  <si>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</si>
  <si>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</si>
  <si>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</si>
  <si>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</si>
  <si>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</si>
  <si>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</si>
  <si>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</si>
  <si>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</si>
  <si>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</si>
  <si>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</si>
  <si>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</si>
  <si>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</si>
  <si>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</si>
  <si>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</si>
  <si>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</si>
  <si>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</si>
  <si>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</si>
  <si>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</si>
  <si>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</si>
  <si>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</si>
  <si>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</si>
  <si>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</si>
  <si>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</si>
  <si>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</si>
  <si>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</si>
  <si>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</si>
  <si>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</si>
  <si>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</si>
  <si>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</si>
  <si>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</si>
  <si>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</si>
  <si>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</si>
  <si>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</si>
  <si>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</si>
  <si>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</si>
  <si>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</si>
  <si>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</si>
  <si>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</si>
  <si>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</si>
  <si>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</si>
  <si>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</si>
  <si>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</si>
  <si>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</si>
  <si>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</si>
  <si>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</si>
  <si>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</si>
  <si>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</si>
  <si>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</si>
  <si>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</si>
  <si>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</si>
  <si>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</si>
  <si>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</si>
  <si>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</si>
  <si>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</si>
  <si>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</si>
  <si>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</si>
  <si>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</si>
  <si>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</si>
  <si>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</si>
  <si>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</si>
  <si>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</si>
  <si>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</si>
  <si>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</si>
  <si>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</si>
  <si>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</si>
  <si>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</si>
  <si>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</si>
  <si>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</si>
  <si>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</si>
  <si>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</si>
  <si>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</si>
  <si>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</si>
  <si>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</si>
  <si>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</si>
  <si>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</si>
  <si>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</si>
  <si>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</si>
  <si>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</si>
  <si>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</si>
  <si>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</si>
  <si>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</si>
  <si>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</si>
  <si>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</si>
  <si>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</si>
  <si>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</si>
  <si>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</si>
  <si>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</si>
  <si>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</si>
  <si>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</si>
  <si>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</si>
  <si>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</si>
  <si>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</si>
  <si>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</si>
  <si>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</si>
  <si>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</si>
  <si>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</si>
  <si>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</si>
  <si>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</si>
  <si>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</si>
  <si>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</si>
  <si>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</si>
  <si>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</si>
  <si>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</si>
  <si>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</si>
  <si>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</si>
  <si>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</si>
  <si>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</si>
  <si>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</si>
  <si>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</si>
  <si>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</si>
  <si>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</si>
  <si>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</si>
  <si>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</si>
  <si>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</si>
  <si>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</si>
  <si>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</si>
  <si>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</si>
  <si>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</si>
  <si>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</si>
  <si>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</si>
  <si>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</si>
  <si>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</si>
  <si>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</si>
  <si>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</si>
  <si>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</si>
  <si>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</si>
  <si>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</si>
  <si>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</si>
  <si>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</si>
  <si>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</si>
  <si>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</si>
  <si>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</si>
  <si>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</si>
  <si>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</si>
  <si>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</si>
  <si>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</si>
  <si>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</si>
  <si>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</si>
  <si>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</si>
  <si>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</si>
  <si>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</si>
  <si>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</si>
  <si>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</si>
  <si>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</si>
  <si>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</si>
  <si>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</si>
  <si>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</si>
  <si>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</si>
  <si>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</si>
  <si>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</si>
  <si>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</si>
  <si>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</si>
  <si>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</si>
  <si>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</si>
  <si>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</si>
  <si>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</si>
  <si>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</si>
  <si>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</si>
  <si>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</si>
  <si>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</si>
  <si>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</si>
  <si>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</si>
  <si>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</si>
  <si>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</si>
  <si>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</si>
  <si>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</si>
  <si>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</si>
  <si>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</si>
  <si>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</si>
  <si>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</si>
  <si>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</si>
  <si>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</si>
  <si>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</si>
  <si>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</si>
  <si>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</si>
  <si>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</si>
  <si>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</si>
  <si>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</si>
  <si>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</si>
  <si>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</si>
  <si>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</si>
  <si>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</si>
  <si>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</si>
  <si>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</si>
  <si>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</si>
  <si>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</si>
  <si>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</si>
  <si>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</si>
  <si>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</si>
  <si>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</si>
  <si>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</si>
  <si>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</si>
  <si>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</si>
  <si>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</si>
  <si>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</si>
  <si>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</si>
  <si>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</si>
  <si>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</si>
  <si>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</si>
  <si>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</si>
  <si>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</si>
  <si>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</si>
  <si>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</si>
  <si>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</si>
  <si>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</si>
  <si>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</si>
  <si>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</si>
  <si>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</si>
  <si>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</si>
  <si>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</si>
  <si>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</si>
  <si>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</si>
  <si>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</si>
  <si>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</si>
  <si>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</si>
  <si>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</si>
  <si>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</si>
  <si>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</si>
  <si>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</si>
  <si>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</si>
  <si>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</si>
  <si>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</si>
  <si>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</si>
  <si>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</si>
  <si>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</si>
  <si>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</si>
  <si>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</si>
  <si>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</si>
  <si>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</si>
  <si>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</si>
  <si>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</si>
  <si>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</si>
  <si>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</si>
  <si>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</si>
  <si>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</si>
  <si>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</si>
  <si>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</si>
  <si>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</si>
  <si>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</si>
  <si>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</si>
  <si>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</si>
  <si>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</si>
  <si>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</si>
  <si>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</si>
  <si>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</si>
  <si>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</si>
  <si>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</si>
  <si>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</si>
  <si>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</si>
  <si>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</si>
  <si>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</si>
  <si>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</si>
  <si>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</si>
  <si>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</si>
  <si>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</si>
  <si>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</si>
  <si>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</si>
  <si>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</si>
  <si>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</si>
  <si>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</si>
  <si>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</si>
  <si>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</si>
  <si>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</si>
  <si>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</si>
  <si>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</si>
  <si>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</si>
  <si>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</si>
  <si>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</si>
  <si>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</si>
  <si>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</si>
  <si>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</si>
  <si>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</si>
  <si>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</si>
  <si>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</si>
  <si>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</si>
  <si>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</si>
  <si>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</si>
  <si>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</si>
  <si>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</si>
  <si>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</si>
  <si>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</si>
  <si>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</si>
  <si>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</si>
  <si>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</si>
  <si>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</si>
  <si>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</si>
  <si>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</si>
  <si>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</si>
  <si>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</si>
  <si>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</si>
  <si>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</si>
  <si>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</si>
  <si>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</si>
  <si>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</si>
  <si>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</si>
  <si>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</si>
  <si>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</si>
  <si>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</si>
  <si>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</si>
  <si>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</si>
  <si>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</si>
  <si>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</si>
  <si>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</si>
  <si>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</si>
  <si>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</si>
  <si>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</si>
  <si>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</si>
  <si>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</si>
  <si>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</si>
  <si>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</si>
  <si>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</si>
  <si>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</si>
  <si>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</si>
  <si>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</si>
  <si>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</si>
  <si>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</si>
  <si>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</si>
  <si>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</si>
  <si>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</si>
  <si>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</si>
  <si>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</si>
  <si>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</si>
  <si>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</si>
  <si>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</si>
  <si>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</si>
  <si>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</si>
  <si>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</si>
  <si>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</si>
  <si>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</si>
  <si>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</si>
  <si>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</si>
  <si>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</si>
  <si>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</si>
  <si>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</si>
  <si>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</si>
  <si>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</si>
  <si>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</si>
  <si>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</si>
  <si>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</si>
  <si>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</si>
  <si>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</si>
  <si>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</si>
  <si>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</si>
  <si>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</si>
  <si>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</si>
  <si>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</si>
  <si>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</si>
  <si>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</si>
  <si>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</si>
  <si>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</si>
  <si>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</si>
  <si>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</si>
  <si>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</si>
  <si>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</si>
  <si>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</si>
  <si>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</si>
  <si>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</si>
  <si>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</si>
  <si>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</si>
  <si>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</si>
  <si>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</si>
  <si>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</si>
  <si>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</si>
  <si>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</si>
  <si>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</si>
  <si>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</si>
  <si>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</si>
  <si>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</si>
  <si>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</si>
  <si>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</si>
  <si>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</si>
  <si>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</si>
  <si>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</si>
  <si>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</si>
  <si>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</si>
  <si>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</si>
  <si>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</si>
  <si>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</si>
  <si>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</si>
  <si>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</si>
  <si>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</si>
  <si>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</si>
  <si>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</si>
  <si>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</si>
  <si>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</si>
  <si>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</si>
  <si>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</si>
  <si>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</si>
  <si>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</si>
  <si>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</si>
  <si>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</si>
  <si>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</si>
  <si>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</si>
  <si>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</si>
  <si>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</si>
  <si>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</si>
  <si>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</si>
  <si>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</si>
  <si>
    <t>VPowerMinReserve</t>
  </si>
  <si>
    <t>Value of minimum power limit</t>
  </si>
  <si>
    <t>VPowerMinReserve;Вт;Минимальный запас мощности после запуска всех устройств</t>
  </si>
  <si>
    <t>Slot?PowerStatus;Недоступно@0|СбойУправления@1|Работает@2|ПределМощности@3|Выключено@4</t>
  </si>
  <si>
    <t>FUPowerStatus;Unavailable@0|Failure@1|On@2|PowerLimitOff@3|SwitchedOff@4</t>
  </si>
  <si>
    <t>Slot?PowerStatus;Unavailable@0|Failure@1|On@2|PowerLimitOff@3|SwitchedOff@4</t>
  </si>
  <si>
    <t>FUPowerStatus;Недоступно@0|СбойУправления@1|Работает@2|ПределМощности@3|Выключено@4</t>
  </si>
  <si>
    <t>3.3.26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</si>
</sst>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9" sqref="L9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636</v>
      </c>
      <c r="E6" s="522" t="s">
        <v>354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733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533</v>
      </c>
      <c r="E7" s="199" t="s">
        <v>582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584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351</v>
      </c>
      <c r="E8" s="202" t="s">
        <v>355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879</v>
      </c>
      <c r="M8" s="215">
        <v>32</v>
      </c>
      <c r="N8" s="357" t="s">
        <v>366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352</v>
      </c>
      <c r="E9" s="199" t="s">
        <v>356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367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353</v>
      </c>
      <c r="E10" s="199" t="s">
        <v>357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368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358</v>
      </c>
      <c r="E11" s="199" t="s">
        <v>358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284</v>
      </c>
      <c r="K11" s="214"/>
      <c r="L11" s="214" t="s">
        <v>134</v>
      </c>
      <c r="M11" s="214">
        <v>64</v>
      </c>
      <c r="N11" s="356" t="s">
        <v>583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534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284</v>
      </c>
      <c r="K12" s="214"/>
      <c r="L12" s="214" t="s">
        <v>134</v>
      </c>
      <c r="M12" s="214">
        <v>64</v>
      </c>
      <c r="N12" s="356" t="s">
        <v>535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284</v>
      </c>
      <c r="K13" s="214"/>
      <c r="L13" s="214" t="s">
        <v>134</v>
      </c>
      <c r="M13" s="214">
        <v>64</v>
      </c>
      <c r="N13" s="356" t="s">
        <v>536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359</v>
      </c>
      <c r="E14" s="199" t="s">
        <v>404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284</v>
      </c>
      <c r="K14" s="214"/>
      <c r="L14" s="214" t="s">
        <v>370</v>
      </c>
      <c r="M14" s="214">
        <v>64</v>
      </c>
      <c r="N14" s="359" t="s">
        <v>369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537</v>
      </c>
      <c r="E15" s="385" t="s">
        <v>408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538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406</v>
      </c>
      <c r="E16" s="388" t="s">
        <v>409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411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407</v>
      </c>
      <c r="E17" s="388" t="s">
        <v>410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412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360</v>
      </c>
      <c r="E18" s="426" t="s">
        <v>680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686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361</v>
      </c>
      <c r="E19" s="426" t="s">
        <v>681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687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362</v>
      </c>
      <c r="E20" s="426" t="s">
        <v>682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688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363</v>
      </c>
      <c r="E21" s="426" t="s">
        <v>683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689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364</v>
      </c>
      <c r="E22" s="426" t="s">
        <v>684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690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365</v>
      </c>
      <c r="E23" s="426" t="s">
        <v>685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691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646</v>
      </c>
      <c r="E24" s="209" t="s">
        <v>647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648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371</v>
      </c>
      <c r="E25" s="212" t="s">
        <v>376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284</v>
      </c>
      <c r="K25" s="210"/>
      <c r="L25" s="260" t="s">
        <v>134</v>
      </c>
      <c r="M25" s="260">
        <v>32</v>
      </c>
      <c r="N25" s="355" t="s">
        <v>722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372</v>
      </c>
      <c r="E26" s="212" t="s">
        <v>377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284</v>
      </c>
      <c r="K26" s="210"/>
      <c r="L26" s="260" t="s">
        <v>134</v>
      </c>
      <c r="M26" s="260">
        <v>32</v>
      </c>
      <c r="N26" s="355" t="s">
        <v>723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482</v>
      </c>
      <c r="E27" s="361" t="s">
        <v>378</v>
      </c>
      <c r="F27" s="211" t="s">
        <v>233</v>
      </c>
      <c r="G27" s="260">
        <v>1024</v>
      </c>
      <c r="H27" s="260" t="s">
        <v>28</v>
      </c>
      <c r="I27" s="363" t="s">
        <v>30</v>
      </c>
      <c r="J27" s="260" t="s">
        <v>481</v>
      </c>
      <c r="K27" s="210"/>
      <c r="L27" s="260">
        <v>2</v>
      </c>
      <c r="M27" s="382">
        <v>16</v>
      </c>
      <c r="N27" s="360" t="s">
        <v>724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539</v>
      </c>
      <c r="E28" s="361" t="s">
        <v>379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725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388</v>
      </c>
      <c r="E29" s="341" t="s">
        <v>391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394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389</v>
      </c>
      <c r="E30" s="341" t="s">
        <v>392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395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390</v>
      </c>
      <c r="E31" s="480" t="s">
        <v>393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313</v>
      </c>
      <c r="L31" s="478"/>
      <c r="M31" s="482"/>
      <c r="N31" s="479" t="s">
        <v>403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644</v>
      </c>
      <c r="E32" s="341" t="s">
        <v>642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643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414</v>
      </c>
      <c r="E33" s="485" t="s">
        <v>287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419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656</v>
      </c>
      <c r="E34" s="499" t="s">
        <v>657</v>
      </c>
      <c r="F34" s="486" t="s">
        <v>233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252</v>
      </c>
      <c r="N34" s="499" t="s">
        <v>658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659</v>
      </c>
      <c r="E35" s="499" t="s">
        <v>660</v>
      </c>
      <c r="F35" s="486" t="s">
        <v>233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252</v>
      </c>
      <c r="N35" s="499" t="s">
        <v>661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662</v>
      </c>
      <c r="E36" s="499" t="s">
        <v>663</v>
      </c>
      <c r="F36" s="486" t="s">
        <v>233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252</v>
      </c>
      <c r="N36" s="502" t="s">
        <v>664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665</v>
      </c>
      <c r="E37" s="499" t="s">
        <v>666</v>
      </c>
      <c r="F37" s="486" t="s">
        <v>233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252</v>
      </c>
      <c r="N37" s="499" t="s">
        <v>667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413</v>
      </c>
      <c r="E38" s="190" t="s">
        <v>415</v>
      </c>
      <c r="F38" s="486" t="s">
        <v>233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418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373</v>
      </c>
      <c r="E39" s="191" t="s">
        <v>380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396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374</v>
      </c>
      <c r="E40" s="191" t="s">
        <v>381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397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382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405</v>
      </c>
      <c r="M41" s="383">
        <v>32</v>
      </c>
      <c r="N41" s="379" t="s">
        <v>398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383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399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384</v>
      </c>
      <c r="F43" s="279" t="s">
        <v>717</v>
      </c>
      <c r="G43" s="327">
        <v>1024</v>
      </c>
      <c r="H43" s="327" t="s">
        <v>28</v>
      </c>
      <c r="I43" s="327" t="s">
        <v>26</v>
      </c>
      <c r="J43" s="383" t="s">
        <v>284</v>
      </c>
      <c r="K43" s="327"/>
      <c r="L43" s="327" t="s">
        <v>134</v>
      </c>
      <c r="M43" s="383">
        <v>32</v>
      </c>
      <c r="N43" s="379" t="s">
        <v>400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375</v>
      </c>
      <c r="E44" s="283" t="s">
        <v>385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401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386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402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239</v>
      </c>
      <c r="E46" s="283" t="s">
        <v>387</v>
      </c>
      <c r="F46" s="279" t="s">
        <v>717</v>
      </c>
      <c r="G46" s="327">
        <v>1024</v>
      </c>
      <c r="H46" s="327" t="s">
        <v>28</v>
      </c>
      <c r="I46" s="327" t="s">
        <v>26</v>
      </c>
      <c r="J46" s="383" t="s">
        <v>284</v>
      </c>
      <c r="K46" s="327"/>
      <c r="L46" s="327">
        <v>0</v>
      </c>
      <c r="M46" s="383">
        <v>16</v>
      </c>
      <c r="N46" s="379" t="s">
        <v>721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866</v>
      </c>
      <c r="K6" s="30" t="s">
        <v>867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17" activePane="bottomLeft" state="frozen"/>
      <selection pane="bottomLeft" activeCell="D48" sqref="D48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544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545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546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547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427</v>
      </c>
      <c r="E8" s="421" t="s">
        <v>446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249</v>
      </c>
      <c r="L8" s="419"/>
      <c r="M8" s="421"/>
      <c r="N8" s="421"/>
      <c r="O8" s="421"/>
      <c r="P8" s="422"/>
      <c r="Q8" s="421" t="s">
        <v>599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428</v>
      </c>
      <c r="E9" s="421" t="s">
        <v>447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600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429</v>
      </c>
      <c r="E10" s="421" t="s">
        <v>448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601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430</v>
      </c>
      <c r="E11" s="421" t="s">
        <v>449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602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852</v>
      </c>
      <c r="E12" s="415" t="s">
        <v>853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854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857</v>
      </c>
      <c r="E13" s="415" t="s">
        <v>855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856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845</v>
      </c>
      <c r="E14" s="415" t="s">
        <v>847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249</v>
      </c>
      <c r="L14" s="261"/>
      <c r="M14" s="416"/>
      <c r="N14" s="416"/>
      <c r="O14" s="416"/>
      <c r="P14" s="417"/>
      <c r="Q14" s="261" t="s">
        <v>846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548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697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423</v>
      </c>
      <c r="E16" s="233" t="s">
        <v>451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730</v>
      </c>
      <c r="L16" s="204"/>
      <c r="M16" s="233"/>
      <c r="N16" s="233"/>
      <c r="O16" s="233"/>
      <c r="P16" s="215" t="s">
        <v>78</v>
      </c>
      <c r="Q16" s="204" t="s">
        <v>623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425</v>
      </c>
      <c r="E17" s="233" t="s">
        <v>452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730</v>
      </c>
      <c r="L17" s="237"/>
      <c r="M17" s="233"/>
      <c r="N17" s="233"/>
      <c r="O17" s="233"/>
      <c r="P17" s="215" t="s">
        <v>78</v>
      </c>
      <c r="Q17" s="204" t="s">
        <v>624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549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728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802</v>
      </c>
      <c r="E19" s="399" t="s">
        <v>803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804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422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864</v>
      </c>
      <c r="L20" s="204"/>
      <c r="M20" s="233"/>
      <c r="N20" s="233"/>
      <c r="O20" s="233"/>
      <c r="P20" s="234" t="s">
        <v>79</v>
      </c>
      <c r="Q20" s="204" t="s">
        <v>529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424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864</v>
      </c>
      <c r="L21" s="237"/>
      <c r="M21" s="233"/>
      <c r="N21" s="233"/>
      <c r="O21" s="233"/>
      <c r="P21" s="234" t="s">
        <v>79</v>
      </c>
      <c r="Q21" s="204" t="s">
        <v>530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421</v>
      </c>
      <c r="E22" s="190" t="s">
        <v>349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532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432</v>
      </c>
      <c r="E23" s="241" t="s">
        <v>524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431</v>
      </c>
      <c r="L23" s="239"/>
      <c r="M23" s="241"/>
      <c r="N23" s="241"/>
      <c r="O23" s="241"/>
      <c r="P23" s="242"/>
      <c r="Q23" s="241" t="s">
        <v>620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433</v>
      </c>
      <c r="E24" s="241" t="s">
        <v>525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431</v>
      </c>
      <c r="L24" s="239"/>
      <c r="M24" s="241"/>
      <c r="N24" s="241"/>
      <c r="O24" s="241"/>
      <c r="P24" s="242"/>
      <c r="Q24" s="241" t="s">
        <v>622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434</v>
      </c>
      <c r="E25" s="241" t="s">
        <v>526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431</v>
      </c>
      <c r="L25" s="239"/>
      <c r="M25" s="241"/>
      <c r="N25" s="241"/>
      <c r="O25" s="241"/>
      <c r="P25" s="242"/>
      <c r="Q25" s="241" t="s">
        <v>621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750</v>
      </c>
      <c r="E26" s="534" t="s">
        <v>748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730</v>
      </c>
      <c r="L26" s="239"/>
      <c r="M26" s="534"/>
      <c r="N26" s="534"/>
      <c r="O26" s="534"/>
      <c r="P26" s="535" t="s">
        <v>749</v>
      </c>
      <c r="Q26" s="241" t="s">
        <v>751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591</v>
      </c>
      <c r="E27" s="297" t="s">
        <v>590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595</v>
      </c>
      <c r="L27" s="296"/>
      <c r="M27" s="297"/>
      <c r="N27" s="297"/>
      <c r="O27" s="297"/>
      <c r="P27" s="292"/>
      <c r="Q27" s="297" t="s">
        <v>592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655</v>
      </c>
      <c r="E28" s="297" t="s">
        <v>654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692</v>
      </c>
      <c r="L28" s="296"/>
      <c r="M28" s="297"/>
      <c r="N28" s="297"/>
      <c r="O28" s="297"/>
      <c r="P28" s="292" t="s">
        <v>180</v>
      </c>
      <c r="Q28" s="297" t="s">
        <v>698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435</v>
      </c>
      <c r="E29" s="297" t="s">
        <v>294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251</v>
      </c>
      <c r="L29" s="296"/>
      <c r="M29" s="297"/>
      <c r="N29" s="297"/>
      <c r="O29" s="297"/>
      <c r="P29" s="292" t="s">
        <v>78</v>
      </c>
      <c r="Q29" s="297" t="s">
        <v>527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436</v>
      </c>
      <c r="E30" s="302" t="s">
        <v>295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251</v>
      </c>
      <c r="L30" s="300"/>
      <c r="M30" s="302"/>
      <c r="N30" s="302"/>
      <c r="O30" s="302"/>
      <c r="P30" s="303" t="s">
        <v>78</v>
      </c>
      <c r="Q30" s="302" t="s">
        <v>528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442</v>
      </c>
      <c r="E31" s="409" t="s">
        <v>443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444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340</v>
      </c>
      <c r="E32" s="335" t="s">
        <v>346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345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437</v>
      </c>
      <c r="E33" s="335" t="s">
        <v>344</v>
      </c>
      <c r="F33" s="334" t="s">
        <v>716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531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343</v>
      </c>
      <c r="E34" s="335" t="s">
        <v>439</v>
      </c>
      <c r="F34" s="334" t="s">
        <v>716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313</v>
      </c>
      <c r="Q34" s="335" t="s">
        <v>347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834</v>
      </c>
      <c r="E35" s="208" t="s">
        <v>835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313</v>
      </c>
      <c r="Q35" s="208" t="s">
        <v>836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625</v>
      </c>
      <c r="E36" s="461" t="s">
        <v>628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631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626</v>
      </c>
      <c r="E37" s="461" t="s">
        <v>629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632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627</v>
      </c>
      <c r="E38" s="461" t="s">
        <v>630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313</v>
      </c>
      <c r="Q38" s="461" t="s">
        <v>633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693</v>
      </c>
      <c r="E39" s="499" t="s">
        <v>694</v>
      </c>
      <c r="F39" s="503" t="s">
        <v>596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695</v>
      </c>
      <c r="Q39" s="499" t="s">
        <v>696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550</v>
      </c>
      <c r="E43" s="341" t="s">
        <v>445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637</v>
      </c>
      <c r="L43" s="266"/>
      <c r="M43" s="266"/>
      <c r="N43" s="266"/>
      <c r="O43" s="266"/>
      <c r="P43" s="276" t="s">
        <v>27</v>
      </c>
      <c r="Q43" s="266" t="s">
        <v>551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540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541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542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543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426</v>
      </c>
      <c r="E47" s="415" t="s">
        <v>450</v>
      </c>
      <c r="F47" s="260" t="s">
        <v>716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523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420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726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438</v>
      </c>
      <c r="E49" s="266" t="s">
        <v>348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251</v>
      </c>
      <c r="L49" s="348"/>
      <c r="M49" s="348"/>
      <c r="N49" s="348"/>
      <c r="O49" s="348"/>
      <c r="P49" s="265" t="s">
        <v>313</v>
      </c>
      <c r="Q49" s="266" t="s">
        <v>727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440</v>
      </c>
      <c r="E50" s="404" t="s">
        <v>441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729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90"/>
  <sheetViews>
    <sheetView zoomScale="85" zoomScaleNormal="85" workbookViewId="0">
      <pane ySplit="4" topLeftCell="A14" activePane="bottomLeft" state="frozen"/>
      <selection pane="bottomLeft" activeCell="D39" sqref="D39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552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284</v>
      </c>
      <c r="L6" s="247">
        <v>15</v>
      </c>
      <c r="M6" s="410" t="s">
        <v>177</v>
      </c>
      <c r="N6" s="410" t="s">
        <v>553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554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284</v>
      </c>
      <c r="L7" s="247">
        <v>30</v>
      </c>
      <c r="M7" s="410" t="s">
        <v>178</v>
      </c>
      <c r="N7" s="410" t="s">
        <v>555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556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284</v>
      </c>
      <c r="L8" s="247">
        <v>5000</v>
      </c>
      <c r="M8" s="410" t="s">
        <v>179</v>
      </c>
      <c r="N8" s="410" t="s">
        <v>557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558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284</v>
      </c>
      <c r="L9" s="247">
        <v>50</v>
      </c>
      <c r="N9" s="410" t="s">
        <v>559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560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284</v>
      </c>
      <c r="L10" s="247">
        <v>0</v>
      </c>
      <c r="N10" s="410" t="s">
        <v>561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453</v>
      </c>
      <c r="E11" s="414" t="s">
        <v>454</v>
      </c>
      <c r="F11" s="413" t="s">
        <v>596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284</v>
      </c>
      <c r="L11" s="247">
        <v>0</v>
      </c>
      <c r="N11" s="411" t="s">
        <v>455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457</v>
      </c>
      <c r="E12" s="429" t="s">
        <v>458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522</v>
      </c>
      <c r="L12" s="294">
        <v>0</v>
      </c>
      <c r="M12" s="429"/>
      <c r="N12" s="429" t="s">
        <v>462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460</v>
      </c>
      <c r="E13" s="432" t="s">
        <v>459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461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839</v>
      </c>
      <c r="E14" s="432" t="s">
        <v>840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522</v>
      </c>
      <c r="L14" s="431">
        <v>1</v>
      </c>
      <c r="M14" s="432"/>
      <c r="N14" s="517" t="s">
        <v>841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651</v>
      </c>
      <c r="E15" s="432" t="s">
        <v>652</v>
      </c>
      <c r="F15" s="433" t="s">
        <v>718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719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467</v>
      </c>
      <c r="E16" s="266" t="s">
        <v>285</v>
      </c>
      <c r="F16" s="265" t="s">
        <v>233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468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416</v>
      </c>
      <c r="E17" s="190" t="s">
        <v>417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481</v>
      </c>
      <c r="L17" s="286">
        <v>50</v>
      </c>
      <c r="M17" s="503" t="s">
        <v>180</v>
      </c>
      <c r="N17" s="190" t="s">
        <v>837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824</v>
      </c>
      <c r="E18" s="499" t="s">
        <v>825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481</v>
      </c>
      <c r="L18" s="501">
        <v>0</v>
      </c>
      <c r="M18" s="503"/>
      <c r="N18" s="499" t="s">
        <v>838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828</v>
      </c>
      <c r="E19" s="499" t="s">
        <v>830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481</v>
      </c>
      <c r="L19" s="501">
        <v>90</v>
      </c>
      <c r="M19" s="503" t="s">
        <v>313</v>
      </c>
      <c r="N19" s="499" t="s">
        <v>832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829</v>
      </c>
      <c r="E20" s="499" t="s">
        <v>831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481</v>
      </c>
      <c r="L20" s="501">
        <v>140</v>
      </c>
      <c r="M20" s="503" t="s">
        <v>313</v>
      </c>
      <c r="N20" s="499" t="s">
        <v>833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469</v>
      </c>
      <c r="E21" s="193" t="s">
        <v>315</v>
      </c>
      <c r="F21" s="213" t="s">
        <v>233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313</v>
      </c>
      <c r="N21" s="193" t="s">
        <v>475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470</v>
      </c>
      <c r="E22" s="193" t="s">
        <v>316</v>
      </c>
      <c r="F22" s="213" t="s">
        <v>233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314</v>
      </c>
      <c r="M22" s="193"/>
      <c r="N22" s="193" t="s">
        <v>476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305</v>
      </c>
      <c r="E23" s="193" t="s">
        <v>317</v>
      </c>
      <c r="F23" s="213" t="s">
        <v>233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296</v>
      </c>
      <c r="N23" s="193" t="s">
        <v>326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307</v>
      </c>
      <c r="E24" s="193" t="s">
        <v>318</v>
      </c>
      <c r="F24" s="213" t="s">
        <v>233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328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308</v>
      </c>
      <c r="E25" s="193" t="s">
        <v>319</v>
      </c>
      <c r="F25" s="213" t="s">
        <v>233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327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309</v>
      </c>
      <c r="E26" s="193" t="s">
        <v>320</v>
      </c>
      <c r="F26" s="213" t="s">
        <v>233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331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306</v>
      </c>
      <c r="E27" s="193" t="s">
        <v>321</v>
      </c>
      <c r="F27" s="213" t="s">
        <v>233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296</v>
      </c>
      <c r="N27" s="193" t="s">
        <v>645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310</v>
      </c>
      <c r="E28" s="193" t="s">
        <v>322</v>
      </c>
      <c r="F28" s="213" t="s">
        <v>233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329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311</v>
      </c>
      <c r="E29" s="193" t="s">
        <v>323</v>
      </c>
      <c r="F29" s="213" t="s">
        <v>233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330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312</v>
      </c>
      <c r="E30" s="193" t="s">
        <v>324</v>
      </c>
      <c r="F30" s="213" t="s">
        <v>233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332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471</v>
      </c>
      <c r="E31" s="193" t="s">
        <v>325</v>
      </c>
      <c r="F31" s="213" t="s">
        <v>233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477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819</v>
      </c>
      <c r="E32" s="516" t="s">
        <v>820</v>
      </c>
      <c r="F32" s="514" t="s">
        <v>233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821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784</v>
      </c>
      <c r="E33" s="544" t="s">
        <v>787</v>
      </c>
      <c r="F33" s="545" t="s">
        <v>596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791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783</v>
      </c>
      <c r="E34" s="543" t="s">
        <v>788</v>
      </c>
      <c r="F34" s="545" t="s">
        <v>596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792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810</v>
      </c>
      <c r="E35" s="543" t="s">
        <v>811</v>
      </c>
      <c r="F35" s="545" t="s">
        <v>596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812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785</v>
      </c>
      <c r="E36" s="544" t="s">
        <v>789</v>
      </c>
      <c r="F36" s="545" t="s">
        <v>596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793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805</v>
      </c>
      <c r="E37" s="544" t="s">
        <v>806</v>
      </c>
      <c r="F37" s="545" t="s">
        <v>596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807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786</v>
      </c>
      <c r="E38" s="544" t="s">
        <v>790</v>
      </c>
      <c r="F38" s="545" t="s">
        <v>596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794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472</v>
      </c>
      <c r="E39" s="204" t="s">
        <v>339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350</v>
      </c>
      <c r="L39" s="232">
        <v>2</v>
      </c>
      <c r="M39" s="204"/>
      <c r="N39" s="204" t="s">
        <v>478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752</v>
      </c>
      <c r="E40" s="266" t="s">
        <v>757</v>
      </c>
      <c r="F40" s="265" t="s">
        <v>233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762</v>
      </c>
      <c r="M40" s="266"/>
      <c r="N40" s="372" t="s">
        <v>763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753</v>
      </c>
      <c r="E41" s="266" t="s">
        <v>758</v>
      </c>
      <c r="F41" s="265" t="s">
        <v>233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764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754</v>
      </c>
      <c r="E42" s="266" t="s">
        <v>759</v>
      </c>
      <c r="F42" s="265" t="s">
        <v>233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765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755</v>
      </c>
      <c r="E43" s="266" t="s">
        <v>760</v>
      </c>
      <c r="F43" s="265" t="s">
        <v>233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766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756</v>
      </c>
      <c r="E44" s="266" t="s">
        <v>761</v>
      </c>
      <c r="F44" s="265" t="s">
        <v>233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767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771</v>
      </c>
      <c r="E45" s="266" t="s">
        <v>773</v>
      </c>
      <c r="F45" s="265" t="s">
        <v>233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774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772</v>
      </c>
      <c r="E46" s="266" t="s">
        <v>773</v>
      </c>
      <c r="F46" s="265" t="s">
        <v>233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775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473</v>
      </c>
      <c r="E47" s="297" t="s">
        <v>341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481</v>
      </c>
      <c r="L47" s="293">
        <v>0</v>
      </c>
      <c r="M47" s="297"/>
      <c r="N47" s="297" t="s">
        <v>479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517" customFormat="1" x14ac:dyDescent="0.25">
      <c r="A48" s="296" t="s">
        <v>22</v>
      </c>
      <c r="B48" s="293">
        <v>1</v>
      </c>
      <c r="C48" s="293">
        <v>1</v>
      </c>
      <c r="D48" s="517" t="s">
        <v>474</v>
      </c>
      <c r="E48" s="516" t="s">
        <v>342</v>
      </c>
      <c r="F48" s="514" t="s">
        <v>89</v>
      </c>
      <c r="G48" s="293">
        <v>1024</v>
      </c>
      <c r="H48" s="515" t="s">
        <v>29</v>
      </c>
      <c r="I48" s="438" t="s">
        <v>38</v>
      </c>
      <c r="J48" s="293"/>
      <c r="K48" s="514" t="s">
        <v>481</v>
      </c>
      <c r="L48" s="293">
        <v>0</v>
      </c>
      <c r="M48" s="514" t="s">
        <v>313</v>
      </c>
      <c r="N48" s="516" t="s">
        <v>480</v>
      </c>
      <c r="O48" s="516"/>
      <c r="P48" s="514"/>
      <c r="Q48" s="516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316" customFormat="1" x14ac:dyDescent="0.25">
      <c r="A49" s="296" t="s">
        <v>22</v>
      </c>
      <c r="B49" s="293">
        <v>1</v>
      </c>
      <c r="C49" s="293">
        <v>1</v>
      </c>
      <c r="D49" s="316" t="s">
        <v>872</v>
      </c>
      <c r="E49" s="297" t="s">
        <v>873</v>
      </c>
      <c r="F49" s="292" t="s">
        <v>89</v>
      </c>
      <c r="G49" s="293">
        <v>1024</v>
      </c>
      <c r="H49" s="294" t="s">
        <v>29</v>
      </c>
      <c r="I49" s="438" t="s">
        <v>38</v>
      </c>
      <c r="J49" s="293"/>
      <c r="K49" s="292" t="s">
        <v>481</v>
      </c>
      <c r="L49" s="293">
        <v>0</v>
      </c>
      <c r="M49" s="292" t="s">
        <v>313</v>
      </c>
      <c r="N49" s="297" t="s">
        <v>874</v>
      </c>
      <c r="O49" s="297"/>
      <c r="P49" s="292"/>
      <c r="Q49" s="297"/>
      <c r="R49" s="298"/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  <c r="CK49" s="298"/>
      <c r="CL49" s="298"/>
      <c r="CM49" s="298"/>
      <c r="CN49" s="298"/>
      <c r="CO49" s="298"/>
      <c r="CP49" s="298"/>
      <c r="CQ49" s="298"/>
      <c r="CR49" s="298"/>
      <c r="CS49" s="298"/>
      <c r="CT49" s="298"/>
      <c r="CU49" s="298"/>
      <c r="CV49" s="298"/>
      <c r="CW49" s="298"/>
      <c r="CX49" s="298"/>
      <c r="CY49" s="298"/>
      <c r="CZ49" s="298"/>
      <c r="DA49" s="298"/>
      <c r="DB49" s="298"/>
      <c r="DC49" s="298"/>
      <c r="DD49" s="298"/>
      <c r="DE49" s="298"/>
      <c r="DF49" s="298"/>
      <c r="DG49" s="298"/>
      <c r="DH49" s="298"/>
      <c r="DI49" s="298"/>
      <c r="DJ49" s="298"/>
      <c r="DK49" s="298"/>
      <c r="DL49" s="298"/>
      <c r="DM49" s="298"/>
      <c r="DN49" s="298"/>
      <c r="DO49" s="298"/>
      <c r="DP49" s="298"/>
      <c r="DQ49" s="298"/>
      <c r="DR49" s="298"/>
      <c r="DS49" s="298"/>
      <c r="DT49" s="298"/>
      <c r="DU49" s="298"/>
      <c r="DV49" s="298"/>
      <c r="DW49" s="298"/>
      <c r="DX49" s="298"/>
      <c r="DY49" s="298"/>
      <c r="DZ49" s="298"/>
      <c r="EA49" s="298"/>
      <c r="EB49" s="298"/>
      <c r="EC49" s="298"/>
      <c r="ED49" s="298"/>
      <c r="EE49" s="298"/>
      <c r="EF49" s="298"/>
      <c r="EG49" s="298"/>
      <c r="EH49" s="298"/>
      <c r="EI49" s="298"/>
      <c r="EJ49" s="298"/>
      <c r="EK49" s="298"/>
      <c r="EL49" s="298"/>
      <c r="EM49" s="298"/>
      <c r="EN49" s="298"/>
      <c r="EO49" s="298"/>
      <c r="EP49" s="298"/>
      <c r="EQ49" s="298"/>
      <c r="ER49" s="298"/>
      <c r="ES49" s="298"/>
      <c r="ET49" s="298"/>
      <c r="EU49" s="298"/>
      <c r="EV49" s="298"/>
      <c r="EW49" s="298"/>
      <c r="EX49" s="298"/>
      <c r="EY49" s="298"/>
      <c r="EZ49" s="298"/>
      <c r="FA49" s="298"/>
      <c r="FB49" s="298"/>
      <c r="FC49" s="298"/>
      <c r="FD49" s="298"/>
      <c r="FE49" s="298"/>
      <c r="FF49" s="298"/>
      <c r="FG49" s="298"/>
      <c r="FH49" s="298"/>
      <c r="FI49" s="298"/>
      <c r="FJ49" s="298"/>
      <c r="FK49" s="298"/>
      <c r="FL49" s="298"/>
      <c r="FM49" s="298"/>
      <c r="FN49" s="298"/>
      <c r="FO49" s="298"/>
      <c r="FP49" s="298"/>
      <c r="FQ49" s="298"/>
      <c r="FR49" s="298"/>
      <c r="FS49" s="298"/>
      <c r="FT49" s="298"/>
      <c r="FU49" s="298"/>
      <c r="FV49" s="298"/>
      <c r="FW49" s="298"/>
      <c r="FX49" s="298"/>
      <c r="FY49" s="298"/>
      <c r="FZ49" s="298"/>
      <c r="GA49" s="298"/>
      <c r="GB49" s="298"/>
      <c r="GC49" s="298"/>
      <c r="GD49" s="298"/>
      <c r="GE49" s="298"/>
      <c r="GF49" s="298"/>
      <c r="GG49" s="298"/>
      <c r="GH49" s="298"/>
      <c r="GI49" s="298"/>
      <c r="GJ49" s="298"/>
      <c r="GK49" s="298"/>
      <c r="GL49" s="298"/>
      <c r="GM49" s="298"/>
      <c r="GN49" s="298"/>
      <c r="GO49" s="298"/>
      <c r="GP49" s="298"/>
      <c r="GQ49" s="298"/>
      <c r="GR49" s="298"/>
      <c r="GS49" s="298"/>
      <c r="GT49" s="298"/>
      <c r="GU49" s="298"/>
      <c r="GV49" s="298"/>
      <c r="GW49" s="298"/>
      <c r="GX49" s="298"/>
      <c r="GY49" s="298"/>
      <c r="GZ49" s="298"/>
      <c r="HA49" s="298"/>
      <c r="HB49" s="298"/>
      <c r="HC49" s="298"/>
      <c r="HD49" s="298"/>
      <c r="HE49" s="298"/>
      <c r="HF49" s="298"/>
      <c r="HG49" s="298"/>
      <c r="HH49" s="298"/>
      <c r="HI49" s="298"/>
      <c r="HJ49" s="298"/>
      <c r="HK49" s="298"/>
      <c r="HL49" s="298"/>
      <c r="HM49" s="298"/>
      <c r="HN49" s="298"/>
      <c r="HO49" s="298"/>
      <c r="HP49" s="298"/>
      <c r="HQ49" s="298"/>
      <c r="HR49" s="298"/>
      <c r="HS49" s="298"/>
      <c r="HT49" s="298"/>
      <c r="HU49" s="298"/>
      <c r="HV49" s="298"/>
      <c r="HW49" s="298"/>
      <c r="HX49" s="298"/>
      <c r="HY49" s="298"/>
      <c r="HZ49" s="298"/>
      <c r="IA49" s="298"/>
      <c r="IB49" s="298"/>
      <c r="IC49" s="298"/>
      <c r="ID49" s="298"/>
      <c r="IE49" s="298"/>
      <c r="IF49" s="298"/>
      <c r="IG49" s="298"/>
      <c r="IH49" s="298"/>
      <c r="II49" s="298"/>
      <c r="IJ49" s="298"/>
      <c r="IK49" s="298"/>
      <c r="IL49" s="298"/>
      <c r="IM49" s="298"/>
      <c r="IN49" s="298"/>
      <c r="IO49" s="298"/>
      <c r="IP49" s="298"/>
      <c r="IQ49" s="298"/>
      <c r="IR49" s="298"/>
      <c r="IS49" s="298"/>
      <c r="IT49" s="298"/>
      <c r="IU49" s="298"/>
      <c r="IV49" s="298"/>
    </row>
    <row r="50" spans="1:256" s="123" customFormat="1" ht="2.4500000000000002" customHeight="1" x14ac:dyDescent="0.25">
      <c r="A50" s="43"/>
      <c r="B50" s="44"/>
      <c r="C50" s="44"/>
      <c r="D50" s="65"/>
      <c r="E50" s="43"/>
      <c r="F50" s="44"/>
      <c r="G50" s="44"/>
      <c r="H50" s="44"/>
      <c r="I50" s="44"/>
      <c r="J50" s="43"/>
      <c r="K50" s="44"/>
      <c r="L50" s="44"/>
      <c r="M50" s="43"/>
      <c r="N50" s="65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A53"/>
      <c r="B53" s="219"/>
      <c r="C53" s="19"/>
      <c r="D53"/>
      <c r="E53"/>
      <c r="F53" s="219"/>
      <c r="G53" s="219"/>
      <c r="H53" s="219"/>
      <c r="I53" s="219"/>
      <c r="J53"/>
      <c r="K53" s="219"/>
      <c r="L53" s="317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32"/>
      <c r="N55" s="166"/>
    </row>
    <row r="56" spans="1:256" s="123" customFormat="1" x14ac:dyDescent="0.25">
      <c r="B56" s="132"/>
      <c r="C56" s="132"/>
      <c r="D56" s="166"/>
      <c r="F56" s="132"/>
      <c r="G56" s="132"/>
      <c r="H56" s="132"/>
      <c r="I56" s="132"/>
      <c r="K56" s="132"/>
      <c r="L56" s="167"/>
    </row>
    <row r="57" spans="1:256" s="123" customFormat="1" x14ac:dyDescent="0.25">
      <c r="B57" s="132"/>
      <c r="C57" s="132"/>
      <c r="D57" s="168"/>
      <c r="F57" s="132"/>
      <c r="G57" s="132"/>
      <c r="H57" s="132"/>
      <c r="I57" s="132"/>
      <c r="K57" s="132"/>
      <c r="L57" s="132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32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D60" s="166"/>
      <c r="F60" s="132"/>
      <c r="G60" s="132"/>
      <c r="H60" s="132"/>
      <c r="I60" s="132"/>
      <c r="K60" s="132"/>
      <c r="L60" s="167"/>
      <c r="N60" s="166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15"/>
      <c r="G62" s="132"/>
      <c r="H62" s="132"/>
      <c r="I62" s="132"/>
      <c r="J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F64" s="132"/>
      <c r="G64" s="132"/>
      <c r="H64" s="132"/>
      <c r="I64" s="132"/>
      <c r="K64" s="132"/>
      <c r="L64" s="132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D67" s="166"/>
      <c r="F67" s="132"/>
      <c r="G67" s="132"/>
      <c r="H67" s="132"/>
      <c r="I67" s="132"/>
      <c r="K67" s="132"/>
      <c r="L67" s="132"/>
      <c r="N67" s="166"/>
    </row>
    <row r="68" spans="2:14" s="123" customFormat="1" x14ac:dyDescent="0.25">
      <c r="B68" s="132"/>
      <c r="C68" s="132"/>
      <c r="F68" s="132"/>
      <c r="G68" s="132"/>
      <c r="H68" s="132"/>
      <c r="I68" s="132"/>
      <c r="K68" s="132"/>
      <c r="L68" s="132"/>
    </row>
    <row r="69" spans="2:14" s="123" customFormat="1" x14ac:dyDescent="0.25">
      <c r="B69" s="132"/>
      <c r="C69" s="132"/>
      <c r="D69" s="166"/>
      <c r="F69" s="132"/>
      <c r="G69" s="132"/>
      <c r="H69" s="132"/>
      <c r="I69" s="132"/>
      <c r="K69" s="132"/>
      <c r="L69" s="132"/>
      <c r="N69" s="166"/>
    </row>
    <row r="70" spans="2:14" s="123" customFormat="1" ht="15.75" x14ac:dyDescent="0.25">
      <c r="B70" s="132"/>
      <c r="C70" s="132"/>
      <c r="D70" s="169"/>
      <c r="F70" s="132"/>
      <c r="G70" s="132"/>
      <c r="H70" s="132"/>
      <c r="I70" s="132"/>
      <c r="K70" s="132"/>
      <c r="L70" s="132"/>
      <c r="N70" s="169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F85" s="132"/>
      <c r="G85" s="132"/>
      <c r="H85" s="132"/>
      <c r="I85" s="132"/>
      <c r="K85" s="132"/>
      <c r="L85" s="132"/>
    </row>
    <row r="86" spans="1:256" s="123" customFormat="1" x14ac:dyDescent="0.25">
      <c r="B86" s="132"/>
      <c r="C86" s="132"/>
      <c r="D86" s="133"/>
      <c r="F86" s="132"/>
      <c r="G86" s="132"/>
      <c r="H86" s="132"/>
      <c r="I86" s="132"/>
      <c r="K86" s="115"/>
      <c r="L86" s="132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x14ac:dyDescent="0.25">
      <c r="A90" s="123"/>
      <c r="B90" s="132"/>
      <c r="C90" s="132"/>
      <c r="D90" s="123"/>
      <c r="E90" s="123"/>
      <c r="F90" s="132"/>
      <c r="G90" s="132"/>
      <c r="H90" s="132"/>
      <c r="I90" s="132"/>
      <c r="J90" s="123"/>
      <c r="K90" s="132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284</v>
      </c>
      <c r="K6" s="309">
        <v>90</v>
      </c>
      <c r="L6" s="214" t="s">
        <v>180</v>
      </c>
      <c r="M6" s="460" t="s">
        <v>570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284</v>
      </c>
      <c r="K7" s="309">
        <v>75</v>
      </c>
      <c r="L7" s="214" t="s">
        <v>180</v>
      </c>
      <c r="M7" s="460" t="s">
        <v>571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284</v>
      </c>
      <c r="K8" s="309">
        <v>90</v>
      </c>
      <c r="L8" s="214" t="s">
        <v>180</v>
      </c>
      <c r="M8" s="460" t="s">
        <v>572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284</v>
      </c>
      <c r="K9" s="309">
        <v>75</v>
      </c>
      <c r="L9" s="214" t="s">
        <v>180</v>
      </c>
      <c r="M9" s="460" t="s">
        <v>573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562</v>
      </c>
      <c r="E10" s="226" t="s">
        <v>240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284</v>
      </c>
      <c r="K10" s="309">
        <v>1440</v>
      </c>
      <c r="L10" s="214" t="s">
        <v>177</v>
      </c>
      <c r="M10" s="460" t="s">
        <v>574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563</v>
      </c>
      <c r="E11" s="226" t="s">
        <v>241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284</v>
      </c>
      <c r="K11" s="309">
        <v>1</v>
      </c>
      <c r="L11" s="214" t="s">
        <v>177</v>
      </c>
      <c r="M11" s="460" t="s">
        <v>575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564</v>
      </c>
      <c r="E12" s="226" t="s">
        <v>242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284</v>
      </c>
      <c r="K12" s="309">
        <v>31</v>
      </c>
      <c r="L12" s="214" t="s">
        <v>248</v>
      </c>
      <c r="M12" s="460" t="s">
        <v>576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565</v>
      </c>
      <c r="E13" s="226" t="s">
        <v>243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284</v>
      </c>
      <c r="K13" s="309">
        <v>1</v>
      </c>
      <c r="L13" s="214" t="s">
        <v>248</v>
      </c>
      <c r="M13" s="460" t="s">
        <v>577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566</v>
      </c>
      <c r="E14" s="226" t="s">
        <v>244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284</v>
      </c>
      <c r="K14" s="309">
        <v>100</v>
      </c>
      <c r="L14" s="214"/>
      <c r="M14" s="460" t="s">
        <v>578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567</v>
      </c>
      <c r="E15" s="226" t="s">
        <v>245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284</v>
      </c>
      <c r="K15" s="309">
        <v>1</v>
      </c>
      <c r="L15" s="214"/>
      <c r="M15" s="460" t="s">
        <v>579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568</v>
      </c>
      <c r="E16" s="226" t="s">
        <v>246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284</v>
      </c>
      <c r="K16" s="309">
        <v>2000</v>
      </c>
      <c r="L16" s="214" t="s">
        <v>179</v>
      </c>
      <c r="M16" s="460" t="s">
        <v>580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569</v>
      </c>
      <c r="E17" s="226" t="s">
        <v>247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284</v>
      </c>
      <c r="K17" s="309">
        <v>1</v>
      </c>
      <c r="L17" s="214" t="s">
        <v>179</v>
      </c>
      <c r="M17" s="460" t="s">
        <v>581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585</v>
      </c>
      <c r="E18" s="341" t="s">
        <v>506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286</v>
      </c>
      <c r="K18" s="455">
        <v>60</v>
      </c>
      <c r="L18" s="265" t="s">
        <v>27</v>
      </c>
      <c r="M18" s="266" t="s">
        <v>638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586</v>
      </c>
      <c r="E19" s="341" t="s">
        <v>507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286</v>
      </c>
      <c r="K19" s="455">
        <v>50</v>
      </c>
      <c r="L19" s="265" t="s">
        <v>27</v>
      </c>
      <c r="M19" s="266" t="s">
        <v>639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587</v>
      </c>
      <c r="E20" s="341" t="s">
        <v>508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286</v>
      </c>
      <c r="K20" s="455">
        <v>10</v>
      </c>
      <c r="L20" s="265" t="s">
        <v>27</v>
      </c>
      <c r="M20" s="266" t="s">
        <v>640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588</v>
      </c>
      <c r="E21" s="341" t="s">
        <v>509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286</v>
      </c>
      <c r="K21" s="455">
        <v>0</v>
      </c>
      <c r="L21" s="265" t="s">
        <v>27</v>
      </c>
      <c r="M21" s="266" t="s">
        <v>641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490</v>
      </c>
      <c r="E22" s="449" t="s">
        <v>297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731</v>
      </c>
      <c r="K22" s="450">
        <v>0</v>
      </c>
      <c r="L22" s="451" t="s">
        <v>20</v>
      </c>
      <c r="M22" s="448" t="s">
        <v>501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491</v>
      </c>
      <c r="E23" s="449" t="s">
        <v>298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731</v>
      </c>
      <c r="K23" s="450">
        <v>0</v>
      </c>
      <c r="L23" s="451" t="s">
        <v>20</v>
      </c>
      <c r="M23" s="448" t="s">
        <v>500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492</v>
      </c>
      <c r="E24" s="449" t="s">
        <v>299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730</v>
      </c>
      <c r="K24" s="450">
        <v>0</v>
      </c>
      <c r="L24" s="451" t="s">
        <v>20</v>
      </c>
      <c r="M24" s="448" t="s">
        <v>499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493</v>
      </c>
      <c r="E25" s="449" t="s">
        <v>300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730</v>
      </c>
      <c r="K25" s="450">
        <v>0</v>
      </c>
      <c r="L25" s="451" t="s">
        <v>20</v>
      </c>
      <c r="M25" s="448" t="s">
        <v>498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494</v>
      </c>
      <c r="E26" s="443" t="s">
        <v>301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730</v>
      </c>
      <c r="K26" s="444">
        <v>8.1999999999999993</v>
      </c>
      <c r="L26" s="445" t="s">
        <v>20</v>
      </c>
      <c r="M26" s="442" t="s">
        <v>502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495</v>
      </c>
      <c r="E27" s="322" t="s">
        <v>302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730</v>
      </c>
      <c r="K27" s="323">
        <v>0</v>
      </c>
      <c r="L27" s="324" t="s">
        <v>20</v>
      </c>
      <c r="M27" s="321" t="s">
        <v>503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496</v>
      </c>
      <c r="E28" s="322" t="s">
        <v>303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730</v>
      </c>
      <c r="K28" s="323">
        <v>-40</v>
      </c>
      <c r="L28" s="324" t="s">
        <v>20</v>
      </c>
      <c r="M28" s="321" t="s">
        <v>504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497</v>
      </c>
      <c r="E29" s="322" t="s">
        <v>304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730</v>
      </c>
      <c r="K29" s="323">
        <v>-40</v>
      </c>
      <c r="L29" s="324" t="s">
        <v>20</v>
      </c>
      <c r="M29" s="321" t="s">
        <v>505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257</v>
      </c>
      <c r="E30" s="198" t="s">
        <v>258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286</v>
      </c>
      <c r="K30" s="217">
        <v>50</v>
      </c>
      <c r="L30" s="264" t="s">
        <v>27</v>
      </c>
      <c r="M30" s="197" t="s">
        <v>259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260</v>
      </c>
      <c r="E31" s="198" t="s">
        <v>261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286</v>
      </c>
      <c r="K31" s="217">
        <v>45</v>
      </c>
      <c r="L31" s="264" t="s">
        <v>27</v>
      </c>
      <c r="M31" s="197" t="s">
        <v>262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263</v>
      </c>
      <c r="E32" s="198" t="s">
        <v>264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286</v>
      </c>
      <c r="K32" s="217">
        <v>0</v>
      </c>
      <c r="L32" s="264" t="s">
        <v>27</v>
      </c>
      <c r="M32" s="197" t="s">
        <v>265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266</v>
      </c>
      <c r="E33" s="198" t="s">
        <v>267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286</v>
      </c>
      <c r="K33" s="217">
        <v>-10</v>
      </c>
      <c r="L33" s="264" t="s">
        <v>27</v>
      </c>
      <c r="M33" s="197" t="s">
        <v>268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270</v>
      </c>
      <c r="E34" s="198" t="s">
        <v>271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286</v>
      </c>
      <c r="K34" s="217">
        <v>13</v>
      </c>
      <c r="L34" s="264" t="s">
        <v>79</v>
      </c>
      <c r="M34" s="197" t="s">
        <v>272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273</v>
      </c>
      <c r="E35" s="198" t="s">
        <v>274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286</v>
      </c>
      <c r="K35" s="217">
        <v>12.5</v>
      </c>
      <c r="L35" s="264" t="s">
        <v>79</v>
      </c>
      <c r="M35" s="197" t="s">
        <v>275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276</v>
      </c>
      <c r="E36" s="198" t="s">
        <v>277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286</v>
      </c>
      <c r="K36" s="217">
        <v>11.5</v>
      </c>
      <c r="L36" s="264" t="s">
        <v>79</v>
      </c>
      <c r="M36" s="197" t="s">
        <v>278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279</v>
      </c>
      <c r="E37" s="471" t="s">
        <v>280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286</v>
      </c>
      <c r="K37" s="472">
        <v>11</v>
      </c>
      <c r="L37" s="473" t="s">
        <v>79</v>
      </c>
      <c r="M37" s="470" t="s">
        <v>281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668</v>
      </c>
      <c r="E38" s="509" t="s">
        <v>669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635</v>
      </c>
      <c r="K38" s="511">
        <v>100</v>
      </c>
      <c r="L38" s="506" t="s">
        <v>180</v>
      </c>
      <c r="M38" s="508" t="s">
        <v>670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671</v>
      </c>
      <c r="E39" s="509" t="s">
        <v>672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635</v>
      </c>
      <c r="K39" s="511">
        <v>90</v>
      </c>
      <c r="L39" s="506" t="s">
        <v>180</v>
      </c>
      <c r="M39" s="508" t="s">
        <v>673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674</v>
      </c>
      <c r="E40" s="509" t="s">
        <v>675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635</v>
      </c>
      <c r="K40" s="511">
        <v>10</v>
      </c>
      <c r="L40" s="506" t="s">
        <v>180</v>
      </c>
      <c r="M40" s="509" t="s">
        <v>676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677</v>
      </c>
      <c r="E41" s="509" t="s">
        <v>678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635</v>
      </c>
      <c r="K41" s="511">
        <v>0</v>
      </c>
      <c r="L41" s="506" t="s">
        <v>180</v>
      </c>
      <c r="M41" s="509" t="s">
        <v>679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484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489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485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488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486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487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 t="s">
        <v>198</v>
      </c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284</v>
      </c>
      <c r="L6" s="214">
        <v>0</v>
      </c>
      <c r="N6" s="199" t="s">
        <v>699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284</v>
      </c>
      <c r="L7" s="200">
        <v>0</v>
      </c>
      <c r="N7" s="201" t="s">
        <v>700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701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702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703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235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 t="s">
        <v>200</v>
      </c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234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284</v>
      </c>
      <c r="L6" s="200" t="s">
        <v>237</v>
      </c>
      <c r="N6" s="201" t="s">
        <v>705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234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284</v>
      </c>
      <c r="L7" s="200" t="s">
        <v>238</v>
      </c>
      <c r="N7" s="201" t="s">
        <v>706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234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284</v>
      </c>
      <c r="L8" s="200" t="s">
        <v>236</v>
      </c>
      <c r="N8" s="201" t="s">
        <v>707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849</v>
      </c>
      <c r="E9" s="539" t="s">
        <v>850</v>
      </c>
      <c r="F9" s="537" t="s">
        <v>718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284</v>
      </c>
      <c r="L9" s="537" t="s">
        <v>863</v>
      </c>
      <c r="N9" s="538" t="s">
        <v>851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234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284</v>
      </c>
      <c r="L10" s="200" t="s">
        <v>134</v>
      </c>
      <c r="N10" s="201" t="s">
        <v>708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234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284</v>
      </c>
      <c r="L11" s="200" t="s">
        <v>134</v>
      </c>
      <c r="N11" s="201" t="s">
        <v>709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234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284</v>
      </c>
      <c r="L12" s="200" t="s">
        <v>236</v>
      </c>
      <c r="N12" s="201" t="s">
        <v>710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234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284</v>
      </c>
      <c r="L13" s="200" t="s">
        <v>236</v>
      </c>
      <c r="N13" s="201" t="s">
        <v>711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234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284</v>
      </c>
      <c r="L14" s="200" t="s">
        <v>236</v>
      </c>
      <c r="N14" s="201" t="s">
        <v>712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234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284</v>
      </c>
      <c r="L15" s="200" t="s">
        <v>236</v>
      </c>
      <c r="N15" s="201" t="s">
        <v>713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234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284</v>
      </c>
      <c r="L16" s="200" t="s">
        <v>236</v>
      </c>
      <c r="N16" s="201" t="s">
        <v>714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514</v>
      </c>
      <c r="E17" s="226" t="s">
        <v>515</v>
      </c>
      <c r="F17" s="200" t="s">
        <v>234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284</v>
      </c>
      <c r="L17" s="200" t="s">
        <v>236</v>
      </c>
      <c r="N17" s="201" t="s">
        <v>715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776</v>
      </c>
      <c r="E18" s="539" t="s">
        <v>777</v>
      </c>
      <c r="F18" s="537" t="s">
        <v>233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284</v>
      </c>
      <c r="L18" s="537" t="s">
        <v>236</v>
      </c>
      <c r="N18" s="538" t="s">
        <v>778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779</v>
      </c>
      <c r="E19" s="538" t="s">
        <v>780</v>
      </c>
      <c r="F19" s="537" t="s">
        <v>233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284</v>
      </c>
      <c r="L19" s="537" t="s">
        <v>236</v>
      </c>
      <c r="N19" s="538" t="s">
        <v>781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808</v>
      </c>
      <c r="E20" s="538" t="s">
        <v>782</v>
      </c>
      <c r="F20" s="537" t="s">
        <v>234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284</v>
      </c>
      <c r="L20" s="537" t="s">
        <v>236</v>
      </c>
      <c r="N20" s="538" t="s">
        <v>809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3" max="13" width="8.85546875" style="229"/>
    <col min="14" max="14" width="24.7109375" customWidth="1"/>
  </cols>
  <sheetData>
    <row r="1" spans="1:23" x14ac:dyDescent="0.25">
      <c r="A1" s="6"/>
      <c r="C1" s="18"/>
      <c r="H1" s="555"/>
      <c r="I1" s="555"/>
      <c r="K1" s="555"/>
      <c r="L1" s="555"/>
      <c r="M1"/>
    </row>
    <row r="2" spans="1:23" x14ac:dyDescent="0.25">
      <c r="A2" s="6"/>
      <c r="B2" s="555" t="s">
        <v>21</v>
      </c>
      <c r="C2" s="555" t="s">
        <v>119</v>
      </c>
      <c r="H2" s="555"/>
      <c r="I2" s="555"/>
      <c r="K2" s="555"/>
      <c r="L2" s="555"/>
      <c r="M2"/>
    </row>
    <row r="3" spans="1:23" ht="77.25" x14ac:dyDescent="0.25">
      <c r="A3" s="6"/>
      <c r="B3" s="78" t="s">
        <v>117</v>
      </c>
      <c r="C3" s="77" t="s">
        <v>118</v>
      </c>
      <c r="H3" s="555"/>
      <c r="I3" s="555"/>
      <c r="K3" s="555"/>
      <c r="L3" s="555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 t="s">
        <v>199</v>
      </c>
    </row>
    <row r="6" spans="1:23" s="201" customFormat="1" x14ac:dyDescent="0.25">
      <c r="A6" s="538" t="s">
        <v>22</v>
      </c>
      <c r="B6" s="537">
        <v>1</v>
      </c>
      <c r="C6" s="537">
        <v>1</v>
      </c>
      <c r="D6" s="538" t="s">
        <v>232</v>
      </c>
      <c r="E6" s="539" t="s">
        <v>868</v>
      </c>
      <c r="F6" s="214" t="s">
        <v>131</v>
      </c>
      <c r="G6" s="537">
        <v>1024</v>
      </c>
      <c r="H6" s="537" t="s">
        <v>201</v>
      </c>
      <c r="I6" s="537" t="s">
        <v>38</v>
      </c>
      <c r="J6" s="538"/>
      <c r="K6" s="537" t="s">
        <v>284</v>
      </c>
      <c r="L6" s="537">
        <v>0</v>
      </c>
      <c r="M6" s="538"/>
      <c r="N6" s="536" t="s">
        <v>869</v>
      </c>
      <c r="O6" s="536"/>
      <c r="P6" s="538"/>
      <c r="Q6" s="538"/>
      <c r="R6" s="538"/>
      <c r="S6" s="538"/>
      <c r="T6" s="538"/>
      <c r="U6" s="538"/>
      <c r="V6" s="538"/>
      <c r="W6" s="5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40"/>
      <c r="I1" s="540"/>
      <c r="K1" s="540"/>
      <c r="L1" s="540"/>
    </row>
    <row r="2" spans="1:15" x14ac:dyDescent="0.25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5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798</v>
      </c>
      <c r="E5" s="163"/>
      <c r="F5" s="104" t="s">
        <v>24</v>
      </c>
      <c r="G5" s="104">
        <v>1024</v>
      </c>
      <c r="H5" s="104" t="s">
        <v>799</v>
      </c>
      <c r="I5" s="104" t="s">
        <v>26</v>
      </c>
      <c r="J5" s="164"/>
      <c r="K5" s="104" t="s">
        <v>18</v>
      </c>
      <c r="L5" s="104" t="s">
        <v>800</v>
      </c>
      <c r="M5" s="164"/>
      <c r="N5" s="164" t="s">
        <v>800</v>
      </c>
    </row>
    <row r="6" spans="1:15" s="536" customFormat="1" x14ac:dyDescent="0.25">
      <c r="A6" s="536" t="s">
        <v>22</v>
      </c>
      <c r="B6" s="214">
        <v>14</v>
      </c>
      <c r="C6" s="214">
        <v>1</v>
      </c>
      <c r="D6" s="536" t="s">
        <v>801</v>
      </c>
      <c r="E6" s="227" t="s">
        <v>870</v>
      </c>
      <c r="F6" s="214" t="s">
        <v>233</v>
      </c>
      <c r="G6" s="214" t="s">
        <v>21</v>
      </c>
      <c r="H6" s="214" t="s">
        <v>799</v>
      </c>
      <c r="I6" s="214" t="s">
        <v>26</v>
      </c>
      <c r="K6" s="214" t="s">
        <v>86</v>
      </c>
      <c r="L6" s="214">
        <v>0</v>
      </c>
      <c r="N6" s="536" t="s">
        <v>871</v>
      </c>
    </row>
    <row r="7" spans="1:15" s="178" customFormat="1" x14ac:dyDescent="0.25">
      <c r="B7" s="102"/>
      <c r="C7" s="102"/>
      <c r="D7" s="153"/>
      <c r="E7" s="549"/>
      <c r="F7" s="102"/>
      <c r="G7" s="102"/>
      <c r="H7" s="102"/>
      <c r="I7" s="102"/>
      <c r="K7" s="102"/>
      <c r="L7" s="113"/>
      <c r="N7"/>
      <c r="O7"/>
    </row>
    <row r="8" spans="1:15" s="178" customFormat="1" x14ac:dyDescent="0.25">
      <c r="B8" s="102"/>
      <c r="C8" s="102"/>
      <c r="D8" s="153"/>
      <c r="F8" s="102"/>
      <c r="G8" s="102"/>
      <c r="H8" s="102"/>
      <c r="I8" s="102"/>
      <c r="K8" s="102"/>
      <c r="L8" s="113"/>
      <c r="N8"/>
      <c r="O8"/>
    </row>
    <row r="9" spans="1:15" s="178" customFormat="1" x14ac:dyDescent="0.25">
      <c r="B9" s="102"/>
      <c r="C9" s="102"/>
      <c r="D9" s="153"/>
      <c r="F9" s="102"/>
      <c r="G9" s="102"/>
      <c r="H9" s="102"/>
      <c r="I9" s="102"/>
      <c r="K9" s="102"/>
      <c r="L9" s="113"/>
      <c r="N9"/>
      <c r="O9"/>
    </row>
    <row r="10" spans="1:15" s="178" customFormat="1" x14ac:dyDescent="0.25">
      <c r="B10" s="102"/>
      <c r="C10" s="102"/>
      <c r="D10" s="153"/>
      <c r="F10" s="102"/>
      <c r="G10" s="102"/>
      <c r="H10" s="102"/>
      <c r="I10" s="102"/>
      <c r="K10" s="102"/>
      <c r="L10" s="113"/>
      <c r="N10"/>
      <c r="O10"/>
    </row>
    <row r="11" spans="1:15" s="178" customFormat="1" x14ac:dyDescent="0.25">
      <c r="B11" s="102"/>
      <c r="C11" s="102"/>
      <c r="D11" s="153"/>
      <c r="E11" s="549"/>
      <c r="F11" s="102"/>
      <c r="G11" s="102"/>
      <c r="H11" s="102"/>
      <c r="I11" s="102"/>
      <c r="K11" s="102"/>
      <c r="L11" s="113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735</v>
      </c>
      <c r="E5" s="103" t="s">
        <v>24</v>
      </c>
      <c r="F5" s="104">
        <v>1024</v>
      </c>
      <c r="G5" s="103" t="s">
        <v>736</v>
      </c>
      <c r="H5" s="103" t="s">
        <v>26</v>
      </c>
      <c r="I5" s="104">
        <v>0</v>
      </c>
      <c r="J5" s="103" t="s">
        <v>737</v>
      </c>
      <c r="K5" s="103" t="s">
        <v>737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735</v>
      </c>
      <c r="E6" s="212" t="s">
        <v>24</v>
      </c>
      <c r="F6" s="211">
        <v>1024</v>
      </c>
      <c r="G6" s="212" t="s">
        <v>736</v>
      </c>
      <c r="H6" s="212" t="s">
        <v>26</v>
      </c>
      <c r="I6" s="211">
        <v>0</v>
      </c>
      <c r="J6" s="528" t="s">
        <v>862</v>
      </c>
      <c r="K6" s="280" t="s">
        <v>738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735</v>
      </c>
      <c r="E7" s="341" t="s">
        <v>24</v>
      </c>
      <c r="F7" s="276">
        <v>1024</v>
      </c>
      <c r="G7" s="341" t="s">
        <v>736</v>
      </c>
      <c r="H7" s="341" t="s">
        <v>26</v>
      </c>
      <c r="I7" s="276">
        <v>0</v>
      </c>
      <c r="J7" s="529" t="s">
        <v>740</v>
      </c>
      <c r="K7" s="341" t="s">
        <v>739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735</v>
      </c>
      <c r="E8" s="517" t="s">
        <v>24</v>
      </c>
      <c r="F8" s="515">
        <v>1024</v>
      </c>
      <c r="G8" s="517" t="s">
        <v>736</v>
      </c>
      <c r="H8" s="517" t="s">
        <v>26</v>
      </c>
      <c r="I8" s="515">
        <v>0</v>
      </c>
      <c r="J8" s="530" t="s">
        <v>770</v>
      </c>
      <c r="K8" s="517" t="s">
        <v>741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735</v>
      </c>
      <c r="E9" s="531" t="s">
        <v>24</v>
      </c>
      <c r="F9" s="532">
        <v>1024</v>
      </c>
      <c r="G9" s="531" t="s">
        <v>736</v>
      </c>
      <c r="H9" s="531" t="s">
        <v>26</v>
      </c>
      <c r="I9" s="532">
        <v>0</v>
      </c>
      <c r="J9" s="533" t="s">
        <v>747</v>
      </c>
      <c r="K9" s="531" t="s">
        <v>742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17" activePane="bottomLeft" state="frozen"/>
      <selection pane="bottomLeft" activeCell="J45" sqref="J4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420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483</v>
      </c>
      <c r="K7" s="190" t="s">
        <v>483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427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465</v>
      </c>
      <c r="K8" s="297" t="s">
        <v>597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430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521</v>
      </c>
      <c r="K9" s="304" t="s">
        <v>598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460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464</v>
      </c>
      <c r="K10" s="304" t="s">
        <v>605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839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842</v>
      </c>
      <c r="K11" s="517" t="s">
        <v>843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365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466</v>
      </c>
      <c r="K12" s="304" t="s">
        <v>603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457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463</v>
      </c>
      <c r="K13" s="517" t="s">
        <v>604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852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858</v>
      </c>
      <c r="K14" s="517" t="s">
        <v>859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857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860</v>
      </c>
      <c r="K15" s="517" t="s">
        <v>861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845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844</v>
      </c>
      <c r="K16" s="316" t="s">
        <v>848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440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510</v>
      </c>
      <c r="K17" s="403" t="s">
        <v>732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282</v>
      </c>
      <c r="K18" s="205" t="s">
        <v>606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283</v>
      </c>
      <c r="K19" s="205" t="s">
        <v>607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484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813</v>
      </c>
      <c r="K20" s="191" t="s">
        <v>816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485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814</v>
      </c>
      <c r="K21" s="191" t="s">
        <v>817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486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815</v>
      </c>
      <c r="K22" s="191" t="s">
        <v>818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432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511</v>
      </c>
      <c r="K23" s="261" t="s">
        <v>608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433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512</v>
      </c>
      <c r="K24" s="261" t="s">
        <v>609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434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513</v>
      </c>
      <c r="K25" s="261" t="s">
        <v>610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467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516</v>
      </c>
      <c r="K26" s="266" t="s">
        <v>611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824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826</v>
      </c>
      <c r="K27" s="551" t="s">
        <v>827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413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734</v>
      </c>
      <c r="K28" s="516" t="s">
        <v>734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442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456</v>
      </c>
      <c r="K29" s="297" t="s">
        <v>612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560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589</v>
      </c>
      <c r="K30" s="297" t="s">
        <v>613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482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823</v>
      </c>
      <c r="K31" s="316" t="s">
        <v>823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646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649</v>
      </c>
      <c r="K32" s="493" t="s">
        <v>650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591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593</v>
      </c>
      <c r="K33" s="316" t="s">
        <v>594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651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653</v>
      </c>
      <c r="K34" s="316" t="s">
        <v>720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307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333</v>
      </c>
      <c r="K35" s="190" t="s">
        <v>614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308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334</v>
      </c>
      <c r="K36" s="191" t="s">
        <v>615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309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335</v>
      </c>
      <c r="K37" s="191" t="s">
        <v>616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310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336</v>
      </c>
      <c r="K38" s="191" t="s">
        <v>617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311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337</v>
      </c>
      <c r="K39" s="190" t="s">
        <v>618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312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338</v>
      </c>
      <c r="K40" s="190" t="s">
        <v>619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471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634</v>
      </c>
      <c r="K41" s="190" t="s">
        <v>634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471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822</v>
      </c>
      <c r="K42" s="499" t="s">
        <v>822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784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795</v>
      </c>
      <c r="K43" s="543" t="s">
        <v>796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786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797</v>
      </c>
      <c r="K44" s="543" t="s">
        <v>797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472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517</v>
      </c>
      <c r="K45" s="335" t="s">
        <v>518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340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877</v>
      </c>
      <c r="K46" s="335" t="s">
        <v>875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625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876</v>
      </c>
      <c r="K47" s="335" t="s">
        <v>878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756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768</v>
      </c>
      <c r="K48" s="335" t="s">
        <v>769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473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519</v>
      </c>
      <c r="K49" s="266" t="s">
        <v>520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250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250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745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250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746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250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743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250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865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250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744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250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250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250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250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250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250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6"/>
      <c r="F13" s="556"/>
      <c r="G13" s="556"/>
      <c r="H13" s="556"/>
      <c r="I13" s="556"/>
      <c r="J13" s="556"/>
      <c r="K13" s="556"/>
    </row>
    <row r="14" spans="1:18" s="178" customFormat="1" x14ac:dyDescent="0.25">
      <c r="D14" s="186"/>
      <c r="E14" s="557"/>
      <c r="F14" s="557"/>
      <c r="G14" s="557"/>
      <c r="H14" s="557"/>
      <c r="I14" s="557"/>
      <c r="J14" s="557"/>
      <c r="K14" s="557"/>
    </row>
    <row r="15" spans="1:18" s="178" customFormat="1" x14ac:dyDescent="0.25">
      <c r="D15" s="186"/>
      <c r="E15" s="557"/>
      <c r="F15" s="557"/>
      <c r="G15" s="557"/>
      <c r="H15" s="557"/>
      <c r="I15" s="557"/>
      <c r="J15" s="557"/>
      <c r="K15" s="557"/>
    </row>
    <row r="16" spans="1:18" s="178" customFormat="1" x14ac:dyDescent="0.25"/>
    <row r="17" spans="4:11" s="187" customFormat="1" ht="15" customHeight="1" x14ac:dyDescent="0.25">
      <c r="D17" s="185"/>
      <c r="E17" s="556"/>
      <c r="F17" s="556"/>
      <c r="G17" s="556"/>
      <c r="H17" s="556"/>
      <c r="I17" s="556"/>
      <c r="J17" s="556"/>
      <c r="K17" s="556"/>
    </row>
    <row r="18" spans="4:11" s="187" customFormat="1" ht="15" customHeight="1" x14ac:dyDescent="0.25">
      <c r="D18" s="186"/>
      <c r="E18" s="557"/>
      <c r="F18" s="557"/>
      <c r="G18" s="557"/>
      <c r="H18" s="557"/>
      <c r="I18" s="557"/>
      <c r="J18" s="557"/>
      <c r="K18" s="557"/>
    </row>
    <row r="19" spans="4:11" s="187" customFormat="1" ht="15" customHeight="1" x14ac:dyDescent="0.25">
      <c r="D19" s="186"/>
      <c r="E19" s="557"/>
      <c r="F19" s="557"/>
      <c r="G19" s="557"/>
      <c r="H19" s="557"/>
      <c r="I19" s="557"/>
      <c r="J19" s="557"/>
      <c r="K19" s="557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8" t="s">
        <v>53</v>
      </c>
      <c r="E1" s="558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866</v>
      </c>
      <c r="E2" s="94" t="s">
        <v>867</v>
      </c>
      <c r="F2" s="93" t="s">
        <v>405</v>
      </c>
      <c r="G2" s="27" t="str">
        <f ca="1">MID(CELL("имяфайла"), 1, SEARCH("[", CELL("имяфайла"))-1) &amp; "profCU.txt"</f>
        <v>C:\Users\Kiryanov\Documents\profCU.txt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256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269</v>
      </c>
      <c r="B45" t="s">
        <v>151</v>
      </c>
      <c r="C45" t="s">
        <v>253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254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255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255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288</v>
      </c>
      <c r="B64" t="s">
        <v>145</v>
      </c>
      <c r="C64" t="s">
        <v>141</v>
      </c>
      <c r="E64" t="s">
        <v>252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288</v>
      </c>
      <c r="B65" t="s">
        <v>146</v>
      </c>
      <c r="C65" t="s">
        <v>142</v>
      </c>
      <c r="E65" t="s">
        <v>252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288</v>
      </c>
      <c r="B66" t="s">
        <v>147</v>
      </c>
      <c r="C66" t="s">
        <v>143</v>
      </c>
      <c r="E66" t="s">
        <v>252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289</v>
      </c>
      <c r="B68" t="s">
        <v>145</v>
      </c>
      <c r="C68" t="s">
        <v>141</v>
      </c>
      <c r="E68" t="s">
        <v>252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289</v>
      </c>
      <c r="B69" t="s">
        <v>146</v>
      </c>
      <c r="C69" t="s">
        <v>142</v>
      </c>
      <c r="E69" t="s">
        <v>252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289</v>
      </c>
      <c r="B70" t="s">
        <v>147</v>
      </c>
      <c r="C70" t="s">
        <v>143</v>
      </c>
      <c r="E70" t="s">
        <v>252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290</v>
      </c>
      <c r="B72" t="s">
        <v>145</v>
      </c>
      <c r="C72" t="s">
        <v>141</v>
      </c>
      <c r="E72" t="s">
        <v>252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290</v>
      </c>
      <c r="B73" t="s">
        <v>146</v>
      </c>
      <c r="C73" t="s">
        <v>142</v>
      </c>
      <c r="E73" t="s">
        <v>252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290</v>
      </c>
      <c r="B74" t="s">
        <v>147</v>
      </c>
      <c r="C74" t="s">
        <v>143</v>
      </c>
      <c r="E74" t="s">
        <v>252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291</v>
      </c>
      <c r="B76" t="s">
        <v>145</v>
      </c>
      <c r="C76" t="s">
        <v>141</v>
      </c>
      <c r="E76" t="s">
        <v>252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291</v>
      </c>
      <c r="B77" t="s">
        <v>146</v>
      </c>
      <c r="C77" t="s">
        <v>142</v>
      </c>
      <c r="E77" t="s">
        <v>252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291</v>
      </c>
      <c r="B78" t="s">
        <v>147</v>
      </c>
      <c r="C78" t="s">
        <v>143</v>
      </c>
      <c r="E78" t="s">
        <v>252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292</v>
      </c>
      <c r="B80" t="s">
        <v>145</v>
      </c>
      <c r="C80" t="s">
        <v>141</v>
      </c>
      <c r="E80" t="s">
        <v>252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292</v>
      </c>
      <c r="B81" t="s">
        <v>146</v>
      </c>
      <c r="C81" t="s">
        <v>142</v>
      </c>
      <c r="E81" t="s">
        <v>252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292</v>
      </c>
      <c r="B82" t="s">
        <v>147</v>
      </c>
      <c r="C82" t="s">
        <v>143</v>
      </c>
      <c r="E82" t="s">
        <v>252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293</v>
      </c>
      <c r="B84" t="s">
        <v>145</v>
      </c>
      <c r="C84" t="s">
        <v>141</v>
      </c>
      <c r="E84" t="s">
        <v>252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293</v>
      </c>
      <c r="B85" t="s">
        <v>146</v>
      </c>
      <c r="C85" t="s">
        <v>142</v>
      </c>
      <c r="E85" t="s">
        <v>252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293</v>
      </c>
      <c r="B86" t="s">
        <v>147</v>
      </c>
      <c r="C86" t="s">
        <v>143</v>
      </c>
      <c r="E86" t="s">
        <v>252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2015-11-16T13:50:12Z</dcterms:modified>
</cp:coreProperties>
</file>