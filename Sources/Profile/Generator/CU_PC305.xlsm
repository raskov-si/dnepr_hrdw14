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ЭтаКнига" defaultThemeVersion="124226"/>
  <bookViews>
    <workbookView xWindow="555" yWindow="330" windowWidth="11730" windowHeight="5550" tabRatio="711" activeTab="19"/>
  </bookViews>
  <sheets>
    <sheet name="Info" sheetId="4" r:id="rId1"/>
    <sheet name="Header" sheetId="20" r:id="rId2"/>
    <sheet name="Dynamic" sheetId="1" r:id="rId3"/>
    <sheet name="Set" sheetId="5" r:id="rId4"/>
    <sheet name="Limits" sheetId="2" r:id="rId5"/>
    <sheet name="Led" sheetId="6" r:id="rId6"/>
    <sheet name="100" sheetId="17" r:id="rId7"/>
    <sheet name="101" sheetId="16" r:id="rId8"/>
    <sheet name="102" sheetId="15" r:id="rId9"/>
    <sheet name="103" sheetId="9" r:id="rId10"/>
    <sheet name="200" sheetId="28" r:id="rId11"/>
    <sheet name="Calib" sheetId="7" r:id="rId12"/>
    <sheet name="CalibCoef" sheetId="8" r:id="rId13"/>
    <sheet name="Port" sheetId="10" r:id="rId14"/>
    <sheet name="GROUPMON" sheetId="11" r:id="rId15"/>
    <sheet name="Alarms" sheetId="18" r:id="rId16"/>
    <sheet name="Enum" sheetId="12" r:id="rId17"/>
    <sheet name="ColorTranslator" sheetId="3" r:id="rId18"/>
    <sheet name="ParRelation" sheetId="13" r:id="rId19"/>
    <sheet name="Main" sheetId="26" r:id="rId20"/>
    <sheet name="Лист1" sheetId="27" r:id="rId21"/>
    <sheet name="Лист2" sheetId="29" r:id="rId22"/>
  </sheets>
  <calcPr calcId="144525"/>
</workbook>
</file>

<file path=xl/calcChain.xml><?xml version="1.0" encoding="utf-8"?>
<calcChain xmlns="http://schemas.openxmlformats.org/spreadsheetml/2006/main">
  <c r="J16" i="3" l="1"/>
  <c r="J15" i="3"/>
  <c r="J14" i="3"/>
  <c r="J13" i="3"/>
  <c r="J12" i="3"/>
  <c r="J11" i="3"/>
  <c r="J63" i="27" l="1"/>
  <c r="J64" i="27"/>
  <c r="J65" i="27"/>
  <c r="J66" i="27"/>
  <c r="J67" i="27"/>
  <c r="J68" i="27"/>
  <c r="J69" i="27"/>
  <c r="J70" i="27"/>
  <c r="J71" i="27"/>
  <c r="J72" i="27"/>
  <c r="J73" i="27"/>
  <c r="J74" i="27"/>
  <c r="J75" i="27"/>
  <c r="J76" i="27"/>
  <c r="J77" i="27"/>
  <c r="J78" i="27"/>
  <c r="J79" i="27"/>
  <c r="J80" i="27"/>
  <c r="J81" i="27"/>
  <c r="J82" i="27"/>
  <c r="J83" i="27"/>
  <c r="J84" i="27"/>
  <c r="J85" i="27"/>
  <c r="J86" i="27"/>
  <c r="L86" i="27"/>
  <c r="K86" i="27"/>
  <c r="L85" i="27"/>
  <c r="K85" i="27"/>
  <c r="L84" i="27"/>
  <c r="K84" i="27"/>
  <c r="L83" i="27"/>
  <c r="K83" i="27"/>
  <c r="L82" i="27"/>
  <c r="K82" i="27"/>
  <c r="L81" i="27"/>
  <c r="K81" i="27"/>
  <c r="L80" i="27"/>
  <c r="K80" i="27"/>
  <c r="L79" i="27"/>
  <c r="K79" i="27"/>
  <c r="L78" i="27"/>
  <c r="K78" i="27"/>
  <c r="L77" i="27"/>
  <c r="K77" i="27"/>
  <c r="L76" i="27"/>
  <c r="K76" i="27"/>
  <c r="L75" i="27"/>
  <c r="K75" i="27"/>
  <c r="L74" i="27"/>
  <c r="K74" i="27"/>
  <c r="L73" i="27"/>
  <c r="K73" i="27"/>
  <c r="L72" i="27"/>
  <c r="K72" i="27"/>
  <c r="L71" i="27"/>
  <c r="K71" i="27"/>
  <c r="L70" i="27"/>
  <c r="K70" i="27"/>
  <c r="L69" i="27"/>
  <c r="K69" i="27"/>
  <c r="L68" i="27"/>
  <c r="K68" i="27"/>
  <c r="L67" i="27"/>
  <c r="K67" i="27"/>
  <c r="L64" i="27"/>
  <c r="L65" i="27"/>
  <c r="L66" i="27"/>
  <c r="L63" i="27"/>
  <c r="K64" i="27"/>
  <c r="K65" i="27"/>
  <c r="K66" i="27"/>
  <c r="K63" i="27"/>
  <c r="K62" i="27"/>
  <c r="J62" i="27" l="1"/>
  <c r="L56" i="27"/>
  <c r="L57" i="27"/>
  <c r="L58" i="27"/>
  <c r="L59" i="27"/>
  <c r="L60" i="27"/>
  <c r="L55" i="27"/>
  <c r="K56" i="27"/>
  <c r="K57" i="27"/>
  <c r="K58" i="27"/>
  <c r="K59" i="27"/>
  <c r="K60" i="27"/>
  <c r="K55" i="27"/>
  <c r="L45" i="27" l="1"/>
  <c r="L41" i="27"/>
  <c r="K41" i="27"/>
  <c r="J41" i="27"/>
  <c r="K45" i="27"/>
  <c r="J45" i="27"/>
  <c r="E50" i="27"/>
  <c r="E49" i="27"/>
  <c r="E48" i="27"/>
  <c r="E47" i="27"/>
  <c r="E46" i="27"/>
  <c r="A50" i="27"/>
  <c r="K50" i="27" s="1"/>
  <c r="A49" i="27"/>
  <c r="K49" i="27" s="1"/>
  <c r="A48" i="27"/>
  <c r="J48" i="27" s="1"/>
  <c r="A47" i="27"/>
  <c r="A46" i="27" s="1"/>
  <c r="A44" i="27"/>
  <c r="K44" i="27" s="1"/>
  <c r="A43" i="27"/>
  <c r="A42" i="27" s="1"/>
  <c r="J42" i="27" s="1"/>
  <c r="K47" i="27" l="1"/>
  <c r="J44" i="27"/>
  <c r="L46" i="27"/>
  <c r="J47" i="27"/>
  <c r="K43" i="27"/>
  <c r="K42" i="27"/>
  <c r="K46" i="27"/>
  <c r="L47" i="27"/>
  <c r="L44" i="27"/>
  <c r="J46" i="27"/>
  <c r="K48" i="27"/>
  <c r="J49" i="27"/>
  <c r="L50" i="27"/>
  <c r="L49" i="27"/>
  <c r="J50" i="27"/>
  <c r="L48" i="27"/>
  <c r="L43" i="27"/>
  <c r="J43" i="27"/>
  <c r="L42" i="27"/>
  <c r="I53" i="27"/>
  <c r="L8" i="27" l="1"/>
  <c r="L12" i="27"/>
  <c r="L16" i="27"/>
  <c r="L17" i="27"/>
  <c r="L18" i="27"/>
  <c r="L19" i="27"/>
  <c r="L20" i="27"/>
  <c r="L21" i="27"/>
  <c r="L22" i="27"/>
  <c r="L23" i="27"/>
  <c r="L24" i="27"/>
  <c r="L25" i="27"/>
  <c r="L26" i="27"/>
  <c r="L27" i="27"/>
  <c r="L28" i="27"/>
  <c r="L29" i="27"/>
  <c r="L30" i="27"/>
  <c r="L31" i="27"/>
  <c r="L32" i="27"/>
  <c r="L33" i="27"/>
  <c r="L34" i="27"/>
  <c r="L35" i="27"/>
  <c r="L36" i="27"/>
  <c r="L37" i="27"/>
  <c r="L38" i="27"/>
  <c r="L39" i="27"/>
  <c r="A13" i="27"/>
  <c r="A14" i="27" s="1"/>
  <c r="L14" i="27" s="1"/>
  <c r="K8" i="27"/>
  <c r="J8" i="27"/>
  <c r="A9" i="27"/>
  <c r="K9" i="27" s="1"/>
  <c r="E11" i="27"/>
  <c r="E10" i="27"/>
  <c r="E9" i="27"/>
  <c r="L13" i="27" l="1"/>
  <c r="L9" i="27"/>
  <c r="A15" i="27"/>
  <c r="L15" i="27" s="1"/>
  <c r="J9" i="27"/>
  <c r="A10" i="27"/>
  <c r="L10" i="27" s="1"/>
  <c r="A11" i="27" l="1"/>
  <c r="L11" i="27" s="1"/>
  <c r="K10" i="27"/>
  <c r="J10" i="27"/>
  <c r="K11" i="27" l="1"/>
  <c r="J11" i="27"/>
  <c r="G2" i="26" l="1"/>
</calcChain>
</file>

<file path=xl/sharedStrings.xml><?xml version="1.0" encoding="utf-8"?>
<sst xmlns="http://schemas.openxmlformats.org/spreadsheetml/2006/main" count="3073" uniqueCount="945">
  <si>
    <t>#PARAM_NAME</t>
  </si>
  <si>
    <t>#COMMENT</t>
  </si>
  <si>
    <t>#SEC_LEVEL</t>
  </si>
  <si>
    <t>#OWNER</t>
  </si>
  <si>
    <t>#TYPE</t>
  </si>
  <si>
    <t>#DATA_TYPE</t>
  </si>
  <si>
    <t>#MFLAG</t>
  </si>
  <si>
    <t>#VALUE</t>
  </si>
  <si>
    <t>#DATA_LENGTH</t>
  </si>
  <si>
    <t>#DEGRADE_COLOR</t>
  </si>
  <si>
    <t>#FAILURE_COLOR</t>
  </si>
  <si>
    <t>#NORMAL_COLOR</t>
  </si>
  <si>
    <t>#LANGPACK</t>
  </si>
  <si>
    <t>#END</t>
  </si>
  <si>
    <t>Кол-во</t>
  </si>
  <si>
    <t>CL_ALL_R</t>
  </si>
  <si>
    <t>PR_DYNAMIC_PARAM</t>
  </si>
  <si>
    <t>REAL</t>
  </si>
  <si>
    <t>NONMETER</t>
  </si>
  <si>
    <t>#UNIT</t>
  </si>
  <si>
    <t>dBm</t>
  </si>
  <si>
    <t>?</t>
  </si>
  <si>
    <t>Готово</t>
  </si>
  <si>
    <t>PR_STATIC_PARAM</t>
  </si>
  <si>
    <t>NOT_ACCESSIBLE</t>
  </si>
  <si>
    <t>PR_COLORTRANSLATOR</t>
  </si>
  <si>
    <t>CHARLINE</t>
  </si>
  <si>
    <t>°C</t>
  </si>
  <si>
    <t>PR_INFORM_PARAM</t>
  </si>
  <si>
    <t>PR_SET_PARAM</t>
  </si>
  <si>
    <t>ENUM</t>
  </si>
  <si>
    <t>BOOL</t>
  </si>
  <si>
    <t>LimitSect</t>
  </si>
  <si>
    <t>[4]</t>
  </si>
  <si>
    <t>LEDSect</t>
  </si>
  <si>
    <t>PR_LED_PARAM</t>
  </si>
  <si>
    <t>[5]</t>
  </si>
  <si>
    <t>Power indication</t>
  </si>
  <si>
    <t>UINTEGER</t>
  </si>
  <si>
    <t>ALARM1</t>
  </si>
  <si>
    <t>ALARM2</t>
  </si>
  <si>
    <t>AddSect103</t>
  </si>
  <si>
    <t>PR_ADDSECT103</t>
  </si>
  <si>
    <t>[103]</t>
  </si>
  <si>
    <t>PR_PORT</t>
  </si>
  <si>
    <t>[Port]</t>
  </si>
  <si>
    <t>PortParam</t>
  </si>
  <si>
    <t>PR_ENUMPARAM</t>
  </si>
  <si>
    <t>[EnumParam]</t>
  </si>
  <si>
    <t>[ColorTranslator]</t>
  </si>
  <si>
    <t>Header1</t>
  </si>
  <si>
    <t>PR_HEADER_NAME</t>
  </si>
  <si>
    <t>[Header]</t>
  </si>
  <si>
    <t>Header2</t>
  </si>
  <si>
    <t>InformSect</t>
  </si>
  <si>
    <t>[1]</t>
  </si>
  <si>
    <t>pId</t>
  </si>
  <si>
    <t>Location</t>
  </si>
  <si>
    <t>DynamicSect</t>
  </si>
  <si>
    <t>[2]</t>
  </si>
  <si>
    <t>Not critical Alarm</t>
  </si>
  <si>
    <t>ALARM1;;Некритическая авария устройства</t>
  </si>
  <si>
    <t>Critical Alarm</t>
  </si>
  <si>
    <t>ALARM2;;Критическая авария устройства</t>
  </si>
  <si>
    <t>BlockColor</t>
  </si>
  <si>
    <t>Block Color Status</t>
  </si>
  <si>
    <t>BlockColor;;Цвет устройства</t>
  </si>
  <si>
    <t>sec</t>
  </si>
  <si>
    <t>SetSect</t>
  </si>
  <si>
    <t>[3]</t>
  </si>
  <si>
    <t>PID</t>
  </si>
  <si>
    <t>Выходной файл</t>
  </si>
  <si>
    <t>N</t>
  </si>
  <si>
    <t>PortSect</t>
  </si>
  <si>
    <t>EnumSect</t>
  </si>
  <si>
    <t>ptPort?InOut;Порт ?</t>
  </si>
  <si>
    <t>Port ?;3;Port?Pout|Port?Att;Port ?;ptPort?InOut</t>
  </si>
  <si>
    <t>nm</t>
  </si>
  <si>
    <t>mA</t>
  </si>
  <si>
    <t>V</t>
  </si>
  <si>
    <t>Trsp?Param</t>
  </si>
  <si>
    <t>ptTrsp?InOut;Траснпондер ?</t>
  </si>
  <si>
    <t>PR_ONLY</t>
  </si>
  <si>
    <t>зачем тут MFLAG??</t>
  </si>
  <si>
    <t>SFP?Pin</t>
  </si>
  <si>
    <t>SFP?Pout</t>
  </si>
  <si>
    <t>GRP_ACCESS</t>
  </si>
  <si>
    <t>SL(r,r,r,r)</t>
  </si>
  <si>
    <t>SL(r,r,r,rw)</t>
  </si>
  <si>
    <t>SL(r,r,rw,rw)</t>
  </si>
  <si>
    <t>LINE TPx</t>
  </si>
  <si>
    <t>IN</t>
  </si>
  <si>
    <t>ptPortxx</t>
  </si>
  <si>
    <t>Порт хх</t>
  </si>
  <si>
    <t>OUT</t>
  </si>
  <si>
    <t>CLIENT TPx</t>
  </si>
  <si>
    <t>Имя порта</t>
  </si>
  <si>
    <t>Тип порта</t>
  </si>
  <si>
    <t>Параметры связанные с портом</t>
  </si>
  <si>
    <t>Параметр порта</t>
  </si>
  <si>
    <t>Описание порта</t>
  </si>
  <si>
    <t>ParamRelatSect</t>
  </si>
  <si>
    <t>PR_PARAMRELATIONS</t>
  </si>
  <si>
    <t>[ParamRelations]</t>
  </si>
  <si>
    <t>DEV</t>
  </si>
  <si>
    <t>PART</t>
  </si>
  <si>
    <t>TP?Ln#Pin</t>
  </si>
  <si>
    <t>TP?Ln#Pout</t>
  </si>
  <si>
    <t>TP?Cl#Pin</t>
  </si>
  <si>
    <t>Trsp ?;3;Trsp?LsPout|TP?Ln#Pin</t>
  </si>
  <si>
    <t>TP?Cl#Pout</t>
  </si>
  <si>
    <t>TP?SFP#Pres</t>
  </si>
  <si>
    <t>TP?SFP#TxILD</t>
  </si>
  <si>
    <t>TP?SFP#TxT</t>
  </si>
  <si>
    <t>D</t>
  </si>
  <si>
    <t>P</t>
  </si>
  <si>
    <t>Ver</t>
  </si>
  <si>
    <t>Кол-во Devices</t>
  </si>
  <si>
    <t>Кол-во Parts</t>
  </si>
  <si>
    <t>#</t>
  </si>
  <si>
    <t>GRP_ACCESS|TRP_COLOR|AL12_COLOR|PRECISION1</t>
  </si>
  <si>
    <t>LINE TP?;3;TP?Ln#Pin|TP?Ln#Pout|TP?Ln#TxILD|TP?Ln#TxT|TP?Ln#LOS|TP?Ln#LOL|TP?MLR#Error;Port ? Line #;ptPort?Line#</t>
  </si>
  <si>
    <t>ptPort?Line#;Порт ? Линия #</t>
  </si>
  <si>
    <t>CLIENT TP?;3;TP?Cl#Pin|TP?Cl#Pout|TP?Cl#LOS|TP?Cl#LOL|TP?SFP#Pres|TP?SFP#TxILD|TP?SFP#TxT;Port ? Client #;ptPort?Client#</t>
  </si>
  <si>
    <t>ptPort?Client#;Порт ? Клиент #</t>
  </si>
  <si>
    <t>V33</t>
  </si>
  <si>
    <t>I33</t>
  </si>
  <si>
    <t>V12</t>
  </si>
  <si>
    <t>I12</t>
  </si>
  <si>
    <t>Auxiliary Board Power Line 12.0 V Voltage</t>
  </si>
  <si>
    <t>Auxiliary Board Power Line 3.3 V Voltage</t>
  </si>
  <si>
    <t>SL(n,n,n,r)</t>
  </si>
  <si>
    <t>CPU state indication</t>
  </si>
  <si>
    <t>Alarm indication</t>
  </si>
  <si>
    <t xml:space="preserve"> </t>
  </si>
  <si>
    <t>SFP?TxT</t>
  </si>
  <si>
    <t xml:space="preserve">Критический максимум для </t>
  </si>
  <si>
    <t xml:space="preserve">Верхний порог (предупреждение) для </t>
  </si>
  <si>
    <t xml:space="preserve">Нижний порог (предупреждение) для </t>
  </si>
  <si>
    <t xml:space="preserve">Критический минимум для </t>
  </si>
  <si>
    <t>Maximum Limit (Critical)</t>
  </si>
  <si>
    <t>Maximum Limit (Warning)</t>
  </si>
  <si>
    <t>Minimum Limit (Warning)</t>
  </si>
  <si>
    <t>Minimum Limit (Critical)</t>
  </si>
  <si>
    <t>CMax</t>
  </si>
  <si>
    <t>WMax</t>
  </si>
  <si>
    <t>WMin</t>
  </si>
  <si>
    <t>CMin</t>
  </si>
  <si>
    <t>дБм</t>
  </si>
  <si>
    <t>В</t>
  </si>
  <si>
    <t>мА</t>
  </si>
  <si>
    <t>HMax</t>
  </si>
  <si>
    <t>HMin</t>
  </si>
  <si>
    <t xml:space="preserve">Максимальное возможное значение </t>
  </si>
  <si>
    <t xml:space="preserve">Минимальное возможное значение для </t>
  </si>
  <si>
    <t>INTEGER</t>
  </si>
  <si>
    <t>KernelVersion</t>
  </si>
  <si>
    <t>sysLanguage</t>
  </si>
  <si>
    <t>sysLanguage;Rus@1|Eng@2</t>
  </si>
  <si>
    <t>sysObjectID</t>
  </si>
  <si>
    <t>Description</t>
  </si>
  <si>
    <t>MemLoad</t>
  </si>
  <si>
    <t>DiskSpace</t>
  </si>
  <si>
    <t>Block Presence in Crate Slots</t>
  </si>
  <si>
    <t>Computer CPU Usage in %</t>
  </si>
  <si>
    <t>Computer Memory Usage in %</t>
  </si>
  <si>
    <t>Computer Disk Space Usage in %</t>
  </si>
  <si>
    <t>Local Time of the Computer</t>
  </si>
  <si>
    <t>Local Date of the Computer</t>
  </si>
  <si>
    <t>Time of Work from System Boot Up</t>
  </si>
  <si>
    <t>Alarm State of Crate</t>
  </si>
  <si>
    <t>HEX</t>
  </si>
  <si>
    <t>Log File Update Interval</t>
  </si>
  <si>
    <t>Log File Storage Time</t>
  </si>
  <si>
    <t>Log File Size</t>
  </si>
  <si>
    <t>Count of Alarms in Log File Update Interval</t>
  </si>
  <si>
    <t>Enable debug information in a log file</t>
  </si>
  <si>
    <t>min</t>
  </si>
  <si>
    <t>day</t>
  </si>
  <si>
    <t>kbyte</t>
  </si>
  <si>
    <t>%</t>
  </si>
  <si>
    <t>hh:mm:ss</t>
  </si>
  <si>
    <t>dd/mm/yy</t>
  </si>
  <si>
    <t>MemLoadHMax</t>
  </si>
  <si>
    <t>MemLoadCMax</t>
  </si>
  <si>
    <t>MemLoadWMax</t>
  </si>
  <si>
    <t>DiskSpaceHMax</t>
  </si>
  <si>
    <t>DiskSpaceCMax</t>
  </si>
  <si>
    <t>DiskSpaceWMax</t>
  </si>
  <si>
    <t>Maximum Limit (Critical) of Computer Memory Usage</t>
  </si>
  <si>
    <t>Upper Threshold (Warning) of allowable values of Computer Memory Usage</t>
  </si>
  <si>
    <t>Maximum Limit (Critical) of Computer Disc Space Usage</t>
  </si>
  <si>
    <t>Upper Threshold (Warning) of allowable values of Computer Disc Space Usage</t>
  </si>
  <si>
    <t>AddSect100</t>
  </si>
  <si>
    <t>PR_ADDSECT100</t>
  </si>
  <si>
    <t>Address</t>
  </si>
  <si>
    <t>Device Address</t>
  </si>
  <si>
    <t>PR_ADDSECT101</t>
  </si>
  <si>
    <t>[100]</t>
  </si>
  <si>
    <t>[102]</t>
  </si>
  <si>
    <t>[101]</t>
  </si>
  <si>
    <t>PR_ADDSECT102</t>
  </si>
  <si>
    <t>Slot</t>
  </si>
  <si>
    <t>ModeWork</t>
  </si>
  <si>
    <t>ClassDevice</t>
  </si>
  <si>
    <t>LoadingProfileTime</t>
  </si>
  <si>
    <t>AlarmState</t>
  </si>
  <si>
    <t>Device Slot</t>
  </si>
  <si>
    <t>Device Work Mode</t>
  </si>
  <si>
    <t>Device Class</t>
  </si>
  <si>
    <t>Time of profile loading from device</t>
  </si>
  <si>
    <t>Current alarm state of device</t>
  </si>
  <si>
    <t>IPAddress</t>
  </si>
  <si>
    <t>IPMask</t>
  </si>
  <si>
    <t>IPGateway</t>
  </si>
  <si>
    <t>Compname</t>
  </si>
  <si>
    <t>Compgroup</t>
  </si>
  <si>
    <t>IPSNMP1</t>
  </si>
  <si>
    <t>IPSNMP2</t>
  </si>
  <si>
    <t>IPSNMP3</t>
  </si>
  <si>
    <t>IPSNMP4</t>
  </si>
  <si>
    <t>IPSNTP</t>
  </si>
  <si>
    <t>IPADDR</t>
  </si>
  <si>
    <t>IP Address</t>
  </si>
  <si>
    <t>IP Mask</t>
  </si>
  <si>
    <t>IP Gateway</t>
  </si>
  <si>
    <t>IP address of SNMP server 1</t>
  </si>
  <si>
    <t>IP address of SNMP server 2</t>
  </si>
  <si>
    <t>IP address of SNMP server 3</t>
  </si>
  <si>
    <t>IP address of SNMP server 4</t>
  </si>
  <si>
    <t>IP address of SNTP server</t>
  </si>
  <si>
    <t>AddSect102</t>
  </si>
  <si>
    <t>DisableTraps</t>
  </si>
  <si>
    <t>SL(n,n,n,rw)</t>
  </si>
  <si>
    <t>SL(n,rw,rw,rw)</t>
  </si>
  <si>
    <t>AddSect101</t>
  </si>
  <si>
    <t>0.0.0.0</t>
  </si>
  <si>
    <t>192.168.1.1</t>
  </si>
  <si>
    <t>255.255.255.0</t>
  </si>
  <si>
    <t>sysDevType</t>
  </si>
  <si>
    <t>Upper Physical Restriction of Log File Update Interval</t>
  </si>
  <si>
    <t>Lower Physical Restriction of Log File Update Interval</t>
  </si>
  <si>
    <t>Upper Physical Restriction of Log File Storage Time</t>
  </si>
  <si>
    <t>Lower Physical Restriction of Log File Storage Time</t>
  </si>
  <si>
    <t>Upper Physical Restriction of Count of Alarms in Log File Update Interval</t>
  </si>
  <si>
    <t>Lower Physical Restriction of Count of Alarms in Log File Update Interval</t>
  </si>
  <si>
    <t>Upper Physical Restriction of Log File Size</t>
  </si>
  <si>
    <t>Lower Physical Restriction of Log File Size</t>
  </si>
  <si>
    <t>days</t>
  </si>
  <si>
    <t>GRP_ACCESS|TRP_COLOR|AL12_COLOR</t>
  </si>
  <si>
    <t>ColorTranslator</t>
  </si>
  <si>
    <t>PRECISION0</t>
  </si>
  <si>
    <t>RPM</t>
  </si>
  <si>
    <t xml:space="preserve">Highest possible value of </t>
  </si>
  <si>
    <t xml:space="preserve">Minimal possible value </t>
  </si>
  <si>
    <t>Highest possible value</t>
  </si>
  <si>
    <t>PS2Temp</t>
  </si>
  <si>
    <t>PS2TempCMax</t>
  </si>
  <si>
    <t>Maximum Limit (Critical) of PS2Temp</t>
  </si>
  <si>
    <t>PS2TempCMax;°C;Критический максимум для PS2Temp</t>
  </si>
  <si>
    <t>PS2TempWMax</t>
  </si>
  <si>
    <t>Maximum Limit (Warning) of PS2Temp</t>
  </si>
  <si>
    <t>PS2TempWMax;°C;Верхний порог (предупреждение) для PS2Temp</t>
  </si>
  <si>
    <t>PS2TempWMin</t>
  </si>
  <si>
    <t>Minimum Limit (Warning) of PS2Temp</t>
  </si>
  <si>
    <t>PS2TempWMin;°C;Нижний порог (предупреждение) для PS2Temp</t>
  </si>
  <si>
    <t>PS2TempCMin</t>
  </si>
  <si>
    <t>Minimum Limit (Critical) of PS2Temp</t>
  </si>
  <si>
    <t>PS2TempCMin;°C;Критический минимум для PS2Temp</t>
  </si>
  <si>
    <t>PS2Vout</t>
  </si>
  <si>
    <t>PS2VoutCMax</t>
  </si>
  <si>
    <t>Maximum Limit (Critical) of PS2Vout</t>
  </si>
  <si>
    <t>PS2VoutCMax;В;Критический максимум для PS2Vout</t>
  </si>
  <si>
    <t>PS2VoutWMax</t>
  </si>
  <si>
    <t>Maximum Limit (Warning) of PS2Vout</t>
  </si>
  <si>
    <t>PS2VoutWMax;В;Верхний порог (предупреждение) для PS2Vout</t>
  </si>
  <si>
    <t>PS2VoutWMin</t>
  </si>
  <si>
    <t>Minimum Limit (Warning) of PS2Vout</t>
  </si>
  <si>
    <t>PS2VoutWMin;В;Нижний порог (предупреждение) для PS2Vout</t>
  </si>
  <si>
    <t>PS2VoutCMin</t>
  </si>
  <si>
    <t>Minimum Limit (Critical) of PS2Vout</t>
  </si>
  <si>
    <t>PS2VoutCMin;В;Критический минимум для PS2Vout</t>
  </si>
  <si>
    <t>ALARM1;Normal@0|Error@1</t>
  </si>
  <si>
    <t>ALARM2;Normal@0|Error@1</t>
  </si>
  <si>
    <t>PR_ONLY | EEPROM_PARAM</t>
  </si>
  <si>
    <t>Format Backplane EEPROM</t>
  </si>
  <si>
    <t>PRECISION1|PR_ONLY | EEPROM_PARAM</t>
  </si>
  <si>
    <t>Fans partnumber</t>
  </si>
  <si>
    <t>FANRPM1</t>
  </si>
  <si>
    <t>FANRPM2</t>
  </si>
  <si>
    <t>FANRPM3</t>
  </si>
  <si>
    <t>FANRPM4</t>
  </si>
  <si>
    <t>FANRPM5</t>
  </si>
  <si>
    <t>FANRPM6</t>
  </si>
  <si>
    <t>Fans 12 V line current</t>
  </si>
  <si>
    <t>Fans 3.3 V line current</t>
  </si>
  <si>
    <t>mOhm</t>
  </si>
  <si>
    <t>Maximum Limit (Critical) of SFP1Pin</t>
  </si>
  <si>
    <t>Maximum Limit (Warning) of SFP1Pin</t>
  </si>
  <si>
    <t>Minimum Limit (Warning) of SFP1Pin</t>
  </si>
  <si>
    <t>Minimum Limit (Critical) of SFP1Pin</t>
  </si>
  <si>
    <t>Maximum Limit (Critical) of SFP1Pout</t>
  </si>
  <si>
    <t>Maximum Limit (Warning) of SFP1Pout</t>
  </si>
  <si>
    <t>Minimum Limit (Warning) of SFP1Pout</t>
  </si>
  <si>
    <t>Minimum Limit (Critical) of SFP1Pout</t>
  </si>
  <si>
    <t>Slot12v0Bypass</t>
  </si>
  <si>
    <t>Slot3v3Bypass</t>
  </si>
  <si>
    <t>Slot12v0OCAR</t>
  </si>
  <si>
    <t>Slot12v0UVAR</t>
  </si>
  <si>
    <t>Slot12v0OVAR</t>
  </si>
  <si>
    <t>Slot3v3OCAR</t>
  </si>
  <si>
    <t>Slot3v3UVAR</t>
  </si>
  <si>
    <t>Slot3v3OVAR</t>
  </si>
  <si>
    <t>W</t>
  </si>
  <si>
    <t>DeviceName</t>
  </si>
  <si>
    <t>Slot power consumption</t>
  </si>
  <si>
    <t>Device name</t>
  </si>
  <si>
    <t>12v0 rail hotswap bypass</t>
  </si>
  <si>
    <t>Slot overcurrent auto-retry</t>
  </si>
  <si>
    <t>12v0 undervoltage auto-retry</t>
  </si>
  <si>
    <t>12v0 overvoltage auto-retry</t>
  </si>
  <si>
    <t>3v3 rail hotswap bypass</t>
  </si>
  <si>
    <t>3v3 overcurrent auto-retry</t>
  </si>
  <si>
    <t>3v3 undervoltage auto-retry</t>
  </si>
  <si>
    <t>3v3 overvoltage auto-retry</t>
  </si>
  <si>
    <t>Write data to slots eeprom</t>
  </si>
  <si>
    <t>Slot12v0Bypass;мОм;Номинал шунта на линии 12 В</t>
  </si>
  <si>
    <t>Slot12v0UVAR;;Автоматический перезапуск hotswap'а после undervoltage</t>
  </si>
  <si>
    <t>Slot12v0OCAR;;Автоматический перезапуск hotswap'а после overcurrent</t>
  </si>
  <si>
    <t>Slot3v3OCAR;;Автоматический перезапуск hotswap'а после overcurrent</t>
  </si>
  <si>
    <t>Slot3v3UVAR;;Автоматический перезапуск hotswap'а после undervoltage</t>
  </si>
  <si>
    <t>Slot12v0OVAR;;Автоматический перезапуск hotswap'а после overvoltage</t>
  </si>
  <si>
    <t>Slot3v3OVAR;;Автоматический перезапуск hotswap'а после overvoltage</t>
  </si>
  <si>
    <t>Slot12v0OCAR;Off@0|On@1</t>
  </si>
  <si>
    <t>Slot12v0UVAR;Off@0|On@1</t>
  </si>
  <si>
    <t>Slot12v0OVAR;Off@0|On@1</t>
  </si>
  <si>
    <t>Slot3v3OCAR;Off@0|On@1</t>
  </si>
  <si>
    <t>Slot3v3UVAR;Off@0|On@1</t>
  </si>
  <si>
    <t>Slot3v3OVAR;Off@0|On@1</t>
  </si>
  <si>
    <t>Allow start of device in slot ?</t>
  </si>
  <si>
    <t>Slot?PowerStatus</t>
  </si>
  <si>
    <t>The source of max power value</t>
  </si>
  <si>
    <t>Current value of power limit</t>
  </si>
  <si>
    <t>Slot?Power</t>
  </si>
  <si>
    <t>Slot ? Device name</t>
  </si>
  <si>
    <t>Slot?PowerStatus;;Состояние модуля питания слота ?</t>
  </si>
  <si>
    <t>Power system slot ? Status</t>
  </si>
  <si>
    <t>Slot?Power;Вт;Потребляемая устройством мощность</t>
  </si>
  <si>
    <t>Available power</t>
  </si>
  <si>
    <t>Alarms detected on PMBus</t>
  </si>
  <si>
    <t>GRP_ACCESS|EEPROM_PARAM</t>
  </si>
  <si>
    <t>CMSwNumber</t>
  </si>
  <si>
    <t>CMSrNumber</t>
  </si>
  <si>
    <t>CMPtNumber</t>
  </si>
  <si>
    <t>Control module hardware component number</t>
  </si>
  <si>
    <t>Control module software support version</t>
  </si>
  <si>
    <t>Control module serial number</t>
  </si>
  <si>
    <t>Control module part number</t>
  </si>
  <si>
    <t>Destination</t>
  </si>
  <si>
    <t>CMPort?Info</t>
  </si>
  <si>
    <t>CMSFP?Vendor</t>
  </si>
  <si>
    <t>CMSFP?PtNumber</t>
  </si>
  <si>
    <t>CMSFP?SrNumber</t>
  </si>
  <si>
    <t>CMSFP?WL</t>
  </si>
  <si>
    <t>CMSFP?Rev</t>
  </si>
  <si>
    <t>CMSFP?DDMState</t>
  </si>
  <si>
    <t>CMSwNumber;;Ревизия прошивки микроконтроллера блока управления</t>
  </si>
  <si>
    <t>CMSrNumber;;Серийный номер устройства блока управления</t>
  </si>
  <si>
    <t>CMPtNumber;;Модель блока управления</t>
  </si>
  <si>
    <t>CMPort?Info;;Описание порта ?</t>
  </si>
  <si>
    <t>Port ?</t>
  </si>
  <si>
    <t>VPtNumber</t>
  </si>
  <si>
    <t>VSrNumber</t>
  </si>
  <si>
    <t>FUHwNumber</t>
  </si>
  <si>
    <t>FUSrNumber</t>
  </si>
  <si>
    <t>CMSwHash</t>
  </si>
  <si>
    <t>Crate part number</t>
  </si>
  <si>
    <t>Crate serial number</t>
  </si>
  <si>
    <t>Crate type</t>
  </si>
  <si>
    <t>Crate slot count</t>
  </si>
  <si>
    <t>Fan unit hardware component number</t>
  </si>
  <si>
    <t>Fan unit serial number</t>
  </si>
  <si>
    <t>Block identifier</t>
  </si>
  <si>
    <t>Kernel version</t>
  </si>
  <si>
    <t>SNMP object identifier</t>
  </si>
  <si>
    <t>Hash code of software</t>
  </si>
  <si>
    <t>Current user interface language</t>
  </si>
  <si>
    <t>Crate identifier</t>
  </si>
  <si>
    <t>PS?Vendor</t>
  </si>
  <si>
    <t>PS?PtNumber</t>
  </si>
  <si>
    <t>PS?Power</t>
  </si>
  <si>
    <t>PS? vendor</t>
  </si>
  <si>
    <t>PS? part number</t>
  </si>
  <si>
    <t>PS? total output power</t>
  </si>
  <si>
    <t>PS?Vendor;;Производитель блока питания ?</t>
  </si>
  <si>
    <t>PS?PtNumber;;Модель блока питания ?</t>
  </si>
  <si>
    <t>FUHwNumber;;Ревизия аппаратной части блока вентиляторов</t>
  </si>
  <si>
    <t>FUSrNumber;;Серийный номер  блока вентиляторов</t>
  </si>
  <si>
    <t>pId;;Идентификатор блока</t>
  </si>
  <si>
    <t>KernelVersion;;Версия ядра</t>
  </si>
  <si>
    <t>sysObjectID;;Идентификатор объекта SNMP</t>
  </si>
  <si>
    <t>CMSwHash;;Хеш-код прошивки микроконтроллера</t>
  </si>
  <si>
    <t>sysLanguage;;Текущий язык пользовательского интерфейса</t>
  </si>
  <si>
    <t>PS?Power;Вт;Общая выходная мощность блока питания ?</t>
  </si>
  <si>
    <t>Description of Port ?</t>
  </si>
  <si>
    <t>CM-S-2G-3</t>
  </si>
  <si>
    <t>CMMCURebootCnt</t>
  </si>
  <si>
    <t>CMMCUWatchdogRebootCnt</t>
  </si>
  <si>
    <t>System reboot counter</t>
  </si>
  <si>
    <t>MCU reboot counter</t>
  </si>
  <si>
    <t>MCU watchdog reboot counter</t>
  </si>
  <si>
    <t>CMMCURebootCnt;;Счетчик перезагрузок микроконтроллера</t>
  </si>
  <si>
    <t>CMMCUWatchdogRebootCnt;;Счетчик перезагрузок микроконтроллера от watchdog'а</t>
  </si>
  <si>
    <t>FUFanNum</t>
  </si>
  <si>
    <t>FUFanModels</t>
  </si>
  <si>
    <t>Fans number in fan tray</t>
  </si>
  <si>
    <t>FUFanSpeedSet</t>
  </si>
  <si>
    <t>Set FU fan rotations per minute</t>
  </si>
  <si>
    <t>FUFanNum;;Количество вентиляторов в блоке вентиляторов</t>
  </si>
  <si>
    <t>FUFanModels;;Название модели вентиляторов в блоке вентиляторов</t>
  </si>
  <si>
    <t>VState</t>
  </si>
  <si>
    <t>VPMBusAlarm</t>
  </si>
  <si>
    <t>V33V</t>
  </si>
  <si>
    <t>CMI33V</t>
  </si>
  <si>
    <t>V12V</t>
  </si>
  <si>
    <t>CMI12V</t>
  </si>
  <si>
    <t>CMTime</t>
  </si>
  <si>
    <t>CMSFP?Pres</t>
  </si>
  <si>
    <t>CMSFP?Pin</t>
  </si>
  <si>
    <t>CMSFP?Pout</t>
  </si>
  <si>
    <t>CMSFP?ThrMode</t>
  </si>
  <si>
    <t>GRP_ACCESS|AL1_COLOR</t>
  </si>
  <si>
    <t>PS?Pres</t>
  </si>
  <si>
    <t>PS?InPwrStatus</t>
  </si>
  <si>
    <t>PS?OutPwrStatus</t>
  </si>
  <si>
    <t>FUV12I</t>
  </si>
  <si>
    <t>FUV33I</t>
  </si>
  <si>
    <t>Slot?Name</t>
  </si>
  <si>
    <t>VPowerReserve</t>
  </si>
  <si>
    <t>Slot ? Power consumption</t>
  </si>
  <si>
    <t>VEEPROMState</t>
  </si>
  <si>
    <t>Crate EEPROM status</t>
  </si>
  <si>
    <t>FUEEPROMState</t>
  </si>
  <si>
    <t>FU EEPROM status</t>
  </si>
  <si>
    <t>FUEEPROMState;;Состояние EEPROM блока вентиляторов</t>
  </si>
  <si>
    <t>Case temperature</t>
  </si>
  <si>
    <t>SFP ? Transceiver Presence</t>
  </si>
  <si>
    <t>SFP ? Input Optical Power</t>
  </si>
  <si>
    <t>SFP ? Output optical power</t>
  </si>
  <si>
    <t>SFP ? Thresholds source</t>
  </si>
  <si>
    <t>Time of work from switching on</t>
  </si>
  <si>
    <t>Auxiliary Power Line 3.3 V Current</t>
  </si>
  <si>
    <t>Auxiliary Power Line 12.0 V Current</t>
  </si>
  <si>
    <t>CMPhyAddr</t>
  </si>
  <si>
    <t>Physical address of the module</t>
  </si>
  <si>
    <t>CMPhyAddr;;MAC-адрес</t>
  </si>
  <si>
    <t>FUEEPROMState;Ok@0|Fail@1</t>
  </si>
  <si>
    <t>CMSFP?TxEnable</t>
  </si>
  <si>
    <t>SFP ? Transponder Enable</t>
  </si>
  <si>
    <t>SFP ? Thresholds reset</t>
  </si>
  <si>
    <t>CMSFP?ThrReset</t>
  </si>
  <si>
    <t>CMSFP?ThrReset;;Загрузка значений порогов с SFP ?</t>
  </si>
  <si>
    <t>CMSFP?TxEnable;;Вкл/Выкл SFP ?</t>
  </si>
  <si>
    <t>CMSFP?TxEnable;Disable@0|Enable@1</t>
  </si>
  <si>
    <t>CMSFP?ThrReset;On@0|Off@1</t>
  </si>
  <si>
    <t>CMSFP?Pres;Empty@0|Present@1</t>
  </si>
  <si>
    <t>CMSFP?DDMState;NotComplySFF8472@1|NoDDM@2|InternalCalib@3|ExternalCalib@4|NoAnswer@5</t>
  </si>
  <si>
    <t>VFormatEEPROM</t>
  </si>
  <si>
    <t>VFormatEEPROM;;Отформатировать EEPROM backplane'а</t>
  </si>
  <si>
    <t>SlotPowerSet</t>
  </si>
  <si>
    <t>SlotNameSet</t>
  </si>
  <si>
    <t>SlotWrEEPROM</t>
  </si>
  <si>
    <t>Slot?Enable</t>
  </si>
  <si>
    <t>VPowerLimitSource</t>
  </si>
  <si>
    <t>VPowerLimit</t>
  </si>
  <si>
    <t>SlotPowerSet;Вт;Потребление слотового устройства по линии 12 В</t>
  </si>
  <si>
    <t>SlotNameSet;;Название устройства</t>
  </si>
  <si>
    <t>SlotWrEEPROM;;Запись в EEPROM слотового устройства</t>
  </si>
  <si>
    <t>Slot?Enable;;Разрешить запуск устройств в слоте ?</t>
  </si>
  <si>
    <t>VPowerLimitSource;;Источник информации о максимальной доступной мощности</t>
  </si>
  <si>
    <t>VPowerLimit;Вт;Текущий предел потребляемой мощности</t>
  </si>
  <si>
    <t>EEPROM_PARAM</t>
  </si>
  <si>
    <t>VType</t>
  </si>
  <si>
    <t>VState;Normal@0|Warning@1|Critical@3|Damage@7</t>
  </si>
  <si>
    <t>Led1State</t>
  </si>
  <si>
    <t>Led2State</t>
  </si>
  <si>
    <t>Led3State</t>
  </si>
  <si>
    <t>Led3State;;Индикация состояния аварии</t>
  </si>
  <si>
    <t>Led2State;;Индикация состояния CPU</t>
  </si>
  <si>
    <t>Led1State;;Индикация состояния питания</t>
  </si>
  <si>
    <t>CMSFP?PinCMax</t>
  </si>
  <si>
    <t>CMSFP?PinWMax</t>
  </si>
  <si>
    <t>CMSFP?PinWMin</t>
  </si>
  <si>
    <t>CMSFP?PinCMin</t>
  </si>
  <si>
    <t>CMSFP?PoutCMax</t>
  </si>
  <si>
    <t>CMSFP?PoutWMax</t>
  </si>
  <si>
    <t>CMSFP?PoutWMin</t>
  </si>
  <si>
    <t>CMSFP?PoutCMin</t>
  </si>
  <si>
    <t>CMSFP?PinCMin;дБм;Критический минимум для CMSFP?Pin</t>
  </si>
  <si>
    <t>CMSFP?PinWMin;дБм;Нижний порог (предупреждение) для CMSFP?Pin</t>
  </si>
  <si>
    <t>CMSFP?PinWMax;дБм;Верхний порог (предупреждение) для CMSFP?Pin</t>
  </si>
  <si>
    <t>CMSFP?PinCMax;дБм;Критический максимум для CMSFP?Pin</t>
  </si>
  <si>
    <t>CMSFP?PoutCMax;дБм;Критический максимум для CMSFP?Pout</t>
  </si>
  <si>
    <t>CMSFP?PoutWMax;дБм;Верхний порог (предупреждение) для CMSFP?Pout</t>
  </si>
  <si>
    <t>CMSFP?PoutWMin;дБм;Нижний порог (предупреждение) для CMSFP?Pout</t>
  </si>
  <si>
    <t>CMSFP?PoutCMin;дБм;Критический минимум для CMSFP?Pout</t>
  </si>
  <si>
    <t>Maximum Limit (Critical) of case temperature</t>
  </si>
  <si>
    <t>Maximum Limit (Warning) of case temperature</t>
  </si>
  <si>
    <t>Minimum Limit (Warning) of case temperature</t>
  </si>
  <si>
    <t>Minimum Limit (Critical) of case temperature</t>
  </si>
  <si>
    <t>VEEPROMState;Ok@0|Error@1</t>
  </si>
  <si>
    <t>PS?Pres;Miss@0|Installed@1</t>
  </si>
  <si>
    <t>PS?InPwrStatus;Norm@0|Error@1</t>
  </si>
  <si>
    <t>PS?OutPwrStatus;Error@0|Norm@1</t>
  </si>
  <si>
    <t>IPSyslog</t>
  </si>
  <si>
    <t>IP address of syslog server</t>
  </si>
  <si>
    <t>VFormatEEPROM;none@0|Format@1</t>
  </si>
  <si>
    <t>Slot?Enable;Prohibited@0|SmartlyStart@1|IgnorantStart@2</t>
  </si>
  <si>
    <t>Slot?Enable;Запрет@0|АккуратныйПуск@1|УверенныйПуск@2</t>
  </si>
  <si>
    <t>VPowerLimitSource;PSU@0|ProfileValue@1</t>
  </si>
  <si>
    <t>VPowerLimitSource;БП@0|Профиль@1</t>
  </si>
  <si>
    <t>CMSFP?ThrMode;SFP@0|UserSet@1</t>
  </si>
  <si>
    <t>GRP_ACCESS | EEPROM_PARAM</t>
  </si>
  <si>
    <t>CMTime;сек;Время с момента включения блока</t>
  </si>
  <si>
    <t>Power Supply ? Seated</t>
  </si>
  <si>
    <t>Power Supply ? Input power OK</t>
  </si>
  <si>
    <t>Power Supply ? power good signal</t>
  </si>
  <si>
    <t>FUV12I;мА;Ток платы вентиляции по линии 12 В</t>
  </si>
  <si>
    <t>FUV33I;мА;Ток платы вентиляции по 3.3 В</t>
  </si>
  <si>
    <t>V33V;В;Дежурное напряжение 3.3 В</t>
  </si>
  <si>
    <t>V12V;В;Рабочее напряжение питания устройства</t>
  </si>
  <si>
    <t>Slot?Name;;Наименование устройства</t>
  </si>
  <si>
    <t>VPMBusAlarm;;Журнал сообщений об авариях с шины крейта PMBus</t>
  </si>
  <si>
    <t>SwNumber</t>
  </si>
  <si>
    <t>Descr</t>
  </si>
  <si>
    <t>Descr;;Описание устройства</t>
  </si>
  <si>
    <t>Location;;Местоположение</t>
  </si>
  <si>
    <t>RebootCounter</t>
  </si>
  <si>
    <t>RebootCounter;;Счетчик перезагрузок системы</t>
  </si>
  <si>
    <t>CountSlots</t>
  </si>
  <si>
    <t>CPUUsage</t>
  </si>
  <si>
    <t>CPUUsage;%;Загруженность ЦП встроенной ЭВМ в %</t>
  </si>
  <si>
    <t>MemLoad;%;Загруженность ОЗУ встроенной ЭВМ в %</t>
  </si>
  <si>
    <t>DiskSpace;%;Заполненность ППЗУ встроенной ЭВМ в %</t>
  </si>
  <si>
    <t>LocalTime</t>
  </si>
  <si>
    <t>LocalTime;час:мин:сек;Локальное время</t>
  </si>
  <si>
    <t>LocalDate</t>
  </si>
  <si>
    <t>LocalDate;дата/месяц/год;Локальная дата</t>
  </si>
  <si>
    <t>UpTime</t>
  </si>
  <si>
    <t>SlotsState</t>
  </si>
  <si>
    <t>TCase</t>
  </si>
  <si>
    <t>TCase;°C;Температура корпуса блока</t>
  </si>
  <si>
    <t>LogIdleTime</t>
  </si>
  <si>
    <t>LogIdleTime;мин;Период обновления файла лога</t>
  </si>
  <si>
    <t>LogDays</t>
  </si>
  <si>
    <t>LogDays;дней;Период хранения файла лога</t>
  </si>
  <si>
    <t>LogSize</t>
  </si>
  <si>
    <t>LogSize;кБайт;Размер файла лога</t>
  </si>
  <si>
    <t>LogAlarms</t>
  </si>
  <si>
    <t>LogAlarms;;Количество аварийных записей в логе</t>
  </si>
  <si>
    <t>LogDebug</t>
  </si>
  <si>
    <t>LogDebug;;Разрешить запись отладочной информации в файл лога</t>
  </si>
  <si>
    <t>LogIdleTimeHMax</t>
  </si>
  <si>
    <t>LogIdleTimeHMin</t>
  </si>
  <si>
    <t>LogDaysHMax</t>
  </si>
  <si>
    <t>LogDaysHMin</t>
  </si>
  <si>
    <t>LogAlarmsHMax</t>
  </si>
  <si>
    <t>LogAlarmsHMin</t>
  </si>
  <si>
    <t>LogSizeHMax</t>
  </si>
  <si>
    <t>LogSizeHMin</t>
  </si>
  <si>
    <t>MemLoadCMax;%;Критический максимум для MemLoad</t>
  </si>
  <si>
    <t>MemLoadWMax;%;Верхний порог (предупреждение) для MemLoad</t>
  </si>
  <si>
    <t>DiskSpaceCMax;%;Критический максимум для DiskSpace</t>
  </si>
  <si>
    <t>DiskSpaceWMax;%;Верхний порог (предупреждение) для DiskSpace</t>
  </si>
  <si>
    <t>LogIdleTimeHMax;мин;Максмальное возможное значение LogIdleTime</t>
  </si>
  <si>
    <t>LogIdleTimeHMin;мин;Минимальное возможное значение LogIdleTime</t>
  </si>
  <si>
    <t>LogDaysHMax;дней;Максимальное возможное значение LogDays</t>
  </si>
  <si>
    <t>LogDaysHMin;дней;Минимальное возможное значение LogDays</t>
  </si>
  <si>
    <t>LogAlarmsHMax;;Максимальное возможное значение LogAlarms</t>
  </si>
  <si>
    <t>LogAlarmsHMin;;Минимальное возможное значение LogAlarms</t>
  </si>
  <si>
    <t>LogSizeHMax;кбайт;Максимальное возможное значение LogSize</t>
  </si>
  <si>
    <t>LogSizeHMin;кбайт;Минимальное возможное значение LogSize</t>
  </si>
  <si>
    <t>Control module management software support version</t>
  </si>
  <si>
    <t>Destination;;Направление работы</t>
  </si>
  <si>
    <t>SwNumber;;Ревизия программного обеспечения блока управления</t>
  </si>
  <si>
    <t>TCaseCMax</t>
  </si>
  <si>
    <t>TCaseWMax</t>
  </si>
  <si>
    <t>TCaseWMin</t>
  </si>
  <si>
    <t>TCaseCMin</t>
  </si>
  <si>
    <t>LogDebug;Off@0|Low@1|Medium@2|High@3</t>
  </si>
  <si>
    <t>Fan Unit present</t>
  </si>
  <si>
    <t>FUPresent</t>
  </si>
  <si>
    <t>FUPresent;;Присутствие блока вентиляции</t>
  </si>
  <si>
    <t>FUPresent;Installed@0|Miss@1</t>
  </si>
  <si>
    <t>FUPresent;Установлен@0|Отсутствует@1</t>
  </si>
  <si>
    <t>AL2_COLOR</t>
  </si>
  <si>
    <t>SL(n,n,n,n)</t>
  </si>
  <si>
    <t>CMSFP?Pres;Отсутствует@0|Присутствует@1</t>
  </si>
  <si>
    <t>CMSFP?ThrMode;SFP@0|Оператор@1</t>
  </si>
  <si>
    <t>CMSFP?Pres;;Наличие SFP ?</t>
  </si>
  <si>
    <t>CMSFP?Pin;дБм;Входная оптическая мощность SFP ?</t>
  </si>
  <si>
    <t>CMSFP?Pout;дБм;Выходная оптическая мощность  SFP ?</t>
  </si>
  <si>
    <t>CMSFP?ThrMode;;Источник порогов SFP ?</t>
  </si>
  <si>
    <t>CMSFP?DDMState;NotComplySFF8472@1|NoDDM@2|InternalCalib@3|ExternalCalib@4|Недоступно@5</t>
  </si>
  <si>
    <t>CMSFP?TxEnable;Выкл@0|Вкл@1</t>
  </si>
  <si>
    <t>CMSFP?ThrReset;Сброс@0|Норм@1</t>
  </si>
  <si>
    <t>ALARM1;Норма@0|Ошибка@1</t>
  </si>
  <si>
    <t>ALARM2;Норма@0|Ошибка@1</t>
  </si>
  <si>
    <t>PS?Pres;Отсутствует@0|Установлен@1</t>
  </si>
  <si>
    <t>PS?InPwrStatus;Норма@0|Ошибка@1</t>
  </si>
  <si>
    <t>PS?OutPwrStatus;Ошибка@0|Норма@1</t>
  </si>
  <si>
    <t>VFormatEEPROM;Норма@0|Форматировать@1</t>
  </si>
  <si>
    <t>FUEEPROMState;Норма@0|Ошибка@1</t>
  </si>
  <si>
    <t>LogDebug;Выкл@0|Низкая@1|Средняя@2|Высокая@3</t>
  </si>
  <si>
    <t>Slot12v0OCAR;Выкл@0|Вкл@1</t>
  </si>
  <si>
    <t>Slot12v0UVAR;Выкл@0|Вкл@1</t>
  </si>
  <si>
    <t>Slot12v0OVAR;Выкл@0|Вкл@1</t>
  </si>
  <si>
    <t>Slot3v3OCAR;Выкл@0|Вкл@1</t>
  </si>
  <si>
    <t>Slot3v3UVAR;Выкл@0|Вкл@1</t>
  </si>
  <si>
    <t>Slot3v3OVAR;Выкл@0|Вкл@1</t>
  </si>
  <si>
    <t>PS?Pres;;Блок питания ? установлен</t>
  </si>
  <si>
    <t xml:space="preserve">PS?OutPwrStatus;;Состояние выходного напряжения БП ? </t>
  </si>
  <si>
    <t>PS?InPwrStatus;;Входное напряжение БП ?</t>
  </si>
  <si>
    <t>CMI33V;мА;Ток потребляемый CU по линии 3.3 В</t>
  </si>
  <si>
    <t>CMI12V;мА;Ток потребляемый CU по линии 12 В</t>
  </si>
  <si>
    <t>FUPowerStatus</t>
  </si>
  <si>
    <t>FUName</t>
  </si>
  <si>
    <t>FUPower</t>
  </si>
  <si>
    <t>Fan Unit power system status</t>
  </si>
  <si>
    <t>Fan Unit device name</t>
  </si>
  <si>
    <t>Fan Unit power consumption</t>
  </si>
  <si>
    <t>FUPowerStatus;;Состояние модуля питания блок вентиляции</t>
  </si>
  <si>
    <t>FUName;;Наименование устройства блока вентиляции</t>
  </si>
  <si>
    <t>FUPower;Вт;Потребляемая блоком вентиляции мощность</t>
  </si>
  <si>
    <t>SlotWrEEPROM;None@0|1@1|2@2|3@3|4@4|5@5|6@6|7@7|8@8|9@9|10@10|11@11|12@12|13@13|FU@14</t>
  </si>
  <si>
    <t>PRECISION0|PR_ONLY | EEPROM_PARAM</t>
  </si>
  <si>
    <t>CMHwNumber</t>
  </si>
  <si>
    <t>PRECISION1|TRP_COLOR|AL12_COLOR</t>
  </si>
  <si>
    <t>TCaseCMax;°C;Критический максимум для TCase</t>
  </si>
  <si>
    <t>TCaseWMax;°C;Верхний порог (предупреждение) для TCase</t>
  </si>
  <si>
    <t>TCaseWMin;°C;Нижний порог (предупреждение) для TCase</t>
  </si>
  <si>
    <t>TCaseCMin;°C;Критический минимум для TCase</t>
  </si>
  <si>
    <t>PS? Serial number</t>
  </si>
  <si>
    <t>PS?SerNum;;Серийный номер блока питания ?</t>
  </si>
  <si>
    <t>PS?SrNumber</t>
  </si>
  <si>
    <t>Slot3v3Bypass;мОм;Номинал шунта на линии 3 3 В</t>
  </si>
  <si>
    <t>CMSequencerState</t>
  </si>
  <si>
    <t>Power sequencer flash memory status</t>
  </si>
  <si>
    <t>CMSequencerState;;Статус памяти настроек Power Sequencer</t>
  </si>
  <si>
    <t>CMSequencerState;Unknown@0|Ok@1|Wrote@2|Fail@3</t>
  </si>
  <si>
    <t>CMSequencerState;Недоступно@0|Норма@1|Записан@2|Ошибка@3</t>
  </si>
  <si>
    <t>CMReset</t>
  </si>
  <si>
    <t>Reset control unit</t>
  </si>
  <si>
    <t>CMReset;Norm@0|Reset@1</t>
  </si>
  <si>
    <t>Fan ? rotations per minute</t>
  </si>
  <si>
    <t>FUFan?Speed</t>
  </si>
  <si>
    <t>FUFanMinRPM</t>
  </si>
  <si>
    <t>Fans minimum RPM</t>
  </si>
  <si>
    <t>FUFanMinRPM;Об/Мин;Установка минимальной частоты вращения вентиляторов</t>
  </si>
  <si>
    <t>FUFanMaxRPM</t>
  </si>
  <si>
    <t>Fans maximum RPM</t>
  </si>
  <si>
    <t>FUFanMaxRPM;Об/Мин;Установка максимальной частоты вращения вентиляторов</t>
  </si>
  <si>
    <t>FUFanDefaulMinRPM</t>
  </si>
  <si>
    <t>Fans minimum RPM when EEPROM unavaible</t>
  </si>
  <si>
    <t>FUFanDefaulMinRPM;Об/Мин;Минимальная частота вращения вентиляторов по умолчанию</t>
  </si>
  <si>
    <t>FUFanDefaulMaxRPM</t>
  </si>
  <si>
    <t>Fans maximum RPM when EEPROM unavaible</t>
  </si>
  <si>
    <t>FUFanDefaulMaxRPM;Об/Мин;Максимальная частота вращения вентиляторов по умолчанию</t>
  </si>
  <si>
    <t>FANRPMCMax</t>
  </si>
  <si>
    <t>Maximum Limit (Critical) of FANRPM</t>
  </si>
  <si>
    <t>FANRPMCMax;%;Критический максимум оборотов всех вентиляторов</t>
  </si>
  <si>
    <t>FANRPMWMax</t>
  </si>
  <si>
    <t>Maximum Limit (Warning) of FANRPM</t>
  </si>
  <si>
    <t>FANRPMWMax;%;Верхний порог (предупреждение) оборотов всех вентиляторов</t>
  </si>
  <si>
    <t>FANRPMWMin</t>
  </si>
  <si>
    <t>Minimum Limit (Warning) of FANRPM</t>
  </si>
  <si>
    <t>FANRPMWMin;%;Нижний порог (предупреждение) оборотов всех вентиляторов</t>
  </si>
  <si>
    <t>FANRPMCMin</t>
  </si>
  <si>
    <t>Minimum Limit (Critical) of FANRPM</t>
  </si>
  <si>
    <t>FANRPMCMin;%;Критический минимум оборотов всех вентиляторов</t>
  </si>
  <si>
    <t>SFP ? vendor</t>
  </si>
  <si>
    <t>SFP ? part number</t>
  </si>
  <si>
    <t>SFP ? serial number</t>
  </si>
  <si>
    <t>SFP ? wavelength</t>
  </si>
  <si>
    <t>SFP ? revision</t>
  </si>
  <si>
    <t>SFP ? DDM State</t>
  </si>
  <si>
    <t>CMSFP?Vendor;;Производитель SFP ?</t>
  </si>
  <si>
    <t>CMSFP?PtNumber;;Модель SFP ?</t>
  </si>
  <si>
    <t>CMSFP?SrNumber;;Серийный номер SFP ?</t>
  </si>
  <si>
    <t>CMSFP?WL;нм;Длина волны SFP ?</t>
  </si>
  <si>
    <t>CMSFP?Rev;;Ревизия SFP ?</t>
  </si>
  <si>
    <t>CMSFP?DDMState;;Соответствие стандарту SFP ?</t>
  </si>
  <si>
    <t>GRP_ACCESS|AL12_COLOR</t>
  </si>
  <si>
    <t>CMProfDelay</t>
  </si>
  <si>
    <t>MCU profile interwork max duration</t>
  </si>
  <si>
    <t>ms</t>
  </si>
  <si>
    <t>CMProfDelay;мс;Максимальная длительность обработки профиля</t>
  </si>
  <si>
    <t>UpTime;час:мин:сек;Время непрерывной работы встроенной ЭВМ</t>
  </si>
  <si>
    <t>FUFan?Speed;%;Обороты вентилятора ?</t>
  </si>
  <si>
    <t>Address;;Адрес устройства</t>
  </si>
  <si>
    <t>Slot;;Слот устройства</t>
  </si>
  <si>
    <t>ModeWork;;Режим работы</t>
  </si>
  <si>
    <t>ClassDevice;;Класс устройства</t>
  </si>
  <si>
    <t>LoadingProfileTime;;Время загрузки профиля</t>
  </si>
  <si>
    <t>AlarmState;;Состояние сигнализации</t>
  </si>
  <si>
    <t>IPAddress;;IP адрес</t>
  </si>
  <si>
    <t>IPMask;;Маска подсети</t>
  </si>
  <si>
    <t>IPGateway;;Шлюз по умолчанию</t>
  </si>
  <si>
    <t>Compname;;Название компьютера</t>
  </si>
  <si>
    <t>Compgroup;;Имя группы</t>
  </si>
  <si>
    <t>IPSNMP1;;IP адрес сервера SNMP 1</t>
  </si>
  <si>
    <t>IPSNMP2;;IP адрес сервера SNMP 2</t>
  </si>
  <si>
    <t>IPSNMP3;;IP адрес сервера SNMP 3</t>
  </si>
  <si>
    <t>IPSNMP4;;IP адрес сервера SNMP 4</t>
  </si>
  <si>
    <t>IPSNTP;;IP адрес сервера SNTP</t>
  </si>
  <si>
    <t>IPSyslog;;IP адрес сервера syslog</t>
  </si>
  <si>
    <t>SL(n,n,r,r)</t>
  </si>
  <si>
    <t>SL(n,n,r,rw)</t>
  </si>
  <si>
    <t>SL(n,n,rw,rw)</t>
  </si>
  <si>
    <t>CMReset;;Перезагрузка блока управления</t>
  </si>
  <si>
    <t>CMReset;Норма@0|Перезагрузка@1</t>
  </si>
  <si>
    <t>sysDevType;;Идентификатор крейта</t>
  </si>
  <si>
    <t>VPtNumber;;Модель крейта</t>
  </si>
  <si>
    <t>VSrNumber;;Серийный номер крейта</t>
  </si>
  <si>
    <t>VType;;Тип крейта</t>
  </si>
  <si>
    <t>CountSlots;;Количество слотов в крейте</t>
  </si>
  <si>
    <t>VState;;Состояние крейта</t>
  </si>
  <si>
    <t>VPowerReserve;Вт;Запас мощности в крейте</t>
  </si>
  <si>
    <t>SlotsState;;Присутствие блоков в слотах крейта</t>
  </si>
  <si>
    <t>VEEPROMState;;Состояние EEPROM крейте</t>
  </si>
  <si>
    <t>PRECISION1</t>
  </si>
  <si>
    <t xml:space="preserve">PRECISION1 </t>
  </si>
  <si>
    <t>VEEPROMState;Норма@0|Ошибка@1</t>
  </si>
  <si>
    <t>CMHwNumber;;Ревизия аппаратной части блока управления</t>
  </si>
  <si>
    <t>FUFanNum;2@2|4@4|6@6</t>
  </si>
  <si>
    <t>GroupParam</t>
  </si>
  <si>
    <t>PR_GROUPPARAM</t>
  </si>
  <si>
    <t>[GROUPMON]</t>
  </si>
  <si>
    <t>1;Блок управления</t>
  </si>
  <si>
    <t>2;Шасси</t>
  </si>
  <si>
    <t>2;Chassis;Vstate|VPowerReserve|SlotsState|VEEPROMState|V33V|V12V|VPMBusAlarm</t>
  </si>
  <si>
    <t>3;Блоки питания</t>
  </si>
  <si>
    <t>4;Блок вентиляторов</t>
  </si>
  <si>
    <t>CMSFP?Pin;CMSFP?Pin;CMSFP?PinCMax|CMSFP?PinWMax|CMSFP?PinWMin|CMSFP?PinCMin;7|5|4|3|1</t>
  </si>
  <si>
    <t>TCase;TCase;TCaseCMax|TCaseWMax|TCaseWMin|TCaseCMin;7|5|4|3|1</t>
  </si>
  <si>
    <t>MemLoad;MemLoad;MemLoadCMax|MemLoadWMax;7|5|4</t>
  </si>
  <si>
    <t>DiskSpace;DiskSpace;DiskSpaceCMax|DiskSpaceWMax;7|5|4</t>
  </si>
  <si>
    <t>4;Fan Unit;FUPresent|FUFan1Speed|FUFan2Speed|FUFan3Speed|FUFan4Speed|FUFan5Speed|FUFan6Speed|FUV12I|FUV33I|FUEEPROMState</t>
  </si>
  <si>
    <t>Power Supply ? Current</t>
  </si>
  <si>
    <t>A</t>
  </si>
  <si>
    <t>PS?OutCurrent</t>
  </si>
  <si>
    <t>PS?OutCurrent;А;Выходной ток БП ?</t>
  </si>
  <si>
    <t>PSVendorSet</t>
  </si>
  <si>
    <t>PSPtNumberSet</t>
  </si>
  <si>
    <t>PSPowerSet</t>
  </si>
  <si>
    <t>PSSrNumberSet</t>
  </si>
  <si>
    <t>PSWrEEPROM</t>
  </si>
  <si>
    <t>PSU Vendor Name</t>
  </si>
  <si>
    <t>PSU Part Number</t>
  </si>
  <si>
    <t>PSU Maximum Power Output via 12 V rail</t>
  </si>
  <si>
    <t>PSU Serial Number</t>
  </si>
  <si>
    <t>Write data to PSUs eeprom</t>
  </si>
  <si>
    <t>T8</t>
  </si>
  <si>
    <t>PSVendorSet;;Производитель БП</t>
  </si>
  <si>
    <t>PSPtNumberSet;;Модель БП</t>
  </si>
  <si>
    <t>PSPowerSet;;Мощность БП по линии 12 В</t>
  </si>
  <si>
    <t>PSSrNumberSet;;Серийный номер БП</t>
  </si>
  <si>
    <t>PSWrEEPROM;;Записать в EEPROM БП</t>
  </si>
  <si>
    <t>PSWrEEPROM;Unavailable@0|PSU1@1|PSU2@2</t>
  </si>
  <si>
    <t>PSWrEEPROM;Недоступно@0|БП1@1|БП2@2</t>
  </si>
  <si>
    <t>PS?CurrentK</t>
  </si>
  <si>
    <t>PS?CurrentB</t>
  </si>
  <si>
    <t>ADC*K+B</t>
  </si>
  <si>
    <t>PS?CurrentK;;ADC*K+B</t>
  </si>
  <si>
    <t>PS?CurrentB;;ADC*K+B</t>
  </si>
  <si>
    <t>TFTPServerIP</t>
  </si>
  <si>
    <t>TFTP Server IP Address</t>
  </si>
  <si>
    <t>TFTPServerIP;;IP адрес сервера TFTP</t>
  </si>
  <si>
    <t>TFTPClientIP</t>
  </si>
  <si>
    <t>TFTP Slot IP Address</t>
  </si>
  <si>
    <t>TFTPClientIP;;IP адрес слотового устройства</t>
  </si>
  <si>
    <t>NMS Server Address</t>
  </si>
  <si>
    <t>SlotOptDescription</t>
  </si>
  <si>
    <t>SlotOptPassive</t>
  </si>
  <si>
    <t>SlotOptSerial</t>
  </si>
  <si>
    <t>SlotOptEEPROMWrite</t>
  </si>
  <si>
    <t>Passive device</t>
  </si>
  <si>
    <t>Device description</t>
  </si>
  <si>
    <t>Device serial num</t>
  </si>
  <si>
    <t>Write optional record to devices EEPROM</t>
  </si>
  <si>
    <t>SlotOptPassive;;Пассивное устройство</t>
  </si>
  <si>
    <t>SlotOptDescription;;Описание устройства</t>
  </si>
  <si>
    <t>SlotOptSerial;;Серийный номер устройства</t>
  </si>
  <si>
    <t>SlotOptEEPROMWrite;;Запись опциональной запись в  EEPROM устройства</t>
  </si>
  <si>
    <t>SlotOptPassive;Active@0|Passive@1|FU@2</t>
  </si>
  <si>
    <t>SlotOptPassive;Активное@0|Пассивное@1|БлокВентиляции@2</t>
  </si>
  <si>
    <t>SlotOptEEPROMWrite;None@0|1@1|2@2|3@3|4@4|5@5|6@6|7@7|8@8|9@9|10@10|11@11|12@12|13@13|FU@14</t>
  </si>
  <si>
    <t>Sect200</t>
  </si>
  <si>
    <t>PR_ADDSECT200</t>
  </si>
  <si>
    <t>[200]</t>
  </si>
  <si>
    <t>Slot?</t>
  </si>
  <si>
    <t>PassiveSlotState</t>
  </si>
  <si>
    <t>Passive Device presence in Crate Slots</t>
  </si>
  <si>
    <t>PassiveSlotState;;Присутствие пассивных блоков в слотах крейта</t>
  </si>
  <si>
    <t>SlotOptClass</t>
  </si>
  <si>
    <t>Device class</t>
  </si>
  <si>
    <t>SlotOptClass;;Класс устройства</t>
  </si>
  <si>
    <t>NMSServerUrl</t>
  </si>
  <si>
    <t>NMSServerUrl;;Адрес NMS сервера</t>
  </si>
  <si>
    <t>SlotOptDestination</t>
  </si>
  <si>
    <t>Device destination</t>
  </si>
  <si>
    <t>SlotOptDestination;;Направление работы устройства</t>
  </si>
  <si>
    <t>Led1State;None@0|Green@1|Red@2|Yellow@3</t>
  </si>
  <si>
    <t>Led2State;None@0|Green@1|Red@2|Yellow@3</t>
  </si>
  <si>
    <t>Led3State;None@0|Green@1|Red@2|Yellow@3</t>
  </si>
  <si>
    <t>Led1State;Нет@0|Зеленый@1|Красный@2|Желтый@3</t>
  </si>
  <si>
    <t>Led2State;Нет@0|Зеленый@1|Красный@2|Желтый@3</t>
  </si>
  <si>
    <t>Led3State;Нет@0|Зеленый@1|Красный@2|Желтый@3</t>
  </si>
  <si>
    <t>SlotOptEEPROMClear</t>
  </si>
  <si>
    <t>Clear passive device EEPROM record</t>
  </si>
  <si>
    <t>SlotOptEEPROMClear;;Очистить запись о пассивном устройстве в EEPROM</t>
  </si>
  <si>
    <t>SlotOptEEPROMClear;None@0|1@1|2@2|3@3|4@4|5@5|6@6|7@7|8@8|9@9|10@10|11@11|12@12|13@13|FU@14</t>
  </si>
  <si>
    <t>VType;VB8U3@2|VB8U6@4|VB8U10@3|VB8U1@5|VB8U10-H@8|VB8U6-L@9|VB8U3-L@10</t>
  </si>
  <si>
    <t>FUFanMode</t>
  </si>
  <si>
    <t>Enable automatic fan control</t>
  </si>
  <si>
    <t>FUFanMode;Auto@0|Manual@1</t>
  </si>
  <si>
    <t>FUFanMode;Автоматический@0|Ручной@1</t>
  </si>
  <si>
    <t>FUFanThreshold75</t>
  </si>
  <si>
    <t>FUFanThreshold90</t>
  </si>
  <si>
    <t>Minimum power for turn 75% fan power</t>
  </si>
  <si>
    <t>Minimum power for turn 90% fan power</t>
  </si>
  <si>
    <t>FUFanThreshold75;Вт;Макс мощность слотового устройства при включении 75%</t>
  </si>
  <si>
    <t>FUFanThreshold90;Вт;Макс мощность слотового устройства при включении 90%</t>
  </si>
  <si>
    <t>SlotMaxPower</t>
  </si>
  <si>
    <t>Maximum slot power</t>
  </si>
  <si>
    <t>SlotMaxPower;Вт;Максимальная мощность слотового устройства</t>
  </si>
  <si>
    <t>FUFanSpeedSet;%;Установка частоты оборотов всех вентиляторов в ручном режиме</t>
  </si>
  <si>
    <t>FUFanMode;;Режим работы вентиляторов</t>
  </si>
  <si>
    <t>CMSFP?AutoNeg</t>
  </si>
  <si>
    <t>SFP ? Auto-Negotiation</t>
  </si>
  <si>
    <t>CMSFP?AutoNeg;;Вкл/Выкл режим Auto-Negotiation SFP ?</t>
  </si>
  <si>
    <t>CMSFP?AutoNeg;Disable@0|Enable@1</t>
  </si>
  <si>
    <t>CMSFP?AutoNeg;Выкл@0|Вкл@1</t>
  </si>
  <si>
    <t>CMOSCAlarm;Norm@0|Warning@1|Failure@2</t>
  </si>
  <si>
    <t>CMOSCAlarm</t>
  </si>
  <si>
    <t>CMOSCAlarm;;Состояние служебного канала (OSC)</t>
  </si>
  <si>
    <t xml:space="preserve">Service channel state (OSC)  </t>
  </si>
  <si>
    <t>CMOSCAlarm;Норма@0|Предупреждение@1|Авария@2</t>
  </si>
  <si>
    <t>LocalSubnet</t>
  </si>
  <si>
    <t>Local Crate Subnet</t>
  </si>
  <si>
    <t>LocalSubnet;;Локальная подсеть полки</t>
  </si>
  <si>
    <t>CMFE?Link</t>
  </si>
  <si>
    <t>FE ? link status</t>
  </si>
  <si>
    <t>CMFE?Link;;Состояние линка порта FE ?</t>
  </si>
  <si>
    <t>GE ? link status</t>
  </si>
  <si>
    <t>CMGE?Link;;Состояние линка порта GE ?</t>
  </si>
  <si>
    <t>CMGE?Link</t>
  </si>
  <si>
    <t>CMFE?Link;Down@0|Up@1</t>
  </si>
  <si>
    <t>CMFE?Link;Нет@0|Есть@1</t>
  </si>
  <si>
    <t>CMGE?Link;Down@0|Up@1</t>
  </si>
  <si>
    <t>CMGE?Link;Нет@0|Есть@1</t>
  </si>
  <si>
    <t>1;Comand module;ALARM1|ALARM2|BlockColor|TCase|CPUUsage|MemLoad|DiskSpace|LocalTime|LocalDate|CMSFP1Pres|CMSFP1Pin|CMSFP1Pout|CMSFP1ThrMode|CMSFP2Pres|CMSFP2Pin|CMSFP2Pout|CMSFP2ThrMode|CMTime|CMFE1Link|CMFE2Link|CMFE3Link|CMGE1Link|CMGE2Link|CMOSCAlarm|UpTime|CMI33V|CMI12V|Slot1PowerStatus|Slot1Name|Slot1Power|Slot2PowerStatus|Slot2Name|Slot2Power|Slot3PowerStatus|Slot3Name|Slot3Power|Slot4PowerStatus|Slot4Name|Slot4Power|Slot5PowerStatus|Slot5Name|Slot5Power|Slot6PowerStatus|Slot6Name|Slot6Power|Slot7PowerStatus|Slot7Name|Slot7Power|Slot8PowerStatus|Slot8Name|Slot8Power|Slot9PowerStatus|Slot9Name|Slot9Power|Slot10PowerStatus|Slot10Name|Slot10Power|Slot11PowerStatus|Slot11Name|Slot11Power|Slot12PowerStatus|Slot12Name|Slot12Power|Slot13PowerStatus|Slot13Name|Slot13Power|FUPowerStatus|FUName|FUPower</t>
  </si>
  <si>
    <t xml:space="preserve"> 169.254.100.0/24</t>
  </si>
  <si>
    <t>PRECISION2</t>
  </si>
  <si>
    <t>CMSFP?Pout;CMSFP?Pout;CMSFP?PoutCMax|CMSFP?PoutWMax|CMSFP?PoutWMin|CMSFP?PoutCMin|CMOSCAlarm;7|5|4|3|1</t>
  </si>
  <si>
    <t>3.0;dnepr2;dnepra;2;5</t>
  </si>
  <si>
    <t>1.0;dnepr2;1</t>
  </si>
  <si>
    <t>Enable/Disable send traps to SNMP server(s)</t>
  </si>
  <si>
    <t>DisableTraps;;Битовые маски trap-сообщений</t>
  </si>
  <si>
    <t>Slot ? Optional EEPROM Record</t>
  </si>
  <si>
    <t>Slot?;;Дополнительная запись в EEPROM слотового устройства ?</t>
  </si>
  <si>
    <t>VPowerMinReserve</t>
  </si>
  <si>
    <t>Value of minimum power limit</t>
  </si>
  <si>
    <t>VPowerMinReserve;Вт;Минимальный запас мощности после запуска всех устройств</t>
  </si>
  <si>
    <t>PS?TempLimit1</t>
  </si>
  <si>
    <t>PS? Temperature fault limit 1</t>
  </si>
  <si>
    <t>PS?TempLimit1;°C;Предел температуры блока питания ? по датчику 1</t>
  </si>
  <si>
    <t>PS?TempLimit2</t>
  </si>
  <si>
    <t>PS? Temperature fault limit 2</t>
  </si>
  <si>
    <t>PS?TempLimit2;°C;Предел температуры блока питания ? по датчику 2</t>
  </si>
  <si>
    <t>PS?TempLimit3</t>
  </si>
  <si>
    <t>PS? Temperature fault limit 3</t>
  </si>
  <si>
    <t>PS?TempLimit3;°C;Предел температуры блока питания ? по датчику 3</t>
  </si>
  <si>
    <t>PS?TempLimit4</t>
  </si>
  <si>
    <t>PS? Temperature fault limit 4</t>
  </si>
  <si>
    <t>PS?TempLimit4;°C;Предел температуры блока питания ? по датчику 4</t>
  </si>
  <si>
    <t>PS?TempLimit5</t>
  </si>
  <si>
    <t>PS? Temperature fault limit 5</t>
  </si>
  <si>
    <t>PS?TempLimit5;°C;Предел температуры блока питания ? по датчику 5</t>
  </si>
  <si>
    <t>PSCommonPower</t>
  </si>
  <si>
    <t>Power Supply common power</t>
  </si>
  <si>
    <t xml:space="preserve">PSCommonPower;Вт;Общая мощность БП </t>
  </si>
  <si>
    <t>PS?TempFaultStatus</t>
  </si>
  <si>
    <t>Power Supply ? Temperature fault status</t>
  </si>
  <si>
    <t xml:space="preserve">PS?TempFaultStatus;;Аварийный температурный режим БП ? </t>
  </si>
  <si>
    <t>PS?FanWarningStatus</t>
  </si>
  <si>
    <t>Power Supply ? fan warning flag</t>
  </si>
  <si>
    <t xml:space="preserve">PS?FanWarningStatus;;Предаварийное состояние вентилятора БП ? </t>
  </si>
  <si>
    <t>PS?FanFaultStatus</t>
  </si>
  <si>
    <t>Power Supply ? fan fault flag</t>
  </si>
  <si>
    <t xml:space="preserve">PS?FanFaultStatus;;Авария вентилятора БП ? </t>
  </si>
  <si>
    <t>PS?FanSpeed</t>
  </si>
  <si>
    <t>Power Supply ? Fan Speed</t>
  </si>
  <si>
    <t>rpm</t>
  </si>
  <si>
    <t>PS?FanSpeed;rpm;Обороты вентилятора БП ?</t>
  </si>
  <si>
    <t>PS?TemperatureFlow</t>
  </si>
  <si>
    <t>Power Supply ? temperature air flow</t>
  </si>
  <si>
    <t>PS?TemperatureFlow;°C;Температура БП ?</t>
  </si>
  <si>
    <t>PS?TemperatureFlow2</t>
  </si>
  <si>
    <t>Power Supply ? temperature air flow 2</t>
  </si>
  <si>
    <t>PS?TemperatureFlow2;°C;Температура входного потока БП ?</t>
  </si>
  <si>
    <t>PS?TemperatureHotSpot1</t>
  </si>
  <si>
    <t>Power Supply ? temperature hot spot 1</t>
  </si>
  <si>
    <t>PS?TemperatureHotSpot1;°C;Температура горячей точки 1 БП ?</t>
  </si>
  <si>
    <t>PS?TemperatureHotSpot2</t>
  </si>
  <si>
    <t>Power Supply ? temperature hot spot 2</t>
  </si>
  <si>
    <t>PS?TemperatureHotSpot2;°C;Температура горячей точки 2 БП ?</t>
  </si>
  <si>
    <t>PS?TemperatureHotSpot3</t>
  </si>
  <si>
    <t>Power Supply ? temperature hot spot 3</t>
  </si>
  <si>
    <t>PS?TemperatureHotSpot3;°C;Температура горячей точки 3 БП ?</t>
  </si>
  <si>
    <t>PS?Vin</t>
  </si>
  <si>
    <t>Power Supply ? Input Voltage</t>
  </si>
  <si>
    <t>PS?Vin;В;Входное напряжение БП ?</t>
  </si>
  <si>
    <t>PS?Iin</t>
  </si>
  <si>
    <t>Power Supply ? Input Current</t>
  </si>
  <si>
    <t>PS?Iin;А;Входной ток БП ?</t>
  </si>
  <si>
    <t>PS?VoltageOut</t>
  </si>
  <si>
    <t>Power Supply ? Output Voltage</t>
  </si>
  <si>
    <t>PS?VoltageOut;В;Выходное напряжение БП ?</t>
  </si>
  <si>
    <t>PS?Iout</t>
  </si>
  <si>
    <t>Power Supply ? Output Current</t>
  </si>
  <si>
    <t>PS?Iout;А;Выходной ток БП ?</t>
  </si>
  <si>
    <t>PS?FanSpeedOverrideStatus</t>
  </si>
  <si>
    <t>PS?FanSpeedOverrideStatus;No@0|Yes@1</t>
  </si>
  <si>
    <t>PS?FanSpeedOverrideStatus;Нет@0|Да@1</t>
  </si>
  <si>
    <t>PS?FanWarningStatus;Norm@0|Error@1</t>
  </si>
  <si>
    <t>PS?FanWarningStatus;Норма@0|Ошибка@1</t>
  </si>
  <si>
    <t>PS?FanFaultStatus;Norm@0|Error@1</t>
  </si>
  <si>
    <t>PS?FanFaultStatus;Норма@0|Ошибка@1</t>
  </si>
  <si>
    <t>Slot?PowerStatus;Unavailable@0|Failure@1|On@2|PowerLimitOff@3|SwitchedOff@4</t>
  </si>
  <si>
    <t>Slot?PowerStatus;Недоступно@0|СбойУправления@1|Работает@2|ПределМощности@3|Выключено@4</t>
  </si>
  <si>
    <t>FUPowerStatus;Unavailable@0|Failure@1|On@2|PowerLimitOff@3|SwitchedOff@4</t>
  </si>
  <si>
    <t>FUPowerStatus;Недоступно@0|СбойУправления@1|Работает@2|ПределМощности@3|Выключено@4</t>
  </si>
  <si>
    <t>3;Power supply;PSCommonPower|PS1Pres|PS1InPwrStatus|PS1OutPwrStatus|PS1OutCurrent|PS2Pres|PS2InPwrStatus|PS2OutPwrStatus|PS2OutCurrent|PS1FanSpeedOverrideStatus|PS2FanSpeedOverrideStatus|PS1FanWarningStatus|PS2FanWarningStatus|PS1FanFaultStatus|PS2FanFaultStatus|PS1FanSpeed|PS2FanSpeed|PS1TemperatureFlow|PS2TemperatureFlow|PS1Vin|PS2Vin|PS1Iin|PS2Iin|PS1VoltageOut|PS2VoltageOut|PS1Iout|PS2Iout|PS1TemperatureFlow2|PS2TemperatureFlow2|PS1TemperatureHotSpot1|PS2TemperatureHotSpot1|PS1TemperatureHotSpot2|PS2TemperatureHotSpot2|PS1TemperatureHotSpot3|PS2TemperatureHotSpot3</t>
  </si>
  <si>
    <t>3.3.27.1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</si>
</sst>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 x14ac:knownFonts="1">
    <font>
      <sz val="11"/>
      <color theme="1"/>
      <name val="Calibri"/>
      <family val="2"/>
      <charset val="204"/>
      <scheme val="minor"/>
    </font>
    <font>
      <sz val="10"/>
      <color rgb="FF0066FF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00B050"/>
      <name val="Calibri"/>
      <family val="2"/>
      <charset val="204"/>
      <scheme val="minor"/>
    </font>
    <font>
      <sz val="11"/>
      <color rgb="FFC00000"/>
      <name val="Calibri"/>
      <family val="2"/>
      <charset val="204"/>
      <scheme val="minor"/>
    </font>
    <font>
      <b/>
      <i/>
      <sz val="11"/>
      <color rgb="FFC516D2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1"/>
      <color rgb="FF0070C0"/>
      <name val="Calibri"/>
      <family val="2"/>
      <charset val="204"/>
      <scheme val="minor"/>
    </font>
    <font>
      <sz val="11"/>
      <color rgb="FF0070C0"/>
      <name val="Times New Roman"/>
      <family val="1"/>
      <charset val="204"/>
    </font>
    <font>
      <sz val="11"/>
      <color theme="9" tint="-0.249977111117893"/>
      <name val="Calibri"/>
      <family val="2"/>
      <charset val="204"/>
      <scheme val="minor"/>
    </font>
    <font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1"/>
      <color rgb="FFC00000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name val="Times New Roman"/>
      <family val="1"/>
      <charset val="204"/>
    </font>
    <font>
      <sz val="11"/>
      <color theme="1" tint="0.249977111117893"/>
      <name val="Calibri"/>
      <family val="2"/>
      <charset val="204"/>
      <scheme val="minor"/>
    </font>
    <font>
      <sz val="11"/>
      <color theme="1" tint="0.249977111117893"/>
      <name val="Times New Roman"/>
      <family val="1"/>
      <charset val="204"/>
    </font>
    <font>
      <sz val="11"/>
      <color rgb="FFC516D2"/>
      <name val="Calibri"/>
      <family val="2"/>
      <charset val="204"/>
      <scheme val="minor"/>
    </font>
    <font>
      <sz val="11"/>
      <color theme="4"/>
      <name val="Calibri"/>
      <family val="2"/>
      <charset val="204"/>
      <scheme val="minor"/>
    </font>
    <font>
      <sz val="11"/>
      <color theme="6" tint="-0.249977111117893"/>
      <name val="Calibri"/>
      <family val="2"/>
      <charset val="204"/>
      <scheme val="minor"/>
    </font>
    <font>
      <sz val="11"/>
      <color theme="6" tint="-0.249977111117893"/>
      <name val="Times New Roman"/>
      <family val="1"/>
      <charset val="204"/>
    </font>
    <font>
      <sz val="11"/>
      <color rgb="FF0066FF"/>
      <name val="Calibri"/>
      <family val="2"/>
      <charset val="204"/>
      <scheme val="minor"/>
    </font>
    <font>
      <sz val="11"/>
      <color rgb="FF0066FF"/>
      <name val="Times New Roman"/>
      <family val="1"/>
      <charset val="204"/>
    </font>
    <font>
      <sz val="11"/>
      <color theme="0"/>
      <name val="Calibri"/>
      <family val="2"/>
      <charset val="204"/>
      <scheme val="minor"/>
    </font>
    <font>
      <sz val="10"/>
      <color theme="1"/>
      <name val="Arial Unicode MS"/>
      <family val="2"/>
      <charset val="204"/>
    </font>
    <font>
      <sz val="10"/>
      <name val="Arial Unicode MS"/>
      <family val="2"/>
      <charset val="204"/>
    </font>
    <font>
      <sz val="11"/>
      <name val="Calibri"/>
      <family val="2"/>
      <charset val="204"/>
    </font>
    <font>
      <sz val="11"/>
      <color indexed="30"/>
      <name val="Calibri"/>
      <family val="2"/>
      <charset val="204"/>
    </font>
    <font>
      <sz val="11"/>
      <color indexed="16"/>
      <name val="Calibri"/>
      <family val="2"/>
      <charset val="204"/>
    </font>
  </fonts>
  <fills count="3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47"/>
      </patternFill>
    </fill>
    <fill>
      <patternFill patternType="solid">
        <fgColor theme="9" tint="0.39997558519241921"/>
        <bgColor indexed="27"/>
      </patternFill>
    </fill>
    <fill>
      <patternFill patternType="solid">
        <fgColor theme="6" tint="0.39997558519241921"/>
        <bgColor indexed="13"/>
      </patternFill>
    </fill>
    <fill>
      <patternFill patternType="solid">
        <fgColor theme="6" tint="0.39997558519241921"/>
        <bgColor indexed="27"/>
      </patternFill>
    </fill>
    <fill>
      <patternFill patternType="solid">
        <fgColor theme="2" tint="-0.249977111117893"/>
        <bgColor indexed="13"/>
      </patternFill>
    </fill>
    <fill>
      <patternFill patternType="solid">
        <fgColor indexed="43"/>
        <bgColor indexed="34"/>
      </patternFill>
    </fill>
    <fill>
      <patternFill patternType="solid">
        <fgColor theme="9" tint="0.39997558519241921"/>
        <bgColor indexed="13"/>
      </patternFill>
    </fill>
    <fill>
      <patternFill patternType="solid">
        <fgColor theme="5" tint="0.39997558519241921"/>
        <bgColor indexed="13"/>
      </patternFill>
    </fill>
    <fill>
      <patternFill patternType="solid">
        <fgColor theme="0"/>
        <bgColor indexed="13"/>
      </patternFill>
    </fill>
    <fill>
      <patternFill patternType="solid">
        <fgColor theme="7" tint="0.59999389629810485"/>
        <bgColor indexed="13"/>
      </patternFill>
    </fill>
    <fill>
      <patternFill patternType="solid">
        <fgColor theme="4" tint="0.59999389629810485"/>
        <bgColor indexed="13"/>
      </patternFill>
    </fill>
    <fill>
      <patternFill patternType="solid">
        <fgColor theme="6" tint="0.39997558519241921"/>
        <bgColor indexed="26"/>
      </patternFill>
    </fill>
    <fill>
      <patternFill patternType="solid">
        <fgColor theme="7" tint="0.79998168889431442"/>
        <bgColor indexed="27"/>
      </patternFill>
    </fill>
    <fill>
      <patternFill patternType="solid">
        <fgColor theme="3" tint="0.79998168889431442"/>
        <bgColor indexed="13"/>
      </patternFill>
    </fill>
    <fill>
      <patternFill patternType="solid">
        <fgColor theme="6" tint="0.59999389629810485"/>
        <bgColor indexed="13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6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Fill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1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left" vertical="center" wrapText="1"/>
    </xf>
    <xf numFmtId="0" fontId="4" fillId="0" borderId="0" xfId="0" applyFont="1" applyAlignment="1">
      <alignment horizontal="left"/>
    </xf>
    <xf numFmtId="0" fontId="0" fillId="0" borderId="0" xfId="0" applyAlignment="1"/>
    <xf numFmtId="0" fontId="4" fillId="0" borderId="0" xfId="0" applyFont="1"/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/>
    <xf numFmtId="0" fontId="0" fillId="0" borderId="0" xfId="0" applyFill="1" applyAlignment="1">
      <alignment horizontal="center"/>
    </xf>
    <xf numFmtId="0" fontId="1" fillId="0" borderId="0" xfId="0" applyFont="1" applyFill="1" applyAlignment="1">
      <alignment horizontal="center" vertic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4" fillId="0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4" fillId="0" borderId="0" xfId="0" applyFont="1" applyFill="1" applyBorder="1" applyAlignment="1">
      <alignment horizontal="left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0" fillId="0" borderId="0" xfId="0" applyFill="1" applyAlignment="1">
      <alignment horizontal="left"/>
    </xf>
    <xf numFmtId="0" fontId="4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4" fillId="4" borderId="0" xfId="0" applyFont="1" applyFill="1" applyBorder="1" applyAlignment="1">
      <alignment horizontal="center" vertical="center" wrapText="1"/>
    </xf>
    <xf numFmtId="0" fontId="4" fillId="0" borderId="0" xfId="0" applyFont="1" applyFill="1"/>
    <xf numFmtId="0" fontId="4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center"/>
    </xf>
    <xf numFmtId="0" fontId="4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left" vertical="center"/>
    </xf>
    <xf numFmtId="0" fontId="4" fillId="5" borderId="0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horizontal="left" vertical="center" wrapText="1"/>
    </xf>
    <xf numFmtId="0" fontId="10" fillId="0" borderId="0" xfId="0" applyFont="1" applyFill="1"/>
    <xf numFmtId="0" fontId="10" fillId="0" borderId="0" xfId="0" applyFont="1" applyFill="1" applyAlignment="1">
      <alignment horizontal="center"/>
    </xf>
    <xf numFmtId="0" fontId="10" fillId="0" borderId="0" xfId="0" applyFont="1" applyFill="1" applyAlignment="1">
      <alignment horizontal="left" vertical="center"/>
    </xf>
    <xf numFmtId="0" fontId="10" fillId="0" borderId="0" xfId="0" applyFont="1" applyFill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12" fillId="0" borderId="0" xfId="0" applyFont="1" applyFill="1"/>
    <xf numFmtId="0" fontId="12" fillId="0" borderId="0" xfId="0" applyFont="1" applyFill="1" applyAlignment="1">
      <alignment horizontal="center"/>
    </xf>
    <xf numFmtId="0" fontId="12" fillId="0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left" vertical="center"/>
    </xf>
    <xf numFmtId="0" fontId="12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left" vertical="center" wrapText="1"/>
    </xf>
    <xf numFmtId="0" fontId="4" fillId="5" borderId="0" xfId="0" applyFont="1" applyFill="1" applyAlignment="1">
      <alignment horizontal="center"/>
    </xf>
    <xf numFmtId="0" fontId="4" fillId="5" borderId="0" xfId="0" applyFont="1" applyFill="1" applyAlignment="1">
      <alignment horizontal="left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0" fontId="15" fillId="0" borderId="0" xfId="0" applyFont="1"/>
    <xf numFmtId="0" fontId="9" fillId="5" borderId="0" xfId="0" applyFont="1" applyFill="1"/>
    <xf numFmtId="0" fontId="9" fillId="0" borderId="3" xfId="0" applyFont="1" applyBorder="1" applyAlignment="1">
      <alignment vertical="top" wrapText="1"/>
    </xf>
    <xf numFmtId="0" fontId="4" fillId="5" borderId="0" xfId="0" applyFont="1" applyFill="1"/>
    <xf numFmtId="0" fontId="9" fillId="0" borderId="4" xfId="0" applyFont="1" applyBorder="1" applyAlignment="1">
      <alignment vertical="top" wrapText="1"/>
    </xf>
    <xf numFmtId="0" fontId="9" fillId="0" borderId="5" xfId="0" applyFont="1" applyBorder="1" applyAlignment="1">
      <alignment vertical="top" wrapText="1"/>
    </xf>
    <xf numFmtId="0" fontId="9" fillId="0" borderId="5" xfId="0" applyFont="1" applyBorder="1" applyAlignment="1">
      <alignment wrapText="1"/>
    </xf>
    <xf numFmtId="0" fontId="9" fillId="0" borderId="6" xfId="0" applyFont="1" applyBorder="1" applyAlignment="1">
      <alignment vertical="top" wrapText="1"/>
    </xf>
    <xf numFmtId="0" fontId="9" fillId="0" borderId="6" xfId="0" applyFont="1" applyBorder="1" applyAlignment="1">
      <alignment wrapText="1"/>
    </xf>
    <xf numFmtId="0" fontId="8" fillId="0" borderId="2" xfId="0" applyFont="1" applyBorder="1" applyAlignment="1">
      <alignment vertical="top" wrapText="1"/>
    </xf>
    <xf numFmtId="0" fontId="8" fillId="0" borderId="7" xfId="0" applyFont="1" applyBorder="1" applyAlignment="1">
      <alignment vertical="top" wrapText="1"/>
    </xf>
    <xf numFmtId="0" fontId="8" fillId="0" borderId="7" xfId="0" applyFont="1" applyBorder="1" applyAlignment="1">
      <alignment wrapText="1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 textRotation="90"/>
    </xf>
    <xf numFmtId="0" fontId="0" fillId="0" borderId="0" xfId="0" applyAlignment="1">
      <alignment horizontal="center" textRotation="90"/>
    </xf>
    <xf numFmtId="0" fontId="18" fillId="0" borderId="0" xfId="0" applyFont="1" applyFill="1"/>
    <xf numFmtId="0" fontId="18" fillId="0" borderId="0" xfId="0" applyFont="1" applyFill="1" applyAlignment="1">
      <alignment horizontal="center" vertical="center"/>
    </xf>
    <xf numFmtId="0" fontId="18" fillId="0" borderId="0" xfId="0" applyFont="1" applyFill="1" applyBorder="1" applyAlignment="1">
      <alignment horizontal="left" vertical="center" wrapText="1"/>
    </xf>
    <xf numFmtId="0" fontId="18" fillId="0" borderId="0" xfId="0" applyFont="1" applyFill="1" applyAlignment="1">
      <alignment horizontal="center"/>
    </xf>
    <xf numFmtId="0" fontId="18" fillId="0" borderId="0" xfId="0" applyFont="1" applyFill="1" applyAlignment="1">
      <alignment horizontal="left" vertical="center"/>
    </xf>
    <xf numFmtId="0" fontId="18" fillId="0" borderId="0" xfId="0" applyFont="1" applyFill="1" applyBorder="1" applyAlignment="1">
      <alignment horizontal="center" vertical="center" wrapText="1"/>
    </xf>
    <xf numFmtId="0" fontId="18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Fill="1" applyAlignment="1">
      <alignment horizontal="left" vertical="center"/>
    </xf>
    <xf numFmtId="0" fontId="21" fillId="0" borderId="0" xfId="0" applyFont="1" applyFill="1" applyAlignment="1">
      <alignment horizontal="center" vertical="center"/>
    </xf>
    <xf numFmtId="0" fontId="21" fillId="0" borderId="0" xfId="0" applyFont="1" applyFill="1"/>
    <xf numFmtId="0" fontId="21" fillId="0" borderId="0" xfId="0" applyFont="1" applyFill="1" applyAlignment="1">
      <alignment horizontal="center"/>
    </xf>
    <xf numFmtId="0" fontId="21" fillId="0" borderId="0" xfId="0" applyFont="1" applyFill="1" applyBorder="1" applyAlignment="1">
      <alignment horizontal="center" vertical="center" wrapText="1"/>
    </xf>
    <xf numFmtId="0" fontId="21" fillId="0" borderId="0" xfId="0" applyFont="1" applyFill="1" applyBorder="1" applyAlignment="1">
      <alignment horizontal="left" vertical="center" wrapText="1"/>
    </xf>
    <xf numFmtId="0" fontId="2" fillId="7" borderId="0" xfId="0" applyFont="1" applyFill="1" applyAlignment="1">
      <alignment vertical="center"/>
    </xf>
    <xf numFmtId="0" fontId="2" fillId="7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4" fillId="8" borderId="0" xfId="0" applyFont="1" applyFill="1" applyBorder="1" applyAlignment="1">
      <alignment horizontal="left"/>
    </xf>
    <xf numFmtId="0" fontId="4" fillId="8" borderId="0" xfId="0" applyFont="1" applyFill="1" applyBorder="1" applyAlignment="1">
      <alignment horizontal="left" vertical="center" wrapText="1"/>
    </xf>
    <xf numFmtId="0" fontId="4" fillId="8" borderId="0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8" borderId="0" xfId="0" applyFont="1" applyFill="1" applyBorder="1" applyAlignment="1">
      <alignment horizontal="center" vertical="center"/>
    </xf>
    <xf numFmtId="0" fontId="4" fillId="8" borderId="0" xfId="0" applyFont="1" applyFill="1" applyBorder="1" applyAlignment="1">
      <alignment horizontal="center"/>
    </xf>
    <xf numFmtId="0" fontId="26" fillId="5" borderId="0" xfId="0" applyFont="1" applyFill="1"/>
    <xf numFmtId="0" fontId="26" fillId="5" borderId="0" xfId="0" applyFont="1" applyFill="1" applyAlignment="1">
      <alignment horizontal="center"/>
    </xf>
    <xf numFmtId="0" fontId="26" fillId="5" borderId="0" xfId="0" applyFont="1" applyFill="1" applyAlignment="1">
      <alignment horizontal="left"/>
    </xf>
    <xf numFmtId="0" fontId="4" fillId="5" borderId="0" xfId="0" applyFont="1" applyFill="1" applyBorder="1" applyAlignment="1">
      <alignment horizontal="left"/>
    </xf>
    <xf numFmtId="0" fontId="0" fillId="9" borderId="8" xfId="0" applyFill="1" applyBorder="1"/>
    <xf numFmtId="0" fontId="0" fillId="6" borderId="8" xfId="0" applyFill="1" applyBorder="1"/>
    <xf numFmtId="0" fontId="0" fillId="10" borderId="8" xfId="0" applyFill="1" applyBorder="1"/>
    <xf numFmtId="0" fontId="18" fillId="5" borderId="0" xfId="0" applyFont="1" applyFill="1"/>
    <xf numFmtId="0" fontId="26" fillId="5" borderId="0" xfId="0" applyFont="1" applyFill="1" applyAlignment="1"/>
    <xf numFmtId="0" fontId="0" fillId="0" borderId="0" xfId="0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0" xfId="0" applyFill="1" applyBorder="1" applyAlignment="1">
      <alignment horizontal="left"/>
    </xf>
    <xf numFmtId="0" fontId="4" fillId="8" borderId="0" xfId="0" applyFont="1" applyFill="1" applyBorder="1" applyAlignment="1">
      <alignment horizontal="center" vertical="center" wrapText="1"/>
    </xf>
    <xf numFmtId="0" fontId="6" fillId="8" borderId="0" xfId="0" applyFont="1" applyFill="1" applyAlignment="1">
      <alignment horizontal="center" vertical="center"/>
    </xf>
    <xf numFmtId="0" fontId="6" fillId="8" borderId="0" xfId="0" applyFont="1" applyFill="1" applyBorder="1" applyAlignment="1">
      <alignment horizontal="center"/>
    </xf>
    <xf numFmtId="0" fontId="6" fillId="8" borderId="0" xfId="0" applyFont="1" applyFill="1" applyBorder="1" applyAlignment="1">
      <alignment horizontal="left"/>
    </xf>
    <xf numFmtId="0" fontId="6" fillId="8" borderId="0" xfId="0" applyFont="1" applyFill="1" applyBorder="1" applyAlignment="1">
      <alignment horizontal="center" vertical="center" wrapText="1"/>
    </xf>
    <xf numFmtId="0" fontId="6" fillId="8" borderId="0" xfId="0" applyFont="1" applyFill="1" applyBorder="1"/>
    <xf numFmtId="0" fontId="10" fillId="8" borderId="0" xfId="0" applyFont="1" applyFill="1" applyAlignment="1">
      <alignment horizontal="center" vertical="center"/>
    </xf>
    <xf numFmtId="0" fontId="22" fillId="8" borderId="0" xfId="0" applyFont="1" applyFill="1" applyAlignment="1">
      <alignment horizontal="center" vertical="center"/>
    </xf>
    <xf numFmtId="0" fontId="0" fillId="8" borderId="0" xfId="0" applyFill="1"/>
    <xf numFmtId="0" fontId="15" fillId="8" borderId="0" xfId="0" applyFont="1" applyFill="1"/>
    <xf numFmtId="0" fontId="6" fillId="8" borderId="0" xfId="0" applyFont="1" applyFill="1" applyAlignment="1">
      <alignment horizontal="left" vertical="center"/>
    </xf>
    <xf numFmtId="0" fontId="6" fillId="8" borderId="0" xfId="0" applyFont="1" applyFill="1" applyAlignment="1">
      <alignment horizontal="center"/>
    </xf>
    <xf numFmtId="0" fontId="15" fillId="8" borderId="0" xfId="0" applyFont="1" applyFill="1" applyBorder="1" applyAlignment="1">
      <alignment vertical="top" wrapText="1"/>
    </xf>
    <xf numFmtId="0" fontId="6" fillId="8" borderId="0" xfId="0" applyFont="1" applyFill="1"/>
    <xf numFmtId="0" fontId="6" fillId="8" borderId="0" xfId="0" applyFont="1" applyFill="1" applyAlignment="1">
      <alignment horizontal="left"/>
    </xf>
    <xf numFmtId="0" fontId="4" fillId="8" borderId="0" xfId="0" applyFont="1" applyFill="1" applyAlignment="1">
      <alignment horizontal="center" vertical="center"/>
    </xf>
    <xf numFmtId="0" fontId="4" fillId="8" borderId="0" xfId="0" applyFont="1" applyFill="1"/>
    <xf numFmtId="0" fontId="0" fillId="8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10" fillId="8" borderId="0" xfId="0" applyFont="1" applyFill="1" applyAlignment="1">
      <alignment horizontal="left" vertical="center"/>
    </xf>
    <xf numFmtId="0" fontId="10" fillId="8" borderId="0" xfId="0" applyFont="1" applyFill="1" applyAlignment="1">
      <alignment horizontal="center"/>
    </xf>
    <xf numFmtId="0" fontId="11" fillId="8" borderId="0" xfId="0" applyFont="1" applyFill="1" applyBorder="1" applyAlignment="1">
      <alignment vertical="top" wrapText="1"/>
    </xf>
    <xf numFmtId="0" fontId="10" fillId="8" borderId="0" xfId="0" applyFont="1" applyFill="1"/>
    <xf numFmtId="0" fontId="10" fillId="8" borderId="0" xfId="0" applyFont="1" applyFill="1" applyBorder="1" applyAlignment="1">
      <alignment horizontal="center"/>
    </xf>
    <xf numFmtId="0" fontId="10" fillId="8" borderId="0" xfId="0" applyFont="1" applyFill="1" applyBorder="1" applyAlignment="1">
      <alignment horizontal="center" vertical="center" wrapText="1"/>
    </xf>
    <xf numFmtId="0" fontId="22" fillId="8" borderId="0" xfId="0" applyFont="1" applyFill="1" applyAlignment="1">
      <alignment horizontal="left" vertical="center"/>
    </xf>
    <xf numFmtId="0" fontId="22" fillId="8" borderId="0" xfId="0" applyFont="1" applyFill="1" applyAlignment="1">
      <alignment horizontal="center"/>
    </xf>
    <xf numFmtId="0" fontId="23" fillId="8" borderId="0" xfId="0" applyFont="1" applyFill="1" applyBorder="1" applyAlignment="1">
      <alignment vertical="top" wrapText="1"/>
    </xf>
    <xf numFmtId="0" fontId="22" fillId="8" borderId="0" xfId="0" applyFont="1" applyFill="1"/>
    <xf numFmtId="0" fontId="22" fillId="8" borderId="0" xfId="0" applyFont="1" applyFill="1" applyBorder="1" applyAlignment="1">
      <alignment horizontal="center"/>
    </xf>
    <xf numFmtId="0" fontId="22" fillId="8" borderId="0" xfId="0" applyFont="1" applyFill="1" applyBorder="1" applyAlignment="1">
      <alignment horizontal="center" vertical="center" wrapText="1"/>
    </xf>
    <xf numFmtId="0" fontId="4" fillId="8" borderId="0" xfId="0" applyFont="1" applyFill="1" applyAlignment="1">
      <alignment horizontal="left" vertical="center"/>
    </xf>
    <xf numFmtId="0" fontId="6" fillId="8" borderId="0" xfId="0" applyFont="1" applyFill="1" applyAlignment="1"/>
    <xf numFmtId="0" fontId="4" fillId="8" borderId="0" xfId="0" applyFont="1" applyFill="1" applyAlignment="1"/>
    <xf numFmtId="0" fontId="4" fillId="8" borderId="0" xfId="0" applyFont="1" applyFill="1" applyAlignment="1">
      <alignment horizontal="center"/>
    </xf>
    <xf numFmtId="0" fontId="13" fillId="8" borderId="0" xfId="0" applyFont="1" applyFill="1"/>
    <xf numFmtId="0" fontId="4" fillId="8" borderId="0" xfId="0" applyFont="1" applyFill="1" applyAlignment="1">
      <alignment horizontal="left"/>
    </xf>
    <xf numFmtId="0" fontId="0" fillId="8" borderId="0" xfId="0" applyFill="1" applyAlignment="1"/>
    <xf numFmtId="0" fontId="4" fillId="8" borderId="0" xfId="0" applyFont="1" applyFill="1" applyBorder="1"/>
    <xf numFmtId="0" fontId="10" fillId="8" borderId="0" xfId="0" applyFont="1" applyFill="1" applyAlignment="1">
      <alignment horizontal="left"/>
    </xf>
    <xf numFmtId="0" fontId="10" fillId="8" borderId="0" xfId="0" applyFont="1" applyFill="1" applyBorder="1" applyAlignment="1">
      <alignment horizontal="left" vertical="center" wrapText="1"/>
    </xf>
    <xf numFmtId="0" fontId="4" fillId="8" borderId="0" xfId="0" applyFont="1" applyFill="1" applyBorder="1" applyAlignment="1"/>
    <xf numFmtId="0" fontId="26" fillId="5" borderId="0" xfId="0" applyFont="1" applyFill="1" applyBorder="1" applyAlignment="1">
      <alignment horizontal="left" vertical="center"/>
    </xf>
    <xf numFmtId="0" fontId="26" fillId="5" borderId="0" xfId="0" applyFont="1" applyFill="1" applyBorder="1" applyAlignment="1">
      <alignment horizontal="left"/>
    </xf>
    <xf numFmtId="0" fontId="26" fillId="5" borderId="0" xfId="0" applyFont="1" applyFill="1" applyBorder="1" applyAlignment="1">
      <alignment horizontal="center"/>
    </xf>
    <xf numFmtId="0" fontId="26" fillId="5" borderId="0" xfId="0" applyFont="1" applyFill="1" applyBorder="1" applyAlignment="1">
      <alignment horizontal="center" vertical="center"/>
    </xf>
    <xf numFmtId="0" fontId="26" fillId="5" borderId="0" xfId="0" applyFont="1" applyFill="1" applyAlignment="1">
      <alignment horizontal="left" vertical="center"/>
    </xf>
    <xf numFmtId="0" fontId="26" fillId="5" borderId="0" xfId="0" applyFont="1" applyFill="1" applyAlignment="1">
      <alignment horizontal="center" vertical="center"/>
    </xf>
    <xf numFmtId="0" fontId="26" fillId="5" borderId="0" xfId="0" applyFont="1" applyFill="1" applyBorder="1" applyAlignment="1">
      <alignment horizontal="left" vertical="center" wrapText="1"/>
    </xf>
    <xf numFmtId="0" fontId="26" fillId="5" borderId="0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vertical="center" wrapText="1"/>
    </xf>
    <xf numFmtId="0" fontId="9" fillId="8" borderId="0" xfId="0" applyFont="1" applyFill="1"/>
    <xf numFmtId="0" fontId="2" fillId="8" borderId="0" xfId="0" applyFont="1" applyFill="1" applyAlignment="1">
      <alignment horizontal="center"/>
    </xf>
    <xf numFmtId="0" fontId="9" fillId="8" borderId="0" xfId="0" applyFont="1" applyFill="1" applyBorder="1" applyAlignment="1">
      <alignment vertical="top" wrapText="1"/>
    </xf>
    <xf numFmtId="0" fontId="16" fillId="8" borderId="0" xfId="0" applyFont="1" applyFill="1"/>
    <xf numFmtId="0" fontId="20" fillId="8" borderId="0" xfId="0" applyFont="1" applyFill="1"/>
    <xf numFmtId="0" fontId="20" fillId="8" borderId="0" xfId="0" applyFont="1" applyFill="1" applyAlignment="1">
      <alignment horizontal="center"/>
    </xf>
    <xf numFmtId="0" fontId="24" fillId="8" borderId="0" xfId="0" applyFont="1" applyFill="1"/>
    <xf numFmtId="0" fontId="24" fillId="8" borderId="0" xfId="0" applyFont="1" applyFill="1" applyAlignment="1">
      <alignment horizontal="center"/>
    </xf>
    <xf numFmtId="0" fontId="18" fillId="8" borderId="0" xfId="0" applyFont="1" applyFill="1" applyAlignment="1">
      <alignment horizontal="center"/>
    </xf>
    <xf numFmtId="0" fontId="5" fillId="8" borderId="0" xfId="0" applyFont="1" applyFill="1" applyAlignment="1">
      <alignment horizontal="center"/>
    </xf>
    <xf numFmtId="0" fontId="5" fillId="8" borderId="0" xfId="0" applyFont="1" applyFill="1"/>
    <xf numFmtId="0" fontId="5" fillId="8" borderId="0" xfId="0" applyFont="1" applyFill="1" applyAlignment="1">
      <alignment horizontal="left"/>
    </xf>
    <xf numFmtId="0" fontId="0" fillId="8" borderId="0" xfId="0" applyFill="1" applyBorder="1"/>
    <xf numFmtId="0" fontId="8" fillId="8" borderId="0" xfId="0" applyFont="1" applyFill="1" applyBorder="1" applyAlignment="1">
      <alignment wrapText="1"/>
    </xf>
    <xf numFmtId="0" fontId="8" fillId="8" borderId="0" xfId="0" applyFont="1" applyFill="1" applyBorder="1" applyAlignment="1">
      <alignment horizontal="center" wrapText="1"/>
    </xf>
    <xf numFmtId="0" fontId="0" fillId="8" borderId="0" xfId="0" applyFill="1" applyBorder="1" applyAlignment="1">
      <alignment wrapText="1"/>
    </xf>
    <xf numFmtId="0" fontId="0" fillId="8" borderId="0" xfId="0" applyFill="1" applyBorder="1" applyAlignment="1">
      <alignment horizontal="center" wrapText="1"/>
    </xf>
    <xf numFmtId="0" fontId="13" fillId="8" borderId="0" xfId="0" applyFont="1" applyFill="1" applyBorder="1" applyAlignment="1">
      <alignment vertical="top" wrapText="1"/>
    </xf>
    <xf numFmtId="0" fontId="17" fillId="8" borderId="0" xfId="0" applyFont="1" applyFill="1"/>
    <xf numFmtId="0" fontId="14" fillId="8" borderId="0" xfId="0" applyFont="1" applyFill="1" applyBorder="1" applyAlignment="1">
      <alignment horizontal="center" vertical="top"/>
    </xf>
    <xf numFmtId="0" fontId="9" fillId="8" borderId="0" xfId="0" applyFont="1" applyFill="1" applyBorder="1" applyAlignment="1">
      <alignment vertical="top"/>
    </xf>
    <xf numFmtId="0" fontId="0" fillId="8" borderId="0" xfId="0" applyFill="1" applyBorder="1" applyAlignment="1"/>
    <xf numFmtId="0" fontId="4" fillId="11" borderId="1" xfId="0" applyFont="1" applyFill="1" applyBorder="1"/>
    <xf numFmtId="0" fontId="0" fillId="11" borderId="1" xfId="0" applyFill="1" applyBorder="1" applyAlignment="1">
      <alignment horizontal="center"/>
    </xf>
    <xf numFmtId="0" fontId="4" fillId="11" borderId="1" xfId="0" applyFont="1" applyFill="1" applyBorder="1" applyAlignment="1">
      <alignment horizontal="left"/>
    </xf>
    <xf numFmtId="0" fontId="0" fillId="11" borderId="1" xfId="0" applyFill="1" applyBorder="1"/>
    <xf numFmtId="0" fontId="0" fillId="3" borderId="1" xfId="0" applyFill="1" applyBorder="1" applyAlignment="1">
      <alignment horizontal="center"/>
    </xf>
    <xf numFmtId="0" fontId="4" fillId="3" borderId="1" xfId="0" applyFont="1" applyFill="1" applyBorder="1" applyAlignment="1">
      <alignment horizontal="left"/>
    </xf>
    <xf numFmtId="0" fontId="0" fillId="3" borderId="1" xfId="0" applyFill="1" applyBorder="1"/>
    <xf numFmtId="0" fontId="4" fillId="12" borderId="1" xfId="0" applyFont="1" applyFill="1" applyBorder="1"/>
    <xf numFmtId="0" fontId="0" fillId="12" borderId="1" xfId="0" applyFill="1" applyBorder="1" applyAlignment="1">
      <alignment horizontal="center"/>
    </xf>
    <xf numFmtId="0" fontId="4" fillId="12" borderId="1" xfId="0" applyFont="1" applyFill="1" applyBorder="1" applyAlignment="1">
      <alignment horizontal="left"/>
    </xf>
    <xf numFmtId="0" fontId="0" fillId="12" borderId="1" xfId="0" applyFill="1" applyBorder="1"/>
    <xf numFmtId="0" fontId="4" fillId="13" borderId="1" xfId="0" applyFont="1" applyFill="1" applyBorder="1"/>
    <xf numFmtId="0" fontId="0" fillId="13" borderId="1" xfId="0" applyFill="1" applyBorder="1" applyAlignment="1">
      <alignment horizontal="center"/>
    </xf>
    <xf numFmtId="0" fontId="0" fillId="13" borderId="1" xfId="0" applyFill="1" applyBorder="1"/>
    <xf numFmtId="0" fontId="4" fillId="6" borderId="1" xfId="0" applyFont="1" applyFill="1" applyBorder="1"/>
    <xf numFmtId="0" fontId="0" fillId="6" borderId="1" xfId="0" applyFill="1" applyBorder="1" applyAlignment="1">
      <alignment horizontal="center"/>
    </xf>
    <xf numFmtId="0" fontId="4" fillId="6" borderId="1" xfId="0" applyFont="1" applyFill="1" applyBorder="1" applyAlignment="1">
      <alignment horizontal="left"/>
    </xf>
    <xf numFmtId="0" fontId="0" fillId="6" borderId="1" xfId="0" applyFill="1" applyBorder="1"/>
    <xf numFmtId="0" fontId="4" fillId="10" borderId="1" xfId="0" applyFont="1" applyFill="1" applyBorder="1"/>
    <xf numFmtId="0" fontId="0" fillId="10" borderId="1" xfId="0" applyFill="1" applyBorder="1" applyAlignment="1">
      <alignment horizontal="center"/>
    </xf>
    <xf numFmtId="0" fontId="4" fillId="10" borderId="1" xfId="0" applyFont="1" applyFill="1" applyBorder="1" applyAlignment="1">
      <alignment horizontal="left"/>
    </xf>
    <xf numFmtId="0" fontId="0" fillId="10" borderId="1" xfId="0" applyFill="1" applyBorder="1"/>
    <xf numFmtId="0" fontId="4" fillId="9" borderId="1" xfId="0" applyFont="1" applyFill="1" applyBorder="1"/>
    <xf numFmtId="0" fontId="0" fillId="9" borderId="1" xfId="0" applyFill="1" applyBorder="1" applyAlignment="1">
      <alignment horizontal="center"/>
    </xf>
    <xf numFmtId="0" fontId="0" fillId="9" borderId="1" xfId="0" applyFill="1" applyBorder="1"/>
    <xf numFmtId="0" fontId="4" fillId="3" borderId="1" xfId="0" applyFont="1" applyFill="1" applyBorder="1" applyAlignment="1">
      <alignment horizontal="center"/>
    </xf>
    <xf numFmtId="0" fontId="4" fillId="13" borderId="1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4" fillId="10" borderId="1" xfId="0" applyFont="1" applyFill="1" applyBorder="1" applyAlignment="1">
      <alignment horizontal="center"/>
    </xf>
    <xf numFmtId="2" fontId="0" fillId="12" borderId="1" xfId="0" applyNumberFormat="1" applyFill="1" applyBorder="1" applyAlignment="1">
      <alignment horizontal="right"/>
    </xf>
    <xf numFmtId="2" fontId="0" fillId="8" borderId="0" xfId="0" applyNumberFormat="1" applyFill="1" applyAlignment="1">
      <alignment horizontal="right"/>
    </xf>
    <xf numFmtId="0" fontId="0" fillId="0" borderId="0" xfId="0" applyAlignment="1">
      <alignment horizontal="center"/>
    </xf>
    <xf numFmtId="49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13" borderId="1" xfId="0" applyFont="1" applyFill="1" applyBorder="1" applyAlignment="1"/>
    <xf numFmtId="0" fontId="19" fillId="0" borderId="0" xfId="0" applyFont="1" applyFill="1" applyAlignment="1">
      <alignment horizontal="center"/>
    </xf>
    <xf numFmtId="0" fontId="4" fillId="13" borderId="0" xfId="0" applyFont="1" applyFill="1"/>
    <xf numFmtId="0" fontId="27" fillId="13" borderId="1" xfId="0" applyFont="1" applyFill="1" applyBorder="1" applyAlignment="1">
      <alignment vertical="center"/>
    </xf>
    <xf numFmtId="0" fontId="28" fillId="13" borderId="1" xfId="0" applyFont="1" applyFill="1" applyBorder="1" applyAlignment="1">
      <alignment vertical="center"/>
    </xf>
    <xf numFmtId="0" fontId="4" fillId="0" borderId="0" xfId="0" applyFont="1" applyBorder="1"/>
    <xf numFmtId="0" fontId="0" fillId="0" borderId="0" xfId="0" applyAlignment="1">
      <alignment horizontal="center"/>
    </xf>
    <xf numFmtId="0" fontId="4" fillId="13" borderId="9" xfId="0" applyFont="1" applyFill="1" applyBorder="1"/>
    <xf numFmtId="0" fontId="0" fillId="0" borderId="0" xfId="0" applyAlignment="1">
      <alignment horizontal="center"/>
    </xf>
    <xf numFmtId="0" fontId="4" fillId="6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left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6" fillId="6" borderId="0" xfId="0" applyFont="1" applyFill="1"/>
    <xf numFmtId="0" fontId="6" fillId="6" borderId="0" xfId="0" applyFont="1" applyFill="1" applyBorder="1"/>
    <xf numFmtId="0" fontId="4" fillId="6" borderId="1" xfId="0" applyFont="1" applyFill="1" applyBorder="1" applyAlignment="1">
      <alignment horizontal="left" vertical="center"/>
    </xf>
    <xf numFmtId="0" fontId="6" fillId="6" borderId="0" xfId="0" applyFont="1" applyFill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0" fontId="4" fillId="2" borderId="1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4" fillId="14" borderId="1" xfId="0" applyFont="1" applyFill="1" applyBorder="1" applyAlignment="1">
      <alignment horizontal="left"/>
    </xf>
    <xf numFmtId="0" fontId="4" fillId="14" borderId="1" xfId="0" applyFont="1" applyFill="1" applyBorder="1" applyAlignment="1">
      <alignment horizontal="center" vertical="center"/>
    </xf>
    <xf numFmtId="0" fontId="0" fillId="14" borderId="1" xfId="0" applyFont="1" applyFill="1" applyBorder="1" applyAlignment="1">
      <alignment vertical="center"/>
    </xf>
    <xf numFmtId="0" fontId="4" fillId="14" borderId="1" xfId="0" applyFont="1" applyFill="1" applyBorder="1" applyAlignment="1">
      <alignment horizontal="center"/>
    </xf>
    <xf numFmtId="0" fontId="4" fillId="14" borderId="1" xfId="0" applyFont="1" applyFill="1" applyBorder="1" applyAlignment="1">
      <alignment horizontal="left" vertical="center" wrapText="1"/>
    </xf>
    <xf numFmtId="0" fontId="4" fillId="14" borderId="1" xfId="0" applyFont="1" applyFill="1" applyBorder="1" applyAlignment="1">
      <alignment horizontal="center" vertical="center" wrapText="1"/>
    </xf>
    <xf numFmtId="0" fontId="6" fillId="14" borderId="0" xfId="0" applyFont="1" applyFill="1" applyBorder="1"/>
    <xf numFmtId="0" fontId="27" fillId="14" borderId="1" xfId="0" applyFont="1" applyFill="1" applyBorder="1" applyAlignment="1">
      <alignment vertical="center"/>
    </xf>
    <xf numFmtId="0" fontId="4" fillId="10" borderId="1" xfId="0" applyFont="1" applyFill="1" applyBorder="1" applyAlignment="1">
      <alignment horizontal="left" vertical="center"/>
    </xf>
    <xf numFmtId="0" fontId="4" fillId="10" borderId="1" xfId="0" applyFont="1" applyFill="1" applyBorder="1" applyAlignment="1">
      <alignment horizontal="center" vertical="center"/>
    </xf>
    <xf numFmtId="0" fontId="6" fillId="10" borderId="0" xfId="0" applyFont="1" applyFill="1" applyBorder="1" applyAlignment="1">
      <alignment horizontal="center" vertical="center"/>
    </xf>
    <xf numFmtId="0" fontId="6" fillId="10" borderId="0" xfId="0" applyFont="1" applyFill="1" applyBorder="1" applyAlignment="1">
      <alignment horizontal="center"/>
    </xf>
    <xf numFmtId="0" fontId="6" fillId="10" borderId="0" xfId="0" applyFont="1" applyFill="1" applyBorder="1"/>
    <xf numFmtId="0" fontId="4" fillId="10" borderId="1" xfId="0" applyFont="1" applyFill="1" applyBorder="1" applyAlignment="1">
      <alignment horizontal="left" vertical="center" wrapText="1"/>
    </xf>
    <xf numFmtId="0" fontId="4" fillId="10" borderId="1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/>
    <xf numFmtId="0" fontId="4" fillId="9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left"/>
    </xf>
    <xf numFmtId="0" fontId="10" fillId="9" borderId="0" xfId="0" applyFont="1" applyFill="1"/>
    <xf numFmtId="0" fontId="4" fillId="6" borderId="1" xfId="0" applyFont="1" applyFill="1" applyBorder="1" applyAlignment="1"/>
    <xf numFmtId="0" fontId="4" fillId="12" borderId="1" xfId="0" applyFont="1" applyFill="1" applyBorder="1" applyAlignment="1">
      <alignment horizontal="center"/>
    </xf>
    <xf numFmtId="0" fontId="4" fillId="15" borderId="1" xfId="0" applyFont="1" applyFill="1" applyBorder="1" applyAlignment="1">
      <alignment horizontal="center"/>
    </xf>
    <xf numFmtId="0" fontId="4" fillId="15" borderId="1" xfId="0" applyFont="1" applyFill="1" applyBorder="1" applyAlignment="1">
      <alignment horizontal="left"/>
    </xf>
    <xf numFmtId="0" fontId="0" fillId="5" borderId="0" xfId="0" applyFill="1" applyAlignment="1"/>
    <xf numFmtId="49" fontId="0" fillId="0" borderId="0" xfId="0" applyNumberFormat="1"/>
    <xf numFmtId="0" fontId="20" fillId="5" borderId="0" xfId="0" applyFont="1" applyFill="1"/>
    <xf numFmtId="0" fontId="20" fillId="12" borderId="1" xfId="0" applyFont="1" applyFill="1" applyBorder="1"/>
    <xf numFmtId="0" fontId="4" fillId="16" borderId="1" xfId="0" applyFont="1" applyFill="1" applyBorder="1" applyAlignment="1">
      <alignment horizontal="left"/>
    </xf>
    <xf numFmtId="0" fontId="4" fillId="16" borderId="1" xfId="0" applyFont="1" applyFill="1" applyBorder="1"/>
    <xf numFmtId="0" fontId="4" fillId="16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 vertical="center"/>
    </xf>
    <xf numFmtId="0" fontId="0" fillId="16" borderId="1" xfId="0" applyFill="1" applyBorder="1"/>
    <xf numFmtId="0" fontId="0" fillId="15" borderId="1" xfId="0" applyFill="1" applyBorder="1" applyAlignment="1">
      <alignment horizontal="center"/>
    </xf>
    <xf numFmtId="0" fontId="4" fillId="15" borderId="1" xfId="0" applyFont="1" applyFill="1" applyBorder="1" applyAlignment="1">
      <alignment horizontal="center" vertical="center"/>
    </xf>
    <xf numFmtId="0" fontId="0" fillId="15" borderId="1" xfId="0" applyFill="1" applyBorder="1" applyAlignment="1">
      <alignment horizontal="left"/>
    </xf>
    <xf numFmtId="0" fontId="0" fillId="17" borderId="1" xfId="0" applyFill="1" applyBorder="1" applyAlignment="1">
      <alignment horizontal="center"/>
    </xf>
    <xf numFmtId="0" fontId="0" fillId="9" borderId="1" xfId="0" applyFill="1" applyBorder="1" applyAlignment="1">
      <alignment horizontal="left"/>
    </xf>
    <xf numFmtId="0" fontId="4" fillId="9" borderId="0" xfId="0" applyFont="1" applyFill="1" applyAlignment="1">
      <alignment horizontal="center" vertical="center"/>
    </xf>
    <xf numFmtId="0" fontId="0" fillId="9" borderId="11" xfId="0" applyFill="1" applyBorder="1" applyAlignment="1">
      <alignment horizontal="center"/>
    </xf>
    <xf numFmtId="0" fontId="0" fillId="17" borderId="1" xfId="0" applyFill="1" applyBorder="1"/>
    <xf numFmtId="0" fontId="0" fillId="6" borderId="1" xfId="0" applyFill="1" applyBorder="1" applyAlignment="1">
      <alignment horizontal="left"/>
    </xf>
    <xf numFmtId="0" fontId="0" fillId="6" borderId="0" xfId="0" applyFill="1"/>
    <xf numFmtId="0" fontId="4" fillId="11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left" vertical="center"/>
    </xf>
    <xf numFmtId="0" fontId="0" fillId="11" borderId="1" xfId="0" applyFill="1" applyBorder="1" applyAlignment="1">
      <alignment horizontal="left"/>
    </xf>
    <xf numFmtId="0" fontId="4" fillId="11" borderId="1" xfId="0" applyFont="1" applyFill="1" applyBorder="1" applyAlignment="1">
      <alignment horizontal="center"/>
    </xf>
    <xf numFmtId="0" fontId="4" fillId="11" borderId="0" xfId="0" applyFont="1" applyFill="1" applyBorder="1" applyAlignment="1">
      <alignment horizontal="center" vertical="center" wrapText="1"/>
    </xf>
    <xf numFmtId="0" fontId="4" fillId="11" borderId="0" xfId="0" applyFont="1" applyFill="1" applyAlignment="1">
      <alignment horizontal="center" vertical="center"/>
    </xf>
    <xf numFmtId="0" fontId="4" fillId="18" borderId="1" xfId="0" applyFont="1" applyFill="1" applyBorder="1" applyAlignment="1">
      <alignment horizontal="center"/>
    </xf>
    <xf numFmtId="0" fontId="4" fillId="18" borderId="1" xfId="0" applyFont="1" applyFill="1" applyBorder="1" applyAlignment="1">
      <alignment horizontal="center" vertical="center"/>
    </xf>
    <xf numFmtId="0" fontId="0" fillId="18" borderId="1" xfId="0" applyFill="1" applyBorder="1" applyAlignment="1">
      <alignment horizontal="center"/>
    </xf>
    <xf numFmtId="0" fontId="6" fillId="18" borderId="0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left" vertical="center"/>
    </xf>
    <xf numFmtId="0" fontId="4" fillId="18" borderId="1" xfId="0" applyFont="1" applyFill="1" applyBorder="1" applyAlignment="1">
      <alignment horizontal="left"/>
    </xf>
    <xf numFmtId="0" fontId="6" fillId="18" borderId="1" xfId="0" applyFont="1" applyFill="1" applyBorder="1" applyAlignment="1">
      <alignment horizontal="center" vertical="center"/>
    </xf>
    <xf numFmtId="0" fontId="6" fillId="18" borderId="0" xfId="0" applyFont="1" applyFill="1" applyAlignment="1">
      <alignment horizontal="center" vertical="center"/>
    </xf>
    <xf numFmtId="0" fontId="4" fillId="18" borderId="11" xfId="0" applyFont="1" applyFill="1" applyBorder="1" applyAlignment="1">
      <alignment horizontal="left" vertical="center"/>
    </xf>
    <xf numFmtId="0" fontId="4" fillId="18" borderId="11" xfId="0" applyFont="1" applyFill="1" applyBorder="1" applyAlignment="1">
      <alignment horizontal="center" vertical="center"/>
    </xf>
    <xf numFmtId="0" fontId="4" fillId="18" borderId="11" xfId="0" applyFont="1" applyFill="1" applyBorder="1" applyAlignment="1">
      <alignment horizontal="left"/>
    </xf>
    <xf numFmtId="0" fontId="4" fillId="18" borderId="11" xfId="0" applyFont="1" applyFill="1" applyBorder="1" applyAlignment="1">
      <alignment horizontal="center"/>
    </xf>
    <xf numFmtId="0" fontId="0" fillId="18" borderId="1" xfId="0" applyFill="1" applyBorder="1" applyAlignment="1">
      <alignment horizontal="left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right"/>
    </xf>
    <xf numFmtId="2" fontId="1" fillId="0" borderId="0" xfId="0" applyNumberFormat="1" applyFont="1" applyBorder="1" applyAlignment="1">
      <alignment horizontal="right" vertical="center" wrapText="1"/>
    </xf>
    <xf numFmtId="2" fontId="26" fillId="5" borderId="0" xfId="0" applyNumberFormat="1" applyFont="1" applyFill="1" applyAlignment="1">
      <alignment horizontal="center"/>
    </xf>
    <xf numFmtId="2" fontId="4" fillId="13" borderId="1" xfId="0" applyNumberFormat="1" applyFont="1" applyFill="1" applyBorder="1" applyAlignment="1">
      <alignment horizontal="center"/>
    </xf>
    <xf numFmtId="2" fontId="0" fillId="5" borderId="0" xfId="0" applyNumberFormat="1" applyFill="1" applyAlignment="1">
      <alignment horizontal="right"/>
    </xf>
    <xf numFmtId="2" fontId="20" fillId="8" borderId="0" xfId="0" applyNumberFormat="1" applyFont="1" applyFill="1" applyAlignment="1">
      <alignment horizontal="right"/>
    </xf>
    <xf numFmtId="2" fontId="25" fillId="8" borderId="0" xfId="0" applyNumberFormat="1" applyFont="1" applyFill="1" applyBorder="1" applyAlignment="1">
      <alignment horizontal="right" vertical="top" wrapText="1"/>
    </xf>
    <xf numFmtId="2" fontId="5" fillId="8" borderId="0" xfId="0" applyNumberFormat="1" applyFont="1" applyFill="1" applyAlignment="1">
      <alignment horizontal="right"/>
    </xf>
    <xf numFmtId="2" fontId="7" fillId="8" borderId="0" xfId="0" applyNumberFormat="1" applyFont="1" applyFill="1" applyAlignment="1">
      <alignment horizontal="right"/>
    </xf>
    <xf numFmtId="2" fontId="6" fillId="8" borderId="0" xfId="0" applyNumberFormat="1" applyFont="1" applyFill="1" applyAlignment="1">
      <alignment horizontal="right"/>
    </xf>
    <xf numFmtId="0" fontId="0" fillId="18" borderId="1" xfId="0" applyFill="1" applyBorder="1"/>
    <xf numFmtId="0" fontId="0" fillId="0" borderId="0" xfId="0" applyAlignment="1">
      <alignment horizontal="center"/>
    </xf>
    <xf numFmtId="0" fontId="29" fillId="19" borderId="12" xfId="0" applyFont="1" applyFill="1" applyBorder="1"/>
    <xf numFmtId="0" fontId="0" fillId="20" borderId="12" xfId="0" applyFill="1" applyBorder="1" applyAlignment="1">
      <alignment horizontal="center"/>
    </xf>
    <xf numFmtId="0" fontId="0" fillId="19" borderId="12" xfId="0" applyFill="1" applyBorder="1" applyAlignment="1">
      <alignment horizontal="center"/>
    </xf>
    <xf numFmtId="0" fontId="29" fillId="19" borderId="12" xfId="0" applyFont="1" applyFill="1" applyBorder="1" applyAlignment="1">
      <alignment horizontal="left"/>
    </xf>
    <xf numFmtId="0" fontId="0" fillId="19" borderId="12" xfId="0" applyFont="1" applyFill="1" applyBorder="1"/>
    <xf numFmtId="2" fontId="0" fillId="19" borderId="12" xfId="0" applyNumberFormat="1" applyFill="1" applyBorder="1" applyAlignment="1">
      <alignment horizontal="right"/>
    </xf>
    <xf numFmtId="0" fontId="29" fillId="19" borderId="12" xfId="0" applyFont="1" applyFill="1" applyBorder="1" applyAlignment="1">
      <alignment horizontal="center"/>
    </xf>
    <xf numFmtId="0" fontId="0" fillId="19" borderId="0" xfId="0" applyFill="1" applyBorder="1"/>
    <xf numFmtId="0" fontId="29" fillId="21" borderId="12" xfId="0" applyFont="1" applyFill="1" applyBorder="1" applyAlignment="1">
      <alignment horizontal="center"/>
    </xf>
    <xf numFmtId="0" fontId="29" fillId="23" borderId="12" xfId="0" applyFont="1" applyFill="1" applyBorder="1" applyAlignment="1">
      <alignment horizontal="center"/>
    </xf>
    <xf numFmtId="0" fontId="0" fillId="24" borderId="12" xfId="0" applyFont="1" applyFill="1" applyBorder="1"/>
    <xf numFmtId="0" fontId="0" fillId="24" borderId="12" xfId="0" applyFont="1" applyFill="1" applyBorder="1" applyAlignment="1">
      <alignment horizontal="center"/>
    </xf>
    <xf numFmtId="0" fontId="6" fillId="11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/>
    </xf>
    <xf numFmtId="0" fontId="4" fillId="7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left"/>
    </xf>
    <xf numFmtId="0" fontId="4" fillId="7" borderId="1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left" vertical="center"/>
    </xf>
    <xf numFmtId="0" fontId="6" fillId="7" borderId="1" xfId="0" applyFont="1" applyFill="1" applyBorder="1" applyAlignment="1">
      <alignment horizontal="center" vertical="center"/>
    </xf>
    <xf numFmtId="0" fontId="0" fillId="7" borderId="1" xfId="0" applyFill="1" applyBorder="1"/>
    <xf numFmtId="0" fontId="4" fillId="15" borderId="1" xfId="0" applyFont="1" applyFill="1" applyBorder="1" applyAlignment="1">
      <alignment horizontal="left" vertical="center"/>
    </xf>
    <xf numFmtId="0" fontId="6" fillId="15" borderId="1" xfId="0" applyFont="1" applyFill="1" applyBorder="1" applyAlignment="1">
      <alignment horizontal="center" vertical="center"/>
    </xf>
    <xf numFmtId="0" fontId="0" fillId="15" borderId="1" xfId="0" applyFill="1" applyBorder="1"/>
    <xf numFmtId="0" fontId="18" fillId="5" borderId="10" xfId="0" applyFont="1" applyFill="1" applyBorder="1"/>
    <xf numFmtId="0" fontId="18" fillId="5" borderId="10" xfId="0" applyFont="1" applyFill="1" applyBorder="1" applyAlignment="1">
      <alignment horizontal="center"/>
    </xf>
    <xf numFmtId="0" fontId="29" fillId="25" borderId="1" xfId="0" applyFont="1" applyFill="1" applyBorder="1" applyAlignment="1">
      <alignment horizontal="center"/>
    </xf>
    <xf numFmtId="0" fontId="0" fillId="7" borderId="1" xfId="0" applyFill="1" applyBorder="1" applyAlignment="1"/>
    <xf numFmtId="0" fontId="4" fillId="7" borderId="1" xfId="0" applyFont="1" applyFill="1" applyBorder="1" applyAlignment="1">
      <alignment horizontal="center" vertical="center" wrapText="1"/>
    </xf>
    <xf numFmtId="0" fontId="29" fillId="26" borderId="1" xfId="0" applyFont="1" applyFill="1" applyBorder="1" applyAlignment="1">
      <alignment horizontal="center"/>
    </xf>
    <xf numFmtId="0" fontId="6" fillId="15" borderId="1" xfId="0" applyFont="1" applyFill="1" applyBorder="1" applyAlignment="1">
      <alignment horizontal="center"/>
    </xf>
    <xf numFmtId="0" fontId="10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10" fillId="8" borderId="0" xfId="0" applyFont="1" applyFill="1" applyBorder="1"/>
    <xf numFmtId="0" fontId="12" fillId="8" borderId="0" xfId="0" applyFont="1" applyFill="1" applyBorder="1"/>
    <xf numFmtId="0" fontId="29" fillId="27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9" borderId="14" xfId="0" applyFill="1" applyBorder="1"/>
    <xf numFmtId="0" fontId="4" fillId="13" borderId="14" xfId="0" applyFont="1" applyFill="1" applyBorder="1"/>
    <xf numFmtId="0" fontId="4" fillId="6" borderId="14" xfId="0" applyFont="1" applyFill="1" applyBorder="1"/>
    <xf numFmtId="0" fontId="4" fillId="6" borderId="0" xfId="0" applyFont="1" applyFill="1"/>
    <xf numFmtId="0" fontId="4" fillId="13" borderId="14" xfId="0" applyFont="1" applyFill="1" applyBorder="1" applyAlignment="1">
      <alignment vertical="top" wrapText="1"/>
    </xf>
    <xf numFmtId="0" fontId="0" fillId="9" borderId="15" xfId="0" applyFill="1" applyBorder="1"/>
    <xf numFmtId="0" fontId="0" fillId="9" borderId="11" xfId="0" applyFill="1" applyBorder="1"/>
    <xf numFmtId="0" fontId="29" fillId="29" borderId="12" xfId="0" applyFont="1" applyFill="1" applyBorder="1" applyAlignment="1"/>
    <xf numFmtId="0" fontId="29" fillId="29" borderId="12" xfId="0" applyFont="1" applyFill="1" applyBorder="1" applyAlignment="1">
      <alignment horizontal="center"/>
    </xf>
    <xf numFmtId="0" fontId="29" fillId="29" borderId="12" xfId="0" applyFont="1" applyFill="1" applyBorder="1"/>
    <xf numFmtId="0" fontId="30" fillId="29" borderId="0" xfId="0" applyFont="1" applyFill="1"/>
    <xf numFmtId="0" fontId="29" fillId="28" borderId="12" xfId="0" applyFont="1" applyFill="1" applyBorder="1" applyAlignment="1">
      <alignment horizontal="center"/>
    </xf>
    <xf numFmtId="0" fontId="0" fillId="11" borderId="14" xfId="0" applyFill="1" applyBorder="1"/>
    <xf numFmtId="0" fontId="29" fillId="28" borderId="12" xfId="0" applyFont="1" applyFill="1" applyBorder="1" applyAlignment="1"/>
    <xf numFmtId="0" fontId="30" fillId="28" borderId="0" xfId="0" applyFont="1" applyFill="1"/>
    <xf numFmtId="0" fontId="29" fillId="25" borderId="12" xfId="0" applyFont="1" applyFill="1" applyBorder="1" applyAlignment="1">
      <alignment vertical="center"/>
    </xf>
    <xf numFmtId="0" fontId="29" fillId="25" borderId="12" xfId="0" applyFont="1" applyFill="1" applyBorder="1" applyAlignment="1">
      <alignment horizontal="center"/>
    </xf>
    <xf numFmtId="0" fontId="0" fillId="15" borderId="14" xfId="0" applyFill="1" applyBorder="1"/>
    <xf numFmtId="0" fontId="29" fillId="25" borderId="12" xfId="0" applyFont="1" applyFill="1" applyBorder="1" applyAlignment="1">
      <alignment horizontal="center" vertical="center"/>
    </xf>
    <xf numFmtId="0" fontId="30" fillId="25" borderId="0" xfId="0" applyFont="1" applyFill="1" applyAlignment="1">
      <alignment horizontal="center" vertical="center"/>
    </xf>
    <xf numFmtId="0" fontId="30" fillId="25" borderId="0" xfId="0" applyFont="1" applyFill="1"/>
    <xf numFmtId="0" fontId="29" fillId="23" borderId="12" xfId="0" applyFont="1" applyFill="1" applyBorder="1" applyAlignment="1">
      <alignment vertical="center"/>
    </xf>
    <xf numFmtId="0" fontId="29" fillId="23" borderId="12" xfId="0" applyFont="1" applyFill="1" applyBorder="1" applyAlignment="1">
      <alignment horizontal="center" vertical="center"/>
    </xf>
    <xf numFmtId="0" fontId="30" fillId="23" borderId="0" xfId="0" applyFont="1" applyFill="1" applyAlignment="1">
      <alignment horizontal="center" vertical="center"/>
    </xf>
    <xf numFmtId="0" fontId="4" fillId="17" borderId="14" xfId="0" applyFont="1" applyFill="1" applyBorder="1"/>
    <xf numFmtId="0" fontId="29" fillId="23" borderId="12" xfId="0" applyFont="1" applyFill="1" applyBorder="1" applyAlignment="1"/>
    <xf numFmtId="0" fontId="30" fillId="23" borderId="0" xfId="0" applyFont="1" applyFill="1"/>
    <xf numFmtId="0" fontId="4" fillId="9" borderId="11" xfId="0" applyFont="1" applyFill="1" applyBorder="1" applyAlignment="1">
      <alignment horizontal="center"/>
    </xf>
    <xf numFmtId="0" fontId="4" fillId="17" borderId="1" xfId="0" applyFont="1" applyFill="1" applyBorder="1" applyAlignment="1">
      <alignment horizontal="center"/>
    </xf>
    <xf numFmtId="0" fontId="0" fillId="13" borderId="14" xfId="0" applyFill="1" applyBorder="1" applyAlignment="1">
      <alignment vertical="top" wrapText="1"/>
    </xf>
    <xf numFmtId="0" fontId="0" fillId="13" borderId="1" xfId="0" applyFill="1" applyBorder="1" applyAlignment="1">
      <alignment vertical="top" wrapText="1"/>
    </xf>
    <xf numFmtId="0" fontId="4" fillId="3" borderId="1" xfId="0" applyFont="1" applyFill="1" applyBorder="1" applyAlignment="1"/>
    <xf numFmtId="0" fontId="0" fillId="3" borderId="14" xfId="0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4" fillId="3" borderId="0" xfId="0" applyFont="1" applyFill="1"/>
    <xf numFmtId="0" fontId="4" fillId="3" borderId="1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14" borderId="14" xfId="0" applyFill="1" applyBorder="1" applyAlignment="1">
      <alignment vertical="top" wrapText="1"/>
    </xf>
    <xf numFmtId="0" fontId="0" fillId="6" borderId="14" xfId="0" applyFill="1" applyBorder="1" applyAlignment="1">
      <alignment vertical="top" wrapText="1"/>
    </xf>
    <xf numFmtId="0" fontId="0" fillId="2" borderId="14" xfId="0" applyFill="1" applyBorder="1" applyAlignment="1">
      <alignment vertical="top" wrapText="1"/>
    </xf>
    <xf numFmtId="0" fontId="4" fillId="16" borderId="1" xfId="0" applyFont="1" applyFill="1" applyBorder="1" applyAlignment="1">
      <alignment horizontal="center" vertical="center"/>
    </xf>
    <xf numFmtId="0" fontId="0" fillId="16" borderId="14" xfId="0" applyFill="1" applyBorder="1" applyAlignment="1">
      <alignment vertical="top" wrapText="1"/>
    </xf>
    <xf numFmtId="0" fontId="0" fillId="16" borderId="1" xfId="0" applyFont="1" applyFill="1" applyBorder="1" applyAlignment="1">
      <alignment vertical="center"/>
    </xf>
    <xf numFmtId="0" fontId="4" fillId="16" borderId="1" xfId="0" applyFont="1" applyFill="1" applyBorder="1" applyAlignment="1">
      <alignment horizontal="left" vertical="center" wrapText="1"/>
    </xf>
    <xf numFmtId="0" fontId="4" fillId="16" borderId="1" xfId="0" applyFont="1" applyFill="1" applyBorder="1" applyAlignment="1">
      <alignment horizontal="center" vertical="center" wrapText="1"/>
    </xf>
    <xf numFmtId="0" fontId="6" fillId="16" borderId="0" xfId="0" applyFont="1" applyFill="1" applyBorder="1"/>
    <xf numFmtId="0" fontId="0" fillId="10" borderId="14" xfId="0" applyFill="1" applyBorder="1" applyAlignment="1">
      <alignment vertical="top" wrapText="1"/>
    </xf>
    <xf numFmtId="0" fontId="0" fillId="10" borderId="1" xfId="0" applyFill="1" applyBorder="1" applyAlignment="1">
      <alignment vertical="top" wrapText="1"/>
    </xf>
    <xf numFmtId="0" fontId="0" fillId="18" borderId="14" xfId="0" applyFill="1" applyBorder="1" applyAlignment="1">
      <alignment vertical="top" wrapText="1"/>
    </xf>
    <xf numFmtId="0" fontId="0" fillId="11" borderId="14" xfId="0" applyFill="1" applyBorder="1" applyAlignment="1">
      <alignment vertical="top" wrapText="1"/>
    </xf>
    <xf numFmtId="0" fontId="4" fillId="2" borderId="14" xfId="0" applyFont="1" applyFill="1" applyBorder="1" applyAlignment="1">
      <alignment vertical="top" wrapText="1"/>
    </xf>
    <xf numFmtId="0" fontId="0" fillId="18" borderId="0" xfId="0" applyFill="1"/>
    <xf numFmtId="0" fontId="0" fillId="18" borderId="1" xfId="0" applyFill="1" applyBorder="1" applyAlignment="1">
      <alignment vertical="top" wrapText="1"/>
    </xf>
    <xf numFmtId="0" fontId="4" fillId="14" borderId="1" xfId="0" applyFont="1" applyFill="1" applyBorder="1"/>
    <xf numFmtId="0" fontId="0" fillId="14" borderId="1" xfId="0" applyFill="1" applyBorder="1"/>
    <xf numFmtId="0" fontId="0" fillId="14" borderId="1" xfId="0" applyFill="1" applyBorder="1" applyAlignment="1">
      <alignment horizontal="center" vertical="top"/>
    </xf>
    <xf numFmtId="0" fontId="0" fillId="14" borderId="1" xfId="0" applyFill="1" applyBorder="1" applyAlignment="1">
      <alignment horizontal="center"/>
    </xf>
    <xf numFmtId="0" fontId="0" fillId="14" borderId="1" xfId="0" applyFill="1" applyBorder="1" applyAlignment="1">
      <alignment vertical="top" wrapText="1"/>
    </xf>
    <xf numFmtId="0" fontId="0" fillId="9" borderId="1" xfId="0" applyFill="1" applyBorder="1" applyAlignment="1">
      <alignment vertical="center"/>
    </xf>
    <xf numFmtId="0" fontId="4" fillId="9" borderId="1" xfId="0" applyFont="1" applyFill="1" applyBorder="1" applyAlignment="1">
      <alignment horizontal="left" vertical="center" wrapText="1"/>
    </xf>
    <xf numFmtId="0" fontId="4" fillId="9" borderId="1" xfId="0" applyFont="1" applyFill="1" applyBorder="1" applyAlignment="1">
      <alignment horizontal="center" vertical="center" wrapText="1"/>
    </xf>
    <xf numFmtId="0" fontId="6" fillId="9" borderId="0" xfId="0" applyFont="1" applyFill="1" applyBorder="1"/>
    <xf numFmtId="0" fontId="29" fillId="22" borderId="12" xfId="0" applyFont="1" applyFill="1" applyBorder="1" applyAlignment="1">
      <alignment horizontal="left" vertical="center"/>
    </xf>
    <xf numFmtId="0" fontId="29" fillId="22" borderId="12" xfId="0" applyFont="1" applyFill="1" applyBorder="1" applyAlignment="1">
      <alignment horizontal="center" vertical="center"/>
    </xf>
    <xf numFmtId="0" fontId="29" fillId="22" borderId="12" xfId="0" applyFont="1" applyFill="1" applyBorder="1" applyAlignment="1">
      <alignment horizontal="left"/>
    </xf>
    <xf numFmtId="0" fontId="29" fillId="22" borderId="12" xfId="0" applyFont="1" applyFill="1" applyBorder="1" applyAlignment="1">
      <alignment horizontal="center"/>
    </xf>
    <xf numFmtId="0" fontId="31" fillId="22" borderId="0" xfId="0" applyFont="1" applyFill="1" applyAlignment="1">
      <alignment horizontal="center" vertical="center"/>
    </xf>
    <xf numFmtId="0" fontId="4" fillId="18" borderId="1" xfId="0" applyFont="1" applyFill="1" applyBorder="1" applyAlignment="1"/>
    <xf numFmtId="0" fontId="4" fillId="18" borderId="14" xfId="0" applyFont="1" applyFill="1" applyBorder="1"/>
    <xf numFmtId="0" fontId="4" fillId="18" borderId="1" xfId="0" applyFont="1" applyFill="1" applyBorder="1"/>
    <xf numFmtId="0" fontId="4" fillId="18" borderId="0" xfId="0" applyFont="1" applyFill="1"/>
    <xf numFmtId="14" fontId="4" fillId="18" borderId="1" xfId="0" applyNumberFormat="1" applyFont="1" applyFill="1" applyBorder="1" applyAlignment="1">
      <alignment horizontal="center"/>
    </xf>
    <xf numFmtId="0" fontId="0" fillId="18" borderId="1" xfId="0" applyFont="1" applyFill="1" applyBorder="1"/>
    <xf numFmtId="0" fontId="29" fillId="30" borderId="1" xfId="0" applyFont="1" applyFill="1" applyBorder="1" applyAlignment="1">
      <alignment horizontal="left" vertical="center"/>
    </xf>
    <xf numFmtId="0" fontId="29" fillId="30" borderId="1" xfId="0" applyFont="1" applyFill="1" applyBorder="1" applyAlignment="1">
      <alignment horizontal="center" vertical="center"/>
    </xf>
    <xf numFmtId="0" fontId="29" fillId="30" borderId="1" xfId="0" applyFont="1" applyFill="1" applyBorder="1" applyAlignment="1">
      <alignment horizontal="left"/>
    </xf>
    <xf numFmtId="0" fontId="29" fillId="30" borderId="1" xfId="0" applyFont="1" applyFill="1" applyBorder="1" applyAlignment="1">
      <alignment horizontal="center"/>
    </xf>
    <xf numFmtId="0" fontId="29" fillId="18" borderId="1" xfId="0" applyFont="1" applyFill="1" applyBorder="1" applyAlignment="1">
      <alignment horizontal="center"/>
    </xf>
    <xf numFmtId="0" fontId="31" fillId="18" borderId="1" xfId="0" applyFont="1" applyFill="1" applyBorder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0" fillId="11" borderId="0" xfId="0" applyFill="1"/>
    <xf numFmtId="0" fontId="29" fillId="21" borderId="1" xfId="0" applyFont="1" applyFill="1" applyBorder="1" applyAlignment="1">
      <alignment horizontal="center"/>
    </xf>
    <xf numFmtId="0" fontId="29" fillId="19" borderId="13" xfId="0" applyFont="1" applyFill="1" applyBorder="1"/>
    <xf numFmtId="0" fontId="0" fillId="20" borderId="13" xfId="0" applyFill="1" applyBorder="1" applyAlignment="1">
      <alignment horizontal="center"/>
    </xf>
    <xf numFmtId="0" fontId="0" fillId="19" borderId="13" xfId="0" applyFill="1" applyBorder="1" applyAlignment="1">
      <alignment horizontal="center"/>
    </xf>
    <xf numFmtId="0" fontId="29" fillId="19" borderId="13" xfId="0" applyFont="1" applyFill="1" applyBorder="1" applyAlignment="1">
      <alignment horizontal="left"/>
    </xf>
    <xf numFmtId="0" fontId="0" fillId="19" borderId="13" xfId="0" applyFont="1" applyFill="1" applyBorder="1"/>
    <xf numFmtId="2" fontId="0" fillId="19" borderId="13" xfId="0" applyNumberFormat="1" applyFill="1" applyBorder="1" applyAlignment="1">
      <alignment horizontal="right"/>
    </xf>
    <xf numFmtId="0" fontId="29" fillId="19" borderId="13" xfId="0" applyFont="1" applyFill="1" applyBorder="1" applyAlignment="1">
      <alignment horizontal="center"/>
    </xf>
    <xf numFmtId="0" fontId="29" fillId="31" borderId="1" xfId="0" applyFont="1" applyFill="1" applyBorder="1"/>
    <xf numFmtId="0" fontId="0" fillId="31" borderId="1" xfId="0" applyFill="1" applyBorder="1" applyAlignment="1">
      <alignment horizontal="center"/>
    </xf>
    <xf numFmtId="0" fontId="29" fillId="31" borderId="1" xfId="0" applyFont="1" applyFill="1" applyBorder="1" applyAlignment="1">
      <alignment horizontal="left"/>
    </xf>
    <xf numFmtId="0" fontId="0" fillId="31" borderId="1" xfId="0" applyFont="1" applyFill="1" applyBorder="1"/>
    <xf numFmtId="2" fontId="0" fillId="31" borderId="1" xfId="0" applyNumberFormat="1" applyFill="1" applyBorder="1" applyAlignment="1">
      <alignment horizontal="right"/>
    </xf>
    <xf numFmtId="0" fontId="29" fillId="31" borderId="1" xfId="0" applyFont="1" applyFill="1" applyBorder="1" applyAlignment="1">
      <alignment horizontal="center"/>
    </xf>
    <xf numFmtId="0" fontId="0" fillId="31" borderId="1" xfId="0" applyFill="1" applyBorder="1"/>
    <xf numFmtId="0" fontId="6" fillId="15" borderId="0" xfId="0" applyFont="1" applyFill="1" applyBorder="1"/>
    <xf numFmtId="0" fontId="4" fillId="15" borderId="1" xfId="0" applyFont="1" applyFill="1" applyBorder="1"/>
    <xf numFmtId="2" fontId="4" fillId="15" borderId="1" xfId="0" applyNumberFormat="1" applyFont="1" applyFill="1" applyBorder="1" applyAlignment="1">
      <alignment horizontal="center"/>
    </xf>
    <xf numFmtId="0" fontId="4" fillId="15" borderId="9" xfId="0" applyFont="1" applyFill="1" applyBorder="1"/>
    <xf numFmtId="0" fontId="0" fillId="10" borderId="1" xfId="0" applyFill="1" applyBorder="1" applyAlignment="1">
      <alignment horizontal="left"/>
    </xf>
    <xf numFmtId="0" fontId="0" fillId="10" borderId="0" xfId="0" applyFill="1"/>
    <xf numFmtId="0" fontId="4" fillId="13" borderId="1" xfId="0" applyFont="1" applyFill="1" applyBorder="1"/>
    <xf numFmtId="0" fontId="4" fillId="13" borderId="1" xfId="0" applyFont="1" applyFill="1" applyBorder="1"/>
    <xf numFmtId="0" fontId="4" fillId="4" borderId="1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29" fillId="32" borderId="1" xfId="0" applyFont="1" applyFill="1" applyBorder="1" applyAlignment="1">
      <alignment horizontal="center"/>
    </xf>
    <xf numFmtId="0" fontId="0" fillId="4" borderId="1" xfId="0" applyFill="1" applyBorder="1" applyAlignment="1"/>
    <xf numFmtId="0" fontId="0" fillId="4" borderId="1" xfId="0" applyFill="1" applyBorder="1" applyAlignment="1">
      <alignment horizontal="center"/>
    </xf>
    <xf numFmtId="0" fontId="0" fillId="4" borderId="1" xfId="0" applyFill="1" applyBorder="1"/>
    <xf numFmtId="0" fontId="4" fillId="12" borderId="11" xfId="0" applyFont="1" applyFill="1" applyBorder="1"/>
    <xf numFmtId="0" fontId="0" fillId="12" borderId="11" xfId="0" applyFill="1" applyBorder="1" applyAlignment="1">
      <alignment horizontal="center"/>
    </xf>
    <xf numFmtId="0" fontId="4" fillId="12" borderId="11" xfId="0" applyFont="1" applyFill="1" applyBorder="1" applyAlignment="1">
      <alignment horizontal="left"/>
    </xf>
    <xf numFmtId="0" fontId="0" fillId="12" borderId="11" xfId="0" applyFill="1" applyBorder="1"/>
    <xf numFmtId="2" fontId="0" fillId="12" borderId="11" xfId="0" applyNumberFormat="1" applyFill="1" applyBorder="1" applyAlignment="1">
      <alignment horizontal="right"/>
    </xf>
    <xf numFmtId="0" fontId="4" fillId="12" borderId="11" xfId="0" applyFont="1" applyFill="1" applyBorder="1" applyAlignment="1">
      <alignment horizontal="center"/>
    </xf>
    <xf numFmtId="0" fontId="20" fillId="12" borderId="11" xfId="0" applyFont="1" applyFill="1" applyBorder="1"/>
    <xf numFmtId="0" fontId="0" fillId="8" borderId="1" xfId="0" applyFill="1" applyBorder="1"/>
    <xf numFmtId="0" fontId="0" fillId="18" borderId="0" xfId="0" applyFill="1" applyBorder="1"/>
    <xf numFmtId="0" fontId="29" fillId="25" borderId="16" xfId="0" applyFont="1" applyFill="1" applyBorder="1" applyAlignment="1"/>
    <xf numFmtId="0" fontId="29" fillId="25" borderId="16" xfId="0" applyFont="1" applyFill="1" applyBorder="1" applyAlignment="1">
      <alignment horizontal="center"/>
    </xf>
    <xf numFmtId="0" fontId="0" fillId="15" borderId="15" xfId="0" applyFill="1" applyBorder="1" applyAlignment="1">
      <alignment vertical="top" wrapText="1"/>
    </xf>
    <xf numFmtId="0" fontId="0" fillId="15" borderId="11" xfId="0" applyFill="1" applyBorder="1"/>
    <xf numFmtId="0" fontId="0" fillId="15" borderId="11" xfId="0" applyFill="1" applyBorder="1" applyAlignment="1">
      <alignment horizontal="center"/>
    </xf>
    <xf numFmtId="0" fontId="29" fillId="25" borderId="16" xfId="0" applyFont="1" applyFill="1" applyBorder="1"/>
    <xf numFmtId="0" fontId="4" fillId="11" borderId="10" xfId="0" applyFont="1" applyFill="1" applyBorder="1" applyAlignment="1">
      <alignment horizontal="left" vertical="center"/>
    </xf>
    <xf numFmtId="0" fontId="4" fillId="11" borderId="10" xfId="0" applyFont="1" applyFill="1" applyBorder="1" applyAlignment="1">
      <alignment horizontal="center" vertical="center"/>
    </xf>
    <xf numFmtId="0" fontId="4" fillId="11" borderId="10" xfId="0" applyFont="1" applyFill="1" applyBorder="1" applyAlignment="1">
      <alignment horizontal="left"/>
    </xf>
    <xf numFmtId="0" fontId="4" fillId="11" borderId="10" xfId="0" applyFont="1" applyFill="1" applyBorder="1" applyAlignment="1">
      <alignment horizontal="center"/>
    </xf>
    <xf numFmtId="0" fontId="29" fillId="28" borderId="13" xfId="0" applyFont="1" applyFill="1" applyBorder="1" applyAlignment="1">
      <alignment horizontal="center"/>
    </xf>
    <xf numFmtId="0" fontId="6" fillId="11" borderId="10" xfId="0" applyFont="1" applyFill="1" applyBorder="1" applyAlignment="1">
      <alignment horizontal="center" vertical="center"/>
    </xf>
    <xf numFmtId="0" fontId="29" fillId="25" borderId="1" xfId="0" applyFont="1" applyFill="1" applyBorder="1" applyAlignment="1"/>
    <xf numFmtId="0" fontId="0" fillId="15" borderId="1" xfId="0" applyFill="1" applyBorder="1" applyAlignment="1">
      <alignment vertical="top" wrapText="1"/>
    </xf>
    <xf numFmtId="0" fontId="29" fillId="25" borderId="1" xfId="0" applyFont="1" applyFill="1" applyBorder="1"/>
    <xf numFmtId="0" fontId="30" fillId="25" borderId="1" xfId="0" applyFont="1" applyFill="1" applyBorder="1"/>
    <xf numFmtId="0" fontId="0" fillId="18" borderId="14" xfId="0" applyFill="1" applyBorder="1"/>
    <xf numFmtId="0" fontId="29" fillId="33" borderId="12" xfId="0" applyFont="1" applyFill="1" applyBorder="1" applyAlignment="1"/>
    <xf numFmtId="0" fontId="29" fillId="33" borderId="12" xfId="0" applyFont="1" applyFill="1" applyBorder="1" applyAlignment="1">
      <alignment horizontal="center"/>
    </xf>
    <xf numFmtId="0" fontId="0" fillId="10" borderId="14" xfId="0" applyFill="1" applyBorder="1"/>
    <xf numFmtId="0" fontId="30" fillId="33" borderId="0" xfId="0" applyFont="1" applyFill="1"/>
    <xf numFmtId="0" fontId="0" fillId="15" borderId="0" xfId="0" applyFill="1" applyBorder="1"/>
    <xf numFmtId="0" fontId="4" fillId="11" borderId="1" xfId="0" applyFont="1" applyFill="1" applyBorder="1" applyAlignment="1">
      <alignment horizontal="left"/>
    </xf>
    <xf numFmtId="0" fontId="0" fillId="11" borderId="1" xfId="0" applyFill="1" applyBorder="1"/>
    <xf numFmtId="0" fontId="4" fillId="11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left" vertical="center"/>
    </xf>
    <xf numFmtId="0" fontId="4" fillId="11" borderId="1" xfId="0" applyFont="1" applyFill="1" applyBorder="1" applyAlignment="1">
      <alignment horizontal="center"/>
    </xf>
    <xf numFmtId="0" fontId="6" fillId="11" borderId="1" xfId="0" applyFont="1" applyFill="1" applyBorder="1" applyAlignment="1">
      <alignment horizontal="center" vertical="center"/>
    </xf>
    <xf numFmtId="0" fontId="29" fillId="28" borderId="12" xfId="0" applyFont="1" applyFill="1" applyBorder="1" applyAlignment="1">
      <alignment horizontal="center"/>
    </xf>
    <xf numFmtId="0" fontId="4" fillId="18" borderId="1" xfId="0" applyFont="1" applyFill="1" applyBorder="1" applyAlignment="1">
      <alignment horizontal="center"/>
    </xf>
    <xf numFmtId="0" fontId="0" fillId="18" borderId="1" xfId="0" applyFill="1" applyBorder="1" applyAlignment="1">
      <alignment horizontal="center"/>
    </xf>
    <xf numFmtId="0" fontId="4" fillId="18" borderId="1" xfId="0" applyFont="1" applyFill="1" applyBorder="1" applyAlignment="1">
      <alignment horizontal="left"/>
    </xf>
    <xf numFmtId="0" fontId="0" fillId="18" borderId="1" xfId="0" applyFill="1" applyBorder="1"/>
    <xf numFmtId="0" fontId="4" fillId="18" borderId="1" xfId="0" applyFont="1" applyFill="1" applyBorder="1"/>
    <xf numFmtId="2" fontId="0" fillId="18" borderId="1" xfId="0" applyNumberFormat="1" applyFill="1" applyBorder="1" applyAlignment="1">
      <alignment horizontal="right"/>
    </xf>
    <xf numFmtId="0" fontId="20" fillId="18" borderId="1" xfId="0" applyFont="1" applyFill="1" applyBorder="1"/>
    <xf numFmtId="0" fontId="24" fillId="18" borderId="1" xfId="0" applyFont="1" applyFill="1" applyBorder="1"/>
    <xf numFmtId="0" fontId="4" fillId="18" borderId="1" xfId="0" applyFont="1" applyFill="1" applyBorder="1" applyAlignment="1">
      <alignment horizontal="center"/>
    </xf>
    <xf numFmtId="0" fontId="0" fillId="18" borderId="1" xfId="0" applyFill="1" applyBorder="1" applyAlignment="1">
      <alignment horizontal="center"/>
    </xf>
    <xf numFmtId="0" fontId="4" fillId="18" borderId="1" xfId="0" applyFont="1" applyFill="1" applyBorder="1" applyAlignment="1">
      <alignment horizontal="left"/>
    </xf>
    <xf numFmtId="0" fontId="0" fillId="18" borderId="1" xfId="0" applyFill="1" applyBorder="1"/>
    <xf numFmtId="49" fontId="4" fillId="13" borderId="1" xfId="0" applyNumberFormat="1" applyFont="1" applyFill="1" applyBorder="1" applyAlignment="1">
      <alignment horizontal="center"/>
    </xf>
    <xf numFmtId="0" fontId="4" fillId="13" borderId="10" xfId="0" applyFont="1" applyFill="1" applyBorder="1" applyAlignment="1"/>
    <xf numFmtId="0" fontId="4" fillId="13" borderId="10" xfId="0" applyFont="1" applyFill="1" applyBorder="1" applyAlignment="1">
      <alignment horizontal="center"/>
    </xf>
    <xf numFmtId="0" fontId="4" fillId="13" borderId="17" xfId="0" applyFont="1" applyFill="1" applyBorder="1"/>
    <xf numFmtId="0" fontId="4" fillId="13" borderId="10" xfId="0" applyFont="1" applyFill="1" applyBorder="1"/>
    <xf numFmtId="0" fontId="4" fillId="6" borderId="10" xfId="0" applyFont="1" applyFill="1" applyBorder="1" applyAlignment="1">
      <alignment horizontal="center"/>
    </xf>
    <xf numFmtId="0" fontId="4" fillId="11" borderId="1" xfId="0" applyFont="1" applyFill="1" applyBorder="1" applyAlignment="1"/>
    <xf numFmtId="0" fontId="29" fillId="28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1" xfId="0" applyFill="1" applyBorder="1" applyAlignment="1">
      <alignment horizontal="left" wrapText="1"/>
    </xf>
    <xf numFmtId="0" fontId="0" fillId="15" borderId="1" xfId="0" applyFill="1" applyBorder="1" applyAlignment="1">
      <alignment horizontal="left" wrapText="1"/>
    </xf>
    <xf numFmtId="0" fontId="0" fillId="18" borderId="1" xfId="0" applyFill="1" applyBorder="1" applyAlignment="1">
      <alignment horizontal="left" wrapText="1"/>
    </xf>
    <xf numFmtId="0" fontId="0" fillId="34" borderId="1" xfId="0" applyFill="1" applyBorder="1"/>
    <xf numFmtId="0" fontId="0" fillId="34" borderId="1" xfId="0" applyFill="1" applyBorder="1" applyAlignment="1">
      <alignment horizontal="center"/>
    </xf>
    <xf numFmtId="0" fontId="0" fillId="34" borderId="1" xfId="0" applyFill="1" applyBorder="1" applyAlignment="1">
      <alignment horizontal="left" wrapText="1"/>
    </xf>
    <xf numFmtId="0" fontId="4" fillId="2" borderId="1" xfId="0" applyFont="1" applyFill="1" applyBorder="1" applyAlignment="1">
      <alignment horizontal="left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13" borderId="1" xfId="0" applyFont="1" applyFill="1" applyBorder="1"/>
    <xf numFmtId="0" fontId="0" fillId="13" borderId="1" xfId="0" applyFill="1" applyBorder="1" applyAlignment="1">
      <alignment horizontal="center"/>
    </xf>
    <xf numFmtId="0" fontId="0" fillId="13" borderId="1" xfId="0" applyFill="1" applyBorder="1"/>
    <xf numFmtId="0" fontId="27" fillId="13" borderId="1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4" fillId="35" borderId="1" xfId="0" applyFont="1" applyFill="1" applyBorder="1" applyAlignment="1">
      <alignment horizontal="left" vertical="center"/>
    </xf>
    <xf numFmtId="0" fontId="4" fillId="35" borderId="1" xfId="0" applyFont="1" applyFill="1" applyBorder="1" applyAlignment="1">
      <alignment horizontal="center" vertical="center"/>
    </xf>
    <xf numFmtId="0" fontId="0" fillId="35" borderId="1" xfId="0" applyFill="1" applyBorder="1"/>
    <xf numFmtId="0" fontId="4" fillId="35" borderId="1" xfId="0" applyFont="1" applyFill="1" applyBorder="1" applyAlignment="1">
      <alignment horizontal="left"/>
    </xf>
    <xf numFmtId="0" fontId="4" fillId="35" borderId="1" xfId="0" applyFont="1" applyFill="1" applyBorder="1" applyAlignment="1">
      <alignment horizontal="center"/>
    </xf>
    <xf numFmtId="0" fontId="0" fillId="35" borderId="1" xfId="0" applyFill="1" applyBorder="1" applyAlignment="1">
      <alignment horizontal="center"/>
    </xf>
    <xf numFmtId="0" fontId="6" fillId="35" borderId="1" xfId="0" applyFont="1" applyFill="1" applyBorder="1" applyAlignment="1">
      <alignment horizontal="center" vertical="center"/>
    </xf>
    <xf numFmtId="0" fontId="0" fillId="35" borderId="1" xfId="0" applyFill="1" applyBorder="1" applyAlignment="1">
      <alignment horizontal="left"/>
    </xf>
    <xf numFmtId="0" fontId="27" fillId="8" borderId="0" xfId="0" applyFont="1" applyFill="1" applyBorder="1" applyAlignment="1">
      <alignment vertical="center"/>
    </xf>
    <xf numFmtId="0" fontId="4" fillId="34" borderId="1" xfId="0" applyFont="1" applyFill="1" applyBorder="1" applyAlignment="1">
      <alignment horizontal="center" vertical="center"/>
    </xf>
    <xf numFmtId="0" fontId="4" fillId="34" borderId="1" xfId="0" applyFont="1" applyFill="1" applyBorder="1" applyAlignment="1">
      <alignment horizontal="left"/>
    </xf>
    <xf numFmtId="0" fontId="0" fillId="34" borderId="1" xfId="0" applyFill="1" applyBorder="1" applyAlignment="1">
      <alignment horizontal="left"/>
    </xf>
    <xf numFmtId="0" fontId="0" fillId="10" borderId="1" xfId="0" applyFill="1" applyBorder="1" applyAlignment="1"/>
    <xf numFmtId="0" fontId="29" fillId="33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0" fillId="25" borderId="11" xfId="0" applyFont="1" applyFill="1" applyBorder="1"/>
    <xf numFmtId="0" fontId="14" fillId="8" borderId="0" xfId="0" applyFont="1" applyFill="1" applyBorder="1" applyAlignment="1">
      <alignment horizontal="center" vertical="top"/>
    </xf>
    <xf numFmtId="0" fontId="9" fillId="8" borderId="0" xfId="0" applyFont="1" applyFill="1" applyBorder="1" applyAlignment="1">
      <alignment horizontal="center" vertical="top"/>
    </xf>
    <xf numFmtId="0" fontId="0" fillId="0" borderId="0" xfId="0" applyAlignment="1">
      <alignment horizontal="center"/>
    </xf>
  </cellXfs>
  <cellStyles count="1">
    <cellStyle name="Обычный" xfId="0" builtinId="0"/>
  </cellStyles>
  <dxfs count="1">
    <dxf>
      <font>
        <color theme="0"/>
      </font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1" defaultTableStyle="TableStyleMedium9" defaultPivotStyle="PivotStyleLight16">
    <tableStyle name="Стиль таблицы 1" pivot="0" count="1">
      <tableStyleElement type="firstRowStripe" size="4" dxfId="0"/>
    </tableStyle>
  </tableStyles>
  <colors>
    <mruColors>
      <color rgb="FFCCFFCC"/>
      <color rgb="FF0066FF"/>
      <color rgb="FFC516D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</xdr:row>
          <xdr:rowOff>57150</xdr:rowOff>
        </xdr:from>
        <xdr:to>
          <xdr:col>7</xdr:col>
          <xdr:colOff>1495425</xdr:colOff>
          <xdr:row>2</xdr:row>
          <xdr:rowOff>28575</xdr:rowOff>
        </xdr:to>
        <xdr:sp macro="" textlink="">
          <xdr:nvSpPr>
            <xdr:cNvPr id="8193" name="GenProfile2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IV123"/>
  <sheetViews>
    <sheetView zoomScale="85" zoomScaleNormal="85" workbookViewId="0">
      <pane ySplit="4" topLeftCell="A5" activePane="bottomLeft" state="frozen"/>
      <selection pane="bottomLeft" activeCell="J10" sqref="J10"/>
    </sheetView>
  </sheetViews>
  <sheetFormatPr defaultRowHeight="15" x14ac:dyDescent="0.25"/>
  <cols>
    <col min="1" max="1" width="7.5703125" customWidth="1"/>
    <col min="2" max="2" width="5.42578125" style="94" customWidth="1"/>
    <col min="3" max="3" width="5.28515625" style="94" customWidth="1"/>
    <col min="4" max="4" width="26.5703125" style="98" customWidth="1"/>
    <col min="5" max="5" width="42.5703125" style="98" customWidth="1"/>
    <col min="6" max="6" width="26.85546875" style="353" customWidth="1"/>
    <col min="7" max="7" width="8.85546875" style="98"/>
    <col min="8" max="8" width="19.7109375" style="98" customWidth="1"/>
    <col min="9" max="9" width="10.7109375" style="98" customWidth="1"/>
    <col min="10" max="10" width="31.7109375" style="98" customWidth="1"/>
    <col min="11" max="11" width="7.5703125" style="1" customWidth="1"/>
    <col min="12" max="12" width="16.140625" style="218" customWidth="1"/>
    <col min="13" max="13" width="12.7109375" customWidth="1"/>
    <col min="14" max="14" width="70.140625" customWidth="1"/>
  </cols>
  <sheetData>
    <row r="1" spans="1:15" ht="14.45" x14ac:dyDescent="0.3">
      <c r="A1" s="6"/>
    </row>
    <row r="2" spans="1:15" ht="14.45" x14ac:dyDescent="0.3">
      <c r="A2" s="6"/>
      <c r="B2" s="94" t="s">
        <v>21</v>
      </c>
      <c r="C2" s="94" t="s">
        <v>119</v>
      </c>
    </row>
    <row r="3" spans="1:15" ht="66" customHeight="1" x14ac:dyDescent="0.25">
      <c r="A3" s="6"/>
      <c r="B3" s="77" t="s">
        <v>117</v>
      </c>
      <c r="C3" s="76" t="s">
        <v>118</v>
      </c>
    </row>
    <row r="4" spans="1:15" s="2" customFormat="1" ht="24.6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4" t="s">
        <v>19</v>
      </c>
      <c r="L4" s="4" t="s">
        <v>7</v>
      </c>
      <c r="M4" s="4" t="s">
        <v>8</v>
      </c>
      <c r="N4" s="5" t="s">
        <v>12</v>
      </c>
      <c r="O4" s="4" t="s">
        <v>13</v>
      </c>
    </row>
    <row r="5" spans="1:15" s="102" customFormat="1" x14ac:dyDescent="0.25">
      <c r="A5" s="110" t="s">
        <v>22</v>
      </c>
      <c r="B5" s="103">
        <v>1</v>
      </c>
      <c r="C5" s="103">
        <v>1</v>
      </c>
      <c r="D5" s="104" t="s">
        <v>54</v>
      </c>
      <c r="E5" s="104"/>
      <c r="F5" s="103" t="s">
        <v>24</v>
      </c>
      <c r="G5" s="103">
        <v>1024</v>
      </c>
      <c r="H5" s="103" t="s">
        <v>28</v>
      </c>
      <c r="I5" s="103" t="s">
        <v>26</v>
      </c>
      <c r="J5" s="103" t="s">
        <v>18</v>
      </c>
      <c r="K5" s="103"/>
      <c r="L5" s="103" t="s">
        <v>55</v>
      </c>
      <c r="N5" s="102" t="s">
        <v>55</v>
      </c>
    </row>
    <row r="6" spans="1:15" s="224" customFormat="1" x14ac:dyDescent="0.25">
      <c r="A6" s="518" t="s">
        <v>22</v>
      </c>
      <c r="B6" s="519">
        <v>1</v>
      </c>
      <c r="C6" s="519">
        <v>1</v>
      </c>
      <c r="D6" s="520" t="s">
        <v>636</v>
      </c>
      <c r="E6" s="521" t="s">
        <v>354</v>
      </c>
      <c r="F6" s="519" t="s">
        <v>87</v>
      </c>
      <c r="G6" s="519">
        <v>1024</v>
      </c>
      <c r="H6" s="519" t="s">
        <v>28</v>
      </c>
      <c r="I6" s="519" t="s">
        <v>26</v>
      </c>
      <c r="J6" s="522" t="s">
        <v>82</v>
      </c>
      <c r="K6" s="519"/>
      <c r="L6" s="519">
        <v>1.4</v>
      </c>
      <c r="M6" s="519">
        <v>32</v>
      </c>
      <c r="N6" s="520" t="s">
        <v>733</v>
      </c>
    </row>
    <row r="7" spans="1:15" s="224" customFormat="1" x14ac:dyDescent="0.25">
      <c r="A7" s="222" t="s">
        <v>22</v>
      </c>
      <c r="B7" s="213">
        <v>1</v>
      </c>
      <c r="C7" s="213">
        <v>1</v>
      </c>
      <c r="D7" s="355" t="s">
        <v>533</v>
      </c>
      <c r="E7" s="198" t="s">
        <v>582</v>
      </c>
      <c r="F7" s="213" t="s">
        <v>87</v>
      </c>
      <c r="G7" s="213">
        <v>1024</v>
      </c>
      <c r="H7" s="213" t="s">
        <v>28</v>
      </c>
      <c r="I7" s="213" t="s">
        <v>26</v>
      </c>
      <c r="J7" s="214" t="s">
        <v>82</v>
      </c>
      <c r="K7" s="213"/>
      <c r="L7" s="213">
        <v>0</v>
      </c>
      <c r="M7" s="213">
        <v>32</v>
      </c>
      <c r="N7" s="355" t="s">
        <v>584</v>
      </c>
    </row>
    <row r="8" spans="1:15" s="357" customFormat="1" x14ac:dyDescent="0.25">
      <c r="A8" s="262" t="s">
        <v>22</v>
      </c>
      <c r="B8" s="214">
        <v>1</v>
      </c>
      <c r="C8" s="214">
        <v>1</v>
      </c>
      <c r="D8" s="356" t="s">
        <v>351</v>
      </c>
      <c r="E8" s="201" t="s">
        <v>355</v>
      </c>
      <c r="F8" s="214" t="s">
        <v>87</v>
      </c>
      <c r="G8" s="214">
        <v>1024</v>
      </c>
      <c r="H8" s="214" t="s">
        <v>28</v>
      </c>
      <c r="I8" s="214" t="s">
        <v>26</v>
      </c>
      <c r="J8" s="214" t="s">
        <v>82</v>
      </c>
      <c r="K8" s="214"/>
      <c r="L8" s="517" t="s">
        <v>944</v>
      </c>
      <c r="M8" s="214">
        <v>32</v>
      </c>
      <c r="N8" s="356" t="s">
        <v>366</v>
      </c>
    </row>
    <row r="9" spans="1:15" s="224" customFormat="1" x14ac:dyDescent="0.25">
      <c r="A9" s="222" t="s">
        <v>22</v>
      </c>
      <c r="B9" s="213">
        <v>1</v>
      </c>
      <c r="C9" s="213">
        <v>1</v>
      </c>
      <c r="D9" s="355" t="s">
        <v>352</v>
      </c>
      <c r="E9" s="198" t="s">
        <v>356</v>
      </c>
      <c r="F9" s="213" t="s">
        <v>88</v>
      </c>
      <c r="G9" s="213">
        <v>1024</v>
      </c>
      <c r="H9" s="213" t="s">
        <v>28</v>
      </c>
      <c r="I9" s="213" t="s">
        <v>26</v>
      </c>
      <c r="J9" s="213" t="s">
        <v>82</v>
      </c>
      <c r="K9" s="213"/>
      <c r="L9" s="213" t="s">
        <v>134</v>
      </c>
      <c r="M9" s="213">
        <v>32</v>
      </c>
      <c r="N9" s="355" t="s">
        <v>367</v>
      </c>
    </row>
    <row r="10" spans="1:15" s="224" customFormat="1" x14ac:dyDescent="0.25">
      <c r="A10" s="222" t="s">
        <v>22</v>
      </c>
      <c r="B10" s="213">
        <v>1</v>
      </c>
      <c r="C10" s="213">
        <v>1</v>
      </c>
      <c r="D10" s="355" t="s">
        <v>353</v>
      </c>
      <c r="E10" s="198" t="s">
        <v>357</v>
      </c>
      <c r="F10" s="213" t="s">
        <v>88</v>
      </c>
      <c r="G10" s="213">
        <v>1024</v>
      </c>
      <c r="H10" s="213" t="s">
        <v>28</v>
      </c>
      <c r="I10" s="213" t="s">
        <v>26</v>
      </c>
      <c r="J10" s="213" t="s">
        <v>82</v>
      </c>
      <c r="K10" s="213"/>
      <c r="L10" s="213" t="s">
        <v>134</v>
      </c>
      <c r="M10" s="213">
        <v>32</v>
      </c>
      <c r="N10" s="355" t="s">
        <v>368</v>
      </c>
    </row>
    <row r="11" spans="1:15" s="224" customFormat="1" x14ac:dyDescent="0.25">
      <c r="A11" s="222" t="s">
        <v>22</v>
      </c>
      <c r="B11" s="213">
        <v>1</v>
      </c>
      <c r="C11" s="213">
        <v>1</v>
      </c>
      <c r="D11" s="355" t="s">
        <v>358</v>
      </c>
      <c r="E11" s="198" t="s">
        <v>358</v>
      </c>
      <c r="F11" s="213" t="s">
        <v>89</v>
      </c>
      <c r="G11" s="213">
        <v>1024</v>
      </c>
      <c r="H11" s="213" t="s">
        <v>28</v>
      </c>
      <c r="I11" s="213" t="s">
        <v>26</v>
      </c>
      <c r="J11" s="213" t="s">
        <v>284</v>
      </c>
      <c r="K11" s="213"/>
      <c r="L11" s="213" t="s">
        <v>134</v>
      </c>
      <c r="M11" s="213">
        <v>64</v>
      </c>
      <c r="N11" s="355" t="s">
        <v>583</v>
      </c>
    </row>
    <row r="12" spans="1:15" s="224" customFormat="1" x14ac:dyDescent="0.25">
      <c r="A12" s="222" t="s">
        <v>22</v>
      </c>
      <c r="B12" s="213">
        <v>1</v>
      </c>
      <c r="C12" s="213">
        <v>1</v>
      </c>
      <c r="D12" s="355" t="s">
        <v>534</v>
      </c>
      <c r="E12" s="198" t="s">
        <v>160</v>
      </c>
      <c r="F12" s="213" t="s">
        <v>89</v>
      </c>
      <c r="G12" s="213">
        <v>1024</v>
      </c>
      <c r="H12" s="213" t="s">
        <v>28</v>
      </c>
      <c r="I12" s="213" t="s">
        <v>26</v>
      </c>
      <c r="J12" s="213" t="s">
        <v>284</v>
      </c>
      <c r="K12" s="213"/>
      <c r="L12" s="213" t="s">
        <v>134</v>
      </c>
      <c r="M12" s="213">
        <v>64</v>
      </c>
      <c r="N12" s="355" t="s">
        <v>535</v>
      </c>
    </row>
    <row r="13" spans="1:15" s="224" customFormat="1" x14ac:dyDescent="0.25">
      <c r="A13" s="222" t="s">
        <v>22</v>
      </c>
      <c r="B13" s="213">
        <v>1</v>
      </c>
      <c r="C13" s="213">
        <v>1</v>
      </c>
      <c r="D13" s="355" t="s">
        <v>57</v>
      </c>
      <c r="E13" s="198" t="s">
        <v>57</v>
      </c>
      <c r="F13" s="213" t="s">
        <v>89</v>
      </c>
      <c r="G13" s="213">
        <v>1024</v>
      </c>
      <c r="H13" s="213" t="s">
        <v>28</v>
      </c>
      <c r="I13" s="213" t="s">
        <v>26</v>
      </c>
      <c r="J13" s="213" t="s">
        <v>284</v>
      </c>
      <c r="K13" s="213"/>
      <c r="L13" s="213" t="s">
        <v>134</v>
      </c>
      <c r="M13" s="213">
        <v>64</v>
      </c>
      <c r="N13" s="355" t="s">
        <v>536</v>
      </c>
    </row>
    <row r="14" spans="1:15" s="224" customFormat="1" x14ac:dyDescent="0.25">
      <c r="A14" s="222" t="s">
        <v>22</v>
      </c>
      <c r="B14" s="213">
        <v>2</v>
      </c>
      <c r="C14" s="213">
        <v>1</v>
      </c>
      <c r="D14" s="358" t="s">
        <v>359</v>
      </c>
      <c r="E14" s="198" t="s">
        <v>404</v>
      </c>
      <c r="F14" s="213" t="s">
        <v>89</v>
      </c>
      <c r="G14" s="213">
        <v>1024</v>
      </c>
      <c r="H14" s="213" t="s">
        <v>28</v>
      </c>
      <c r="I14" s="213" t="s">
        <v>26</v>
      </c>
      <c r="J14" s="213" t="s">
        <v>284</v>
      </c>
      <c r="K14" s="213"/>
      <c r="L14" s="213" t="s">
        <v>370</v>
      </c>
      <c r="M14" s="213">
        <v>64</v>
      </c>
      <c r="N14" s="358" t="s">
        <v>369</v>
      </c>
    </row>
    <row r="15" spans="1:15" s="224" customFormat="1" x14ac:dyDescent="0.25">
      <c r="A15" s="222" t="s">
        <v>22</v>
      </c>
      <c r="B15" s="213">
        <v>1</v>
      </c>
      <c r="C15" s="213">
        <v>1</v>
      </c>
      <c r="D15" s="383" t="s">
        <v>537</v>
      </c>
      <c r="E15" s="384" t="s">
        <v>408</v>
      </c>
      <c r="F15" s="199" t="s">
        <v>131</v>
      </c>
      <c r="G15" s="213">
        <v>1024</v>
      </c>
      <c r="H15" s="213" t="s">
        <v>28</v>
      </c>
      <c r="I15" s="213" t="s">
        <v>38</v>
      </c>
      <c r="J15" s="213" t="s">
        <v>82</v>
      </c>
      <c r="K15" s="213"/>
      <c r="L15" s="213">
        <v>0</v>
      </c>
      <c r="M15" s="213"/>
      <c r="N15" s="383" t="s">
        <v>538</v>
      </c>
    </row>
    <row r="16" spans="1:15" s="388" customFormat="1" x14ac:dyDescent="0.25">
      <c r="A16" s="385" t="s">
        <v>22</v>
      </c>
      <c r="B16" s="212">
        <v>1</v>
      </c>
      <c r="C16" s="212">
        <v>1</v>
      </c>
      <c r="D16" s="386" t="s">
        <v>406</v>
      </c>
      <c r="E16" s="387" t="s">
        <v>409</v>
      </c>
      <c r="F16" s="191" t="s">
        <v>131</v>
      </c>
      <c r="G16" s="212">
        <v>1024</v>
      </c>
      <c r="H16" s="212" t="s">
        <v>28</v>
      </c>
      <c r="I16" s="212" t="s">
        <v>38</v>
      </c>
      <c r="J16" s="212" t="s">
        <v>18</v>
      </c>
      <c r="K16" s="212"/>
      <c r="L16" s="212"/>
      <c r="M16" s="212"/>
      <c r="N16" s="386" t="s">
        <v>411</v>
      </c>
    </row>
    <row r="17" spans="1:14" s="388" customFormat="1" ht="13.9" customHeight="1" x14ac:dyDescent="0.25">
      <c r="A17" s="385" t="s">
        <v>22</v>
      </c>
      <c r="B17" s="212">
        <v>1</v>
      </c>
      <c r="C17" s="212">
        <v>1</v>
      </c>
      <c r="D17" s="386" t="s">
        <v>407</v>
      </c>
      <c r="E17" s="387" t="s">
        <v>410</v>
      </c>
      <c r="F17" s="191" t="s">
        <v>131</v>
      </c>
      <c r="G17" s="212">
        <v>1024</v>
      </c>
      <c r="H17" s="212" t="s">
        <v>28</v>
      </c>
      <c r="I17" s="212" t="s">
        <v>38</v>
      </c>
      <c r="J17" s="212" t="s">
        <v>18</v>
      </c>
      <c r="K17" s="212"/>
      <c r="L17" s="212"/>
      <c r="M17" s="212"/>
      <c r="N17" s="386" t="s">
        <v>412</v>
      </c>
    </row>
    <row r="18" spans="1:14" s="426" customFormat="1" x14ac:dyDescent="0.25">
      <c r="A18" s="423" t="s">
        <v>22</v>
      </c>
      <c r="B18" s="291">
        <v>2</v>
      </c>
      <c r="C18" s="291">
        <v>1</v>
      </c>
      <c r="D18" s="424" t="s">
        <v>360</v>
      </c>
      <c r="E18" s="425" t="s">
        <v>680</v>
      </c>
      <c r="F18" s="291" t="s">
        <v>87</v>
      </c>
      <c r="G18" s="291">
        <v>1024</v>
      </c>
      <c r="H18" s="291" t="s">
        <v>28</v>
      </c>
      <c r="I18" s="291" t="s">
        <v>26</v>
      </c>
      <c r="J18" s="291" t="s">
        <v>18</v>
      </c>
      <c r="K18" s="291"/>
      <c r="L18" s="291"/>
      <c r="M18" s="291">
        <v>16</v>
      </c>
      <c r="N18" s="424" t="s">
        <v>686</v>
      </c>
    </row>
    <row r="19" spans="1:14" s="426" customFormat="1" x14ac:dyDescent="0.25">
      <c r="A19" s="423" t="s">
        <v>22</v>
      </c>
      <c r="B19" s="291"/>
      <c r="C19" s="291">
        <v>1</v>
      </c>
      <c r="D19" s="424" t="s">
        <v>361</v>
      </c>
      <c r="E19" s="425" t="s">
        <v>681</v>
      </c>
      <c r="F19" s="291" t="s">
        <v>87</v>
      </c>
      <c r="G19" s="291">
        <v>1024</v>
      </c>
      <c r="H19" s="291" t="s">
        <v>28</v>
      </c>
      <c r="I19" s="291" t="s">
        <v>26</v>
      </c>
      <c r="J19" s="291" t="s">
        <v>18</v>
      </c>
      <c r="K19" s="291"/>
      <c r="L19" s="291" t="s">
        <v>134</v>
      </c>
      <c r="M19" s="291">
        <v>16</v>
      </c>
      <c r="N19" s="424" t="s">
        <v>687</v>
      </c>
    </row>
    <row r="20" spans="1:14" s="426" customFormat="1" x14ac:dyDescent="0.25">
      <c r="A20" s="423" t="s">
        <v>22</v>
      </c>
      <c r="B20" s="291"/>
      <c r="C20" s="291">
        <v>1</v>
      </c>
      <c r="D20" s="424" t="s">
        <v>362</v>
      </c>
      <c r="E20" s="425" t="s">
        <v>682</v>
      </c>
      <c r="F20" s="291" t="s">
        <v>87</v>
      </c>
      <c r="G20" s="291">
        <v>1024</v>
      </c>
      <c r="H20" s="291" t="s">
        <v>28</v>
      </c>
      <c r="I20" s="291" t="s">
        <v>26</v>
      </c>
      <c r="J20" s="291" t="s">
        <v>18</v>
      </c>
      <c r="K20" s="291"/>
      <c r="L20" s="291" t="s">
        <v>134</v>
      </c>
      <c r="M20" s="291">
        <v>16</v>
      </c>
      <c r="N20" s="424" t="s">
        <v>688</v>
      </c>
    </row>
    <row r="21" spans="1:14" s="426" customFormat="1" x14ac:dyDescent="0.25">
      <c r="A21" s="423" t="s">
        <v>22</v>
      </c>
      <c r="B21" s="291"/>
      <c r="C21" s="291">
        <v>1</v>
      </c>
      <c r="D21" s="424" t="s">
        <v>363</v>
      </c>
      <c r="E21" s="425" t="s">
        <v>683</v>
      </c>
      <c r="F21" s="291" t="s">
        <v>87</v>
      </c>
      <c r="G21" s="291">
        <v>1024</v>
      </c>
      <c r="H21" s="291" t="s">
        <v>28</v>
      </c>
      <c r="I21" s="325" t="s">
        <v>38</v>
      </c>
      <c r="J21" s="291" t="s">
        <v>18</v>
      </c>
      <c r="K21" s="325" t="s">
        <v>77</v>
      </c>
      <c r="L21" s="427"/>
      <c r="M21" s="291"/>
      <c r="N21" s="424" t="s">
        <v>689</v>
      </c>
    </row>
    <row r="22" spans="1:14" s="426" customFormat="1" x14ac:dyDescent="0.25">
      <c r="A22" s="423" t="s">
        <v>22</v>
      </c>
      <c r="B22" s="291"/>
      <c r="C22" s="291">
        <v>1</v>
      </c>
      <c r="D22" s="424" t="s">
        <v>364</v>
      </c>
      <c r="E22" s="425" t="s">
        <v>684</v>
      </c>
      <c r="F22" s="291" t="s">
        <v>87</v>
      </c>
      <c r="G22" s="291">
        <v>1024</v>
      </c>
      <c r="H22" s="291" t="s">
        <v>28</v>
      </c>
      <c r="I22" s="291" t="s">
        <v>26</v>
      </c>
      <c r="J22" s="291" t="s">
        <v>18</v>
      </c>
      <c r="K22" s="291"/>
      <c r="L22" s="291"/>
      <c r="M22" s="291">
        <v>32</v>
      </c>
      <c r="N22" s="424" t="s">
        <v>690</v>
      </c>
    </row>
    <row r="23" spans="1:14" s="426" customFormat="1" x14ac:dyDescent="0.25">
      <c r="A23" s="423" t="s">
        <v>22</v>
      </c>
      <c r="B23" s="291"/>
      <c r="C23" s="291">
        <v>1</v>
      </c>
      <c r="D23" s="424" t="s">
        <v>365</v>
      </c>
      <c r="E23" s="425" t="s">
        <v>685</v>
      </c>
      <c r="F23" s="291" t="s">
        <v>87</v>
      </c>
      <c r="G23" s="291">
        <v>1024</v>
      </c>
      <c r="H23" s="291" t="s">
        <v>28</v>
      </c>
      <c r="I23" s="291" t="s">
        <v>30</v>
      </c>
      <c r="J23" s="291" t="s">
        <v>18</v>
      </c>
      <c r="K23" s="425"/>
      <c r="L23" s="291"/>
      <c r="M23" s="291"/>
      <c r="N23" s="424" t="s">
        <v>691</v>
      </c>
    </row>
    <row r="24" spans="1:14" s="496" customFormat="1" x14ac:dyDescent="0.25">
      <c r="A24" s="493" t="s">
        <v>22</v>
      </c>
      <c r="B24" s="494">
        <v>1</v>
      </c>
      <c r="C24" s="494">
        <v>1</v>
      </c>
      <c r="D24" s="495" t="s">
        <v>646</v>
      </c>
      <c r="E24" s="208" t="s">
        <v>647</v>
      </c>
      <c r="F24" s="215" t="s">
        <v>131</v>
      </c>
      <c r="G24" s="494">
        <v>1024</v>
      </c>
      <c r="H24" s="494" t="s">
        <v>28</v>
      </c>
      <c r="I24" s="494" t="s">
        <v>30</v>
      </c>
      <c r="J24" s="494" t="s">
        <v>18</v>
      </c>
      <c r="K24" s="494"/>
      <c r="L24" s="494"/>
      <c r="M24" s="215"/>
      <c r="N24" s="495" t="s">
        <v>648</v>
      </c>
    </row>
    <row r="25" spans="1:14" s="261" customFormat="1" x14ac:dyDescent="0.25">
      <c r="A25" s="258" t="s">
        <v>22</v>
      </c>
      <c r="B25" s="259">
        <v>1</v>
      </c>
      <c r="C25" s="259">
        <v>1</v>
      </c>
      <c r="D25" s="354" t="s">
        <v>371</v>
      </c>
      <c r="E25" s="211" t="s">
        <v>376</v>
      </c>
      <c r="F25" s="210" t="s">
        <v>88</v>
      </c>
      <c r="G25" s="259">
        <v>1024</v>
      </c>
      <c r="H25" s="259" t="s">
        <v>28</v>
      </c>
      <c r="I25" s="362" t="s">
        <v>26</v>
      </c>
      <c r="J25" s="259" t="s">
        <v>284</v>
      </c>
      <c r="K25" s="209"/>
      <c r="L25" s="259" t="s">
        <v>134</v>
      </c>
      <c r="M25" s="259">
        <v>32</v>
      </c>
      <c r="N25" s="354" t="s">
        <v>722</v>
      </c>
    </row>
    <row r="26" spans="1:14" s="261" customFormat="1" x14ac:dyDescent="0.25">
      <c r="A26" s="258" t="s">
        <v>22</v>
      </c>
      <c r="B26" s="259">
        <v>1</v>
      </c>
      <c r="C26" s="259">
        <v>1</v>
      </c>
      <c r="D26" s="354" t="s">
        <v>372</v>
      </c>
      <c r="E26" s="211" t="s">
        <v>377</v>
      </c>
      <c r="F26" s="210" t="s">
        <v>88</v>
      </c>
      <c r="G26" s="259">
        <v>1024</v>
      </c>
      <c r="H26" s="259" t="s">
        <v>28</v>
      </c>
      <c r="I26" s="362" t="s">
        <v>26</v>
      </c>
      <c r="J26" s="259" t="s">
        <v>284</v>
      </c>
      <c r="K26" s="209"/>
      <c r="L26" s="259" t="s">
        <v>134</v>
      </c>
      <c r="M26" s="259">
        <v>32</v>
      </c>
      <c r="N26" s="354" t="s">
        <v>723</v>
      </c>
    </row>
    <row r="27" spans="1:14" s="261" customFormat="1" x14ac:dyDescent="0.25">
      <c r="A27" s="258" t="s">
        <v>22</v>
      </c>
      <c r="B27" s="259">
        <v>1</v>
      </c>
      <c r="C27" s="259">
        <v>1</v>
      </c>
      <c r="D27" s="359" t="s">
        <v>482</v>
      </c>
      <c r="E27" s="360" t="s">
        <v>378</v>
      </c>
      <c r="F27" s="210" t="s">
        <v>233</v>
      </c>
      <c r="G27" s="259">
        <v>1024</v>
      </c>
      <c r="H27" s="259" t="s">
        <v>28</v>
      </c>
      <c r="I27" s="362" t="s">
        <v>30</v>
      </c>
      <c r="J27" s="259" t="s">
        <v>481</v>
      </c>
      <c r="K27" s="209"/>
      <c r="L27" s="259">
        <v>2</v>
      </c>
      <c r="M27" s="381">
        <v>16</v>
      </c>
      <c r="N27" s="359" t="s">
        <v>724</v>
      </c>
    </row>
    <row r="28" spans="1:14" s="364" customFormat="1" x14ac:dyDescent="0.25">
      <c r="A28" s="361" t="s">
        <v>22</v>
      </c>
      <c r="B28" s="362">
        <v>1</v>
      </c>
      <c r="C28" s="362">
        <v>1</v>
      </c>
      <c r="D28" s="359" t="s">
        <v>539</v>
      </c>
      <c r="E28" s="360" t="s">
        <v>379</v>
      </c>
      <c r="F28" s="281" t="s">
        <v>131</v>
      </c>
      <c r="G28" s="362">
        <v>1024</v>
      </c>
      <c r="H28" s="362" t="s">
        <v>28</v>
      </c>
      <c r="I28" s="362" t="s">
        <v>38</v>
      </c>
      <c r="J28" s="259" t="s">
        <v>18</v>
      </c>
      <c r="K28" s="362"/>
      <c r="L28" s="362">
        <v>13</v>
      </c>
      <c r="M28" s="363"/>
      <c r="N28" s="359" t="s">
        <v>725</v>
      </c>
    </row>
    <row r="29" spans="1:14" s="373" customFormat="1" ht="15" customHeight="1" x14ac:dyDescent="0.25">
      <c r="A29" s="369" t="s">
        <v>22</v>
      </c>
      <c r="B29" s="370">
        <v>2</v>
      </c>
      <c r="C29" s="370">
        <v>1</v>
      </c>
      <c r="D29" s="371" t="s">
        <v>388</v>
      </c>
      <c r="E29" s="340" t="s">
        <v>391</v>
      </c>
      <c r="F29" s="275" t="s">
        <v>87</v>
      </c>
      <c r="G29" s="370">
        <v>1024</v>
      </c>
      <c r="H29" s="370" t="s">
        <v>28</v>
      </c>
      <c r="I29" s="370" t="s">
        <v>26</v>
      </c>
      <c r="J29" s="370" t="s">
        <v>18</v>
      </c>
      <c r="K29" s="372"/>
      <c r="L29" s="372" t="s">
        <v>134</v>
      </c>
      <c r="M29" s="264">
        <v>16</v>
      </c>
      <c r="N29" s="371" t="s">
        <v>394</v>
      </c>
    </row>
    <row r="30" spans="1:14" s="373" customFormat="1" ht="15" customHeight="1" x14ac:dyDescent="0.25">
      <c r="A30" s="369" t="s">
        <v>22</v>
      </c>
      <c r="B30" s="370"/>
      <c r="C30" s="370">
        <v>1</v>
      </c>
      <c r="D30" s="371" t="s">
        <v>389</v>
      </c>
      <c r="E30" s="340" t="s">
        <v>392</v>
      </c>
      <c r="F30" s="275" t="s">
        <v>87</v>
      </c>
      <c r="G30" s="370">
        <v>1024</v>
      </c>
      <c r="H30" s="370" t="s">
        <v>28</v>
      </c>
      <c r="I30" s="370" t="s">
        <v>26</v>
      </c>
      <c r="J30" s="370" t="s">
        <v>18</v>
      </c>
      <c r="K30" s="372"/>
      <c r="L30" s="372" t="s">
        <v>134</v>
      </c>
      <c r="M30" s="264">
        <v>32</v>
      </c>
      <c r="N30" s="371" t="s">
        <v>395</v>
      </c>
    </row>
    <row r="31" spans="1:14" s="374" customFormat="1" x14ac:dyDescent="0.25">
      <c r="A31" s="476" t="s">
        <v>22</v>
      </c>
      <c r="B31" s="477"/>
      <c r="C31" s="477">
        <v>1</v>
      </c>
      <c r="D31" s="478" t="s">
        <v>390</v>
      </c>
      <c r="E31" s="479" t="s">
        <v>393</v>
      </c>
      <c r="F31" s="480" t="s">
        <v>87</v>
      </c>
      <c r="G31" s="477">
        <v>1024</v>
      </c>
      <c r="H31" s="477" t="s">
        <v>28</v>
      </c>
      <c r="I31" s="477" t="s">
        <v>38</v>
      </c>
      <c r="J31" s="477" t="s">
        <v>18</v>
      </c>
      <c r="K31" s="477" t="s">
        <v>313</v>
      </c>
      <c r="L31" s="477"/>
      <c r="M31" s="481"/>
      <c r="N31" s="478" t="s">
        <v>403</v>
      </c>
    </row>
    <row r="32" spans="1:14" s="491" customFormat="1" x14ac:dyDescent="0.25">
      <c r="A32" s="488" t="s">
        <v>22</v>
      </c>
      <c r="B32" s="343"/>
      <c r="C32" s="343">
        <v>1</v>
      </c>
      <c r="D32" s="489" t="s">
        <v>644</v>
      </c>
      <c r="E32" s="340" t="s">
        <v>642</v>
      </c>
      <c r="F32" s="275" t="s">
        <v>87</v>
      </c>
      <c r="G32" s="343">
        <v>1024</v>
      </c>
      <c r="H32" s="343" t="s">
        <v>28</v>
      </c>
      <c r="I32" s="343" t="s">
        <v>26</v>
      </c>
      <c r="J32" s="264" t="s">
        <v>18</v>
      </c>
      <c r="K32" s="343"/>
      <c r="L32" s="343" t="s">
        <v>134</v>
      </c>
      <c r="M32" s="490">
        <v>8</v>
      </c>
      <c r="N32" s="489" t="s">
        <v>643</v>
      </c>
    </row>
    <row r="33" spans="1:256" s="373" customFormat="1" ht="15" customHeight="1" x14ac:dyDescent="0.25">
      <c r="A33" s="476" t="s">
        <v>22</v>
      </c>
      <c r="B33" s="477"/>
      <c r="C33" s="477">
        <v>1</v>
      </c>
      <c r="D33" s="478" t="s">
        <v>874</v>
      </c>
      <c r="E33" s="479" t="s">
        <v>875</v>
      </c>
      <c r="F33" s="480" t="s">
        <v>131</v>
      </c>
      <c r="G33" s="477">
        <v>1024</v>
      </c>
      <c r="H33" s="477" t="s">
        <v>28</v>
      </c>
      <c r="I33" s="477" t="s">
        <v>38</v>
      </c>
      <c r="J33" s="477" t="s">
        <v>18</v>
      </c>
      <c r="K33" s="477" t="s">
        <v>27</v>
      </c>
      <c r="L33" s="477"/>
      <c r="M33" s="481"/>
      <c r="N33" s="478" t="s">
        <v>876</v>
      </c>
    </row>
    <row r="34" spans="1:256" s="373" customFormat="1" ht="15" customHeight="1" x14ac:dyDescent="0.25">
      <c r="A34" s="476" t="s">
        <v>22</v>
      </c>
      <c r="B34" s="477"/>
      <c r="C34" s="477">
        <v>1</v>
      </c>
      <c r="D34" s="478" t="s">
        <v>877</v>
      </c>
      <c r="E34" s="479" t="s">
        <v>878</v>
      </c>
      <c r="F34" s="480" t="s">
        <v>131</v>
      </c>
      <c r="G34" s="477">
        <v>1024</v>
      </c>
      <c r="H34" s="477" t="s">
        <v>28</v>
      </c>
      <c r="I34" s="477" t="s">
        <v>38</v>
      </c>
      <c r="J34" s="477" t="s">
        <v>18</v>
      </c>
      <c r="K34" s="477" t="s">
        <v>27</v>
      </c>
      <c r="L34" s="477"/>
      <c r="M34" s="481"/>
      <c r="N34" s="478" t="s">
        <v>879</v>
      </c>
    </row>
    <row r="35" spans="1:256" s="373" customFormat="1" ht="15" customHeight="1" x14ac:dyDescent="0.25">
      <c r="A35" s="476" t="s">
        <v>22</v>
      </c>
      <c r="B35" s="477"/>
      <c r="C35" s="477">
        <v>1</v>
      </c>
      <c r="D35" s="478" t="s">
        <v>880</v>
      </c>
      <c r="E35" s="479" t="s">
        <v>881</v>
      </c>
      <c r="F35" s="480" t="s">
        <v>131</v>
      </c>
      <c r="G35" s="477">
        <v>1024</v>
      </c>
      <c r="H35" s="477" t="s">
        <v>28</v>
      </c>
      <c r="I35" s="477" t="s">
        <v>38</v>
      </c>
      <c r="J35" s="477" t="s">
        <v>18</v>
      </c>
      <c r="K35" s="477" t="s">
        <v>27</v>
      </c>
      <c r="L35" s="477"/>
      <c r="M35" s="481"/>
      <c r="N35" s="478" t="s">
        <v>882</v>
      </c>
    </row>
    <row r="36" spans="1:256" s="374" customFormat="1" x14ac:dyDescent="0.25">
      <c r="A36" s="476" t="s">
        <v>22</v>
      </c>
      <c r="B36" s="477"/>
      <c r="C36" s="477">
        <v>1</v>
      </c>
      <c r="D36" s="478" t="s">
        <v>883</v>
      </c>
      <c r="E36" s="479" t="s">
        <v>884</v>
      </c>
      <c r="F36" s="480" t="s">
        <v>131</v>
      </c>
      <c r="G36" s="477">
        <v>1024</v>
      </c>
      <c r="H36" s="477" t="s">
        <v>28</v>
      </c>
      <c r="I36" s="477" t="s">
        <v>38</v>
      </c>
      <c r="J36" s="477" t="s">
        <v>18</v>
      </c>
      <c r="K36" s="477" t="s">
        <v>27</v>
      </c>
      <c r="L36" s="477"/>
      <c r="M36" s="481"/>
      <c r="N36" s="478" t="s">
        <v>885</v>
      </c>
    </row>
    <row r="37" spans="1:256" s="556" customFormat="1" x14ac:dyDescent="0.25">
      <c r="A37" s="476" t="s">
        <v>22</v>
      </c>
      <c r="B37" s="477"/>
      <c r="C37" s="477">
        <v>1</v>
      </c>
      <c r="D37" s="478" t="s">
        <v>886</v>
      </c>
      <c r="E37" s="479" t="s">
        <v>887</v>
      </c>
      <c r="F37" s="480" t="s">
        <v>131</v>
      </c>
      <c r="G37" s="477">
        <v>1024</v>
      </c>
      <c r="H37" s="477" t="s">
        <v>28</v>
      </c>
      <c r="I37" s="477" t="s">
        <v>38</v>
      </c>
      <c r="J37" s="477" t="s">
        <v>18</v>
      </c>
      <c r="K37" s="477" t="s">
        <v>27</v>
      </c>
      <c r="L37" s="477"/>
      <c r="M37" s="481"/>
      <c r="N37" s="478" t="s">
        <v>888</v>
      </c>
    </row>
    <row r="38" spans="1:256" s="503" customFormat="1" ht="15" customHeight="1" x14ac:dyDescent="0.25">
      <c r="A38" s="501" t="s">
        <v>22</v>
      </c>
      <c r="B38" s="500">
        <v>1</v>
      </c>
      <c r="C38" s="500">
        <v>1</v>
      </c>
      <c r="D38" s="498" t="s">
        <v>414</v>
      </c>
      <c r="E38" s="498" t="s">
        <v>287</v>
      </c>
      <c r="F38" s="502" t="s">
        <v>88</v>
      </c>
      <c r="G38" s="500">
        <v>1024</v>
      </c>
      <c r="H38" s="524" t="s">
        <v>28</v>
      </c>
      <c r="I38" s="502" t="s">
        <v>26</v>
      </c>
      <c r="J38" s="524" t="s">
        <v>18</v>
      </c>
      <c r="K38" s="502"/>
      <c r="L38" s="500"/>
      <c r="M38" s="498"/>
      <c r="N38" s="498" t="s">
        <v>419</v>
      </c>
      <c r="O38" s="498"/>
      <c r="P38" s="502"/>
      <c r="Q38" s="498"/>
    </row>
    <row r="39" spans="1:256" s="487" customFormat="1" ht="15" customHeight="1" x14ac:dyDescent="0.25">
      <c r="A39" s="482" t="s">
        <v>22</v>
      </c>
      <c r="B39" s="483">
        <v>1</v>
      </c>
      <c r="C39" s="483">
        <v>1</v>
      </c>
      <c r="D39" s="484" t="s">
        <v>656</v>
      </c>
      <c r="E39" s="484" t="s">
        <v>657</v>
      </c>
      <c r="F39" s="485" t="s">
        <v>233</v>
      </c>
      <c r="G39" s="483">
        <v>1024</v>
      </c>
      <c r="H39" s="486" t="s">
        <v>28</v>
      </c>
      <c r="I39" s="485" t="s">
        <v>38</v>
      </c>
      <c r="J39" s="486" t="s">
        <v>18</v>
      </c>
      <c r="K39" s="485"/>
      <c r="L39" s="483"/>
      <c r="M39" s="484" t="s">
        <v>252</v>
      </c>
      <c r="N39" s="484" t="s">
        <v>658</v>
      </c>
      <c r="O39" s="484"/>
      <c r="P39" s="485"/>
      <c r="Q39" s="484"/>
    </row>
    <row r="40" spans="1:256" s="487" customFormat="1" ht="15" customHeight="1" x14ac:dyDescent="0.25">
      <c r="A40" s="501" t="s">
        <v>22</v>
      </c>
      <c r="B40" s="500">
        <v>1</v>
      </c>
      <c r="C40" s="500">
        <v>1</v>
      </c>
      <c r="D40" s="498" t="s">
        <v>659</v>
      </c>
      <c r="E40" s="498" t="s">
        <v>660</v>
      </c>
      <c r="F40" s="485" t="s">
        <v>233</v>
      </c>
      <c r="G40" s="500">
        <v>1024</v>
      </c>
      <c r="H40" s="504" t="s">
        <v>28</v>
      </c>
      <c r="I40" s="502" t="s">
        <v>38</v>
      </c>
      <c r="J40" s="504" t="s">
        <v>18</v>
      </c>
      <c r="K40" s="502"/>
      <c r="L40" s="500"/>
      <c r="M40" s="498" t="s">
        <v>252</v>
      </c>
      <c r="N40" s="498" t="s">
        <v>661</v>
      </c>
      <c r="O40" s="498"/>
      <c r="P40" s="502"/>
      <c r="Q40" s="498"/>
      <c r="R40" s="503"/>
      <c r="S40" s="503"/>
      <c r="T40" s="503"/>
      <c r="U40" s="503"/>
      <c r="V40" s="503"/>
      <c r="W40" s="503"/>
      <c r="X40" s="503"/>
      <c r="Y40" s="503"/>
      <c r="Z40" s="503"/>
      <c r="AA40" s="503"/>
      <c r="AB40" s="503"/>
      <c r="AC40" s="503"/>
      <c r="AD40" s="503"/>
      <c r="AE40" s="503"/>
      <c r="AF40" s="503"/>
      <c r="AG40" s="503"/>
      <c r="AH40" s="503"/>
      <c r="AI40" s="503"/>
      <c r="AJ40" s="503"/>
      <c r="AK40" s="503"/>
      <c r="AL40" s="503"/>
      <c r="AM40" s="503"/>
      <c r="AN40" s="503"/>
      <c r="AO40" s="503"/>
      <c r="AP40" s="503"/>
      <c r="AQ40" s="503"/>
      <c r="AR40" s="503"/>
      <c r="AS40" s="503"/>
      <c r="AT40" s="503"/>
      <c r="AU40" s="503"/>
      <c r="AV40" s="503"/>
      <c r="AW40" s="503"/>
      <c r="AX40" s="503"/>
      <c r="AY40" s="503"/>
      <c r="AZ40" s="503"/>
      <c r="BA40" s="503"/>
      <c r="BB40" s="503"/>
      <c r="BC40" s="503"/>
      <c r="BD40" s="503"/>
      <c r="BE40" s="503"/>
      <c r="BF40" s="503"/>
      <c r="BG40" s="503"/>
      <c r="BH40" s="503"/>
      <c r="BI40" s="503"/>
      <c r="BJ40" s="503"/>
      <c r="BK40" s="503"/>
      <c r="BL40" s="503"/>
      <c r="BM40" s="503"/>
      <c r="BN40" s="503"/>
      <c r="BO40" s="503"/>
      <c r="BP40" s="503"/>
      <c r="BQ40" s="503"/>
      <c r="BR40" s="503"/>
      <c r="BS40" s="503"/>
      <c r="BT40" s="503"/>
      <c r="BU40" s="503"/>
      <c r="BV40" s="503"/>
      <c r="BW40" s="503"/>
      <c r="BX40" s="503"/>
      <c r="BY40" s="503"/>
      <c r="BZ40" s="503"/>
      <c r="CA40" s="503"/>
      <c r="CB40" s="503"/>
      <c r="CC40" s="503"/>
      <c r="CD40" s="503"/>
      <c r="CE40" s="503"/>
      <c r="CF40" s="503"/>
      <c r="CG40" s="503"/>
      <c r="CH40" s="503"/>
      <c r="CI40" s="503"/>
      <c r="CJ40" s="503"/>
      <c r="CK40" s="503"/>
      <c r="CL40" s="503"/>
      <c r="CM40" s="503"/>
      <c r="CN40" s="503"/>
      <c r="CO40" s="503"/>
      <c r="CP40" s="503"/>
      <c r="CQ40" s="503"/>
      <c r="CR40" s="503"/>
      <c r="CS40" s="503"/>
      <c r="CT40" s="503"/>
      <c r="CU40" s="503"/>
      <c r="CV40" s="503"/>
      <c r="CW40" s="503"/>
      <c r="CX40" s="503"/>
      <c r="CY40" s="503"/>
      <c r="CZ40" s="503"/>
      <c r="DA40" s="503"/>
      <c r="DB40" s="503"/>
      <c r="DC40" s="503"/>
      <c r="DD40" s="503"/>
      <c r="DE40" s="503"/>
      <c r="DF40" s="503"/>
      <c r="DG40" s="503"/>
      <c r="DH40" s="503"/>
      <c r="DI40" s="503"/>
      <c r="DJ40" s="503"/>
      <c r="DK40" s="503"/>
      <c r="DL40" s="503"/>
      <c r="DM40" s="503"/>
      <c r="DN40" s="503"/>
      <c r="DO40" s="503"/>
      <c r="DP40" s="503"/>
      <c r="DQ40" s="503"/>
      <c r="DR40" s="503"/>
      <c r="DS40" s="503"/>
      <c r="DT40" s="503"/>
      <c r="DU40" s="503"/>
      <c r="DV40" s="503"/>
      <c r="DW40" s="503"/>
      <c r="DX40" s="503"/>
      <c r="DY40" s="503"/>
      <c r="DZ40" s="503"/>
      <c r="EA40" s="503"/>
      <c r="EB40" s="503"/>
      <c r="EC40" s="503"/>
      <c r="ED40" s="503"/>
      <c r="EE40" s="503"/>
      <c r="EF40" s="503"/>
      <c r="EG40" s="503"/>
      <c r="EH40" s="503"/>
      <c r="EI40" s="503"/>
      <c r="EJ40" s="503"/>
      <c r="EK40" s="503"/>
      <c r="EL40" s="503"/>
      <c r="EM40" s="503"/>
      <c r="EN40" s="503"/>
      <c r="EO40" s="503"/>
      <c r="EP40" s="503"/>
      <c r="EQ40" s="503"/>
      <c r="ER40" s="503"/>
      <c r="ES40" s="503"/>
      <c r="ET40" s="503"/>
      <c r="EU40" s="503"/>
      <c r="EV40" s="503"/>
      <c r="EW40" s="503"/>
      <c r="EX40" s="503"/>
      <c r="EY40" s="503"/>
      <c r="EZ40" s="503"/>
      <c r="FA40" s="503"/>
      <c r="FB40" s="503"/>
      <c r="FC40" s="503"/>
      <c r="FD40" s="503"/>
      <c r="FE40" s="503"/>
      <c r="FF40" s="503"/>
      <c r="FG40" s="503"/>
      <c r="FH40" s="503"/>
      <c r="FI40" s="503"/>
      <c r="FJ40" s="503"/>
      <c r="FK40" s="503"/>
      <c r="FL40" s="503"/>
      <c r="FM40" s="503"/>
      <c r="FN40" s="503"/>
      <c r="FO40" s="503"/>
      <c r="FP40" s="503"/>
      <c r="FQ40" s="503"/>
      <c r="FR40" s="503"/>
      <c r="FS40" s="503"/>
      <c r="FT40" s="503"/>
      <c r="FU40" s="503"/>
      <c r="FV40" s="503"/>
      <c r="FW40" s="503"/>
      <c r="FX40" s="503"/>
      <c r="FY40" s="503"/>
      <c r="FZ40" s="503"/>
      <c r="GA40" s="503"/>
      <c r="GB40" s="503"/>
      <c r="GC40" s="503"/>
      <c r="GD40" s="503"/>
      <c r="GE40" s="503"/>
      <c r="GF40" s="503"/>
      <c r="GG40" s="503"/>
      <c r="GH40" s="503"/>
      <c r="GI40" s="503"/>
      <c r="GJ40" s="503"/>
      <c r="GK40" s="503"/>
      <c r="GL40" s="503"/>
      <c r="GM40" s="503"/>
      <c r="GN40" s="503"/>
      <c r="GO40" s="503"/>
      <c r="GP40" s="503"/>
      <c r="GQ40" s="503"/>
      <c r="GR40" s="503"/>
      <c r="GS40" s="503"/>
      <c r="GT40" s="503"/>
      <c r="GU40" s="503"/>
      <c r="GV40" s="503"/>
      <c r="GW40" s="503"/>
      <c r="GX40" s="503"/>
      <c r="GY40" s="503"/>
      <c r="GZ40" s="503"/>
      <c r="HA40" s="503"/>
      <c r="HB40" s="503"/>
      <c r="HC40" s="503"/>
      <c r="HD40" s="503"/>
      <c r="HE40" s="503"/>
      <c r="HF40" s="503"/>
      <c r="HG40" s="503"/>
      <c r="HH40" s="503"/>
      <c r="HI40" s="503"/>
      <c r="HJ40" s="503"/>
      <c r="HK40" s="503"/>
      <c r="HL40" s="503"/>
      <c r="HM40" s="503"/>
      <c r="HN40" s="503"/>
      <c r="HO40" s="503"/>
      <c r="HP40" s="503"/>
      <c r="HQ40" s="503"/>
      <c r="HR40" s="503"/>
      <c r="HS40" s="503"/>
      <c r="HT40" s="503"/>
      <c r="HU40" s="503"/>
      <c r="HV40" s="503"/>
      <c r="HW40" s="503"/>
      <c r="HX40" s="503"/>
      <c r="HY40" s="503"/>
      <c r="HZ40" s="503"/>
      <c r="IA40" s="503"/>
      <c r="IB40" s="503"/>
      <c r="IC40" s="503"/>
      <c r="ID40" s="503"/>
      <c r="IE40" s="503"/>
      <c r="IF40" s="503"/>
      <c r="IG40" s="503"/>
      <c r="IH40" s="503"/>
      <c r="II40" s="503"/>
      <c r="IJ40" s="503"/>
      <c r="IK40" s="503"/>
      <c r="IL40" s="503"/>
      <c r="IM40" s="503"/>
      <c r="IN40" s="503"/>
      <c r="IO40" s="503"/>
      <c r="IP40" s="503"/>
      <c r="IQ40" s="503"/>
      <c r="IR40" s="503"/>
      <c r="IS40" s="503"/>
      <c r="IT40" s="503"/>
      <c r="IU40" s="503"/>
      <c r="IV40" s="503"/>
    </row>
    <row r="41" spans="1:256" s="487" customFormat="1" ht="15" customHeight="1" x14ac:dyDescent="0.25">
      <c r="A41" s="499" t="s">
        <v>22</v>
      </c>
      <c r="B41" s="500">
        <v>1</v>
      </c>
      <c r="C41" s="500">
        <v>1</v>
      </c>
      <c r="D41" s="501" t="s">
        <v>662</v>
      </c>
      <c r="E41" s="498" t="s">
        <v>663</v>
      </c>
      <c r="F41" s="485" t="s">
        <v>233</v>
      </c>
      <c r="G41" s="500">
        <v>1024</v>
      </c>
      <c r="H41" s="504" t="s">
        <v>28</v>
      </c>
      <c r="I41" s="502" t="s">
        <v>38</v>
      </c>
      <c r="J41" s="504" t="s">
        <v>82</v>
      </c>
      <c r="K41" s="502"/>
      <c r="L41" s="500">
        <v>1000</v>
      </c>
      <c r="M41" s="498" t="s">
        <v>252</v>
      </c>
      <c r="N41" s="501" t="s">
        <v>664</v>
      </c>
      <c r="O41" s="498"/>
      <c r="P41" s="502"/>
      <c r="Q41" s="498"/>
      <c r="R41" s="503"/>
      <c r="S41" s="503"/>
      <c r="T41" s="503"/>
      <c r="U41" s="503"/>
      <c r="V41" s="503"/>
      <c r="W41" s="503"/>
      <c r="X41" s="503"/>
      <c r="Y41" s="503"/>
      <c r="Z41" s="503"/>
      <c r="AA41" s="503"/>
      <c r="AB41" s="503"/>
      <c r="AC41" s="503"/>
      <c r="AD41" s="503"/>
      <c r="AE41" s="503"/>
      <c r="AF41" s="503"/>
      <c r="AG41" s="503"/>
      <c r="AH41" s="503"/>
      <c r="AI41" s="503"/>
      <c r="AJ41" s="503"/>
      <c r="AK41" s="503"/>
      <c r="AL41" s="503"/>
      <c r="AM41" s="503"/>
      <c r="AN41" s="503"/>
      <c r="AO41" s="503"/>
      <c r="AP41" s="503"/>
      <c r="AQ41" s="503"/>
      <c r="AR41" s="503"/>
      <c r="AS41" s="503"/>
      <c r="AT41" s="503"/>
      <c r="AU41" s="503"/>
      <c r="AV41" s="503"/>
      <c r="AW41" s="503"/>
      <c r="AX41" s="503"/>
      <c r="AY41" s="503"/>
      <c r="AZ41" s="503"/>
      <c r="BA41" s="503"/>
      <c r="BB41" s="503"/>
      <c r="BC41" s="503"/>
      <c r="BD41" s="503"/>
      <c r="BE41" s="503"/>
      <c r="BF41" s="503"/>
      <c r="BG41" s="503"/>
      <c r="BH41" s="503"/>
      <c r="BI41" s="503"/>
      <c r="BJ41" s="503"/>
      <c r="BK41" s="503"/>
      <c r="BL41" s="503"/>
      <c r="BM41" s="503"/>
      <c r="BN41" s="503"/>
      <c r="BO41" s="503"/>
      <c r="BP41" s="503"/>
      <c r="BQ41" s="503"/>
      <c r="BR41" s="503"/>
      <c r="BS41" s="503"/>
      <c r="BT41" s="503"/>
      <c r="BU41" s="503"/>
      <c r="BV41" s="503"/>
      <c r="BW41" s="503"/>
      <c r="BX41" s="503"/>
      <c r="BY41" s="503"/>
      <c r="BZ41" s="503"/>
      <c r="CA41" s="503"/>
      <c r="CB41" s="503"/>
      <c r="CC41" s="503"/>
      <c r="CD41" s="503"/>
      <c r="CE41" s="503"/>
      <c r="CF41" s="503"/>
      <c r="CG41" s="503"/>
      <c r="CH41" s="503"/>
      <c r="CI41" s="503"/>
      <c r="CJ41" s="503"/>
      <c r="CK41" s="503"/>
      <c r="CL41" s="503"/>
      <c r="CM41" s="503"/>
      <c r="CN41" s="503"/>
      <c r="CO41" s="503"/>
      <c r="CP41" s="503"/>
      <c r="CQ41" s="503"/>
      <c r="CR41" s="503"/>
      <c r="CS41" s="503"/>
      <c r="CT41" s="503"/>
      <c r="CU41" s="503"/>
      <c r="CV41" s="503"/>
      <c r="CW41" s="503"/>
      <c r="CX41" s="503"/>
      <c r="CY41" s="503"/>
      <c r="CZ41" s="503"/>
      <c r="DA41" s="503"/>
      <c r="DB41" s="503"/>
      <c r="DC41" s="503"/>
      <c r="DD41" s="503"/>
      <c r="DE41" s="503"/>
      <c r="DF41" s="503"/>
      <c r="DG41" s="503"/>
      <c r="DH41" s="503"/>
      <c r="DI41" s="503"/>
      <c r="DJ41" s="503"/>
      <c r="DK41" s="503"/>
      <c r="DL41" s="503"/>
      <c r="DM41" s="503"/>
      <c r="DN41" s="503"/>
      <c r="DO41" s="503"/>
      <c r="DP41" s="503"/>
      <c r="DQ41" s="503"/>
      <c r="DR41" s="503"/>
      <c r="DS41" s="503"/>
      <c r="DT41" s="503"/>
      <c r="DU41" s="503"/>
      <c r="DV41" s="503"/>
      <c r="DW41" s="503"/>
      <c r="DX41" s="503"/>
      <c r="DY41" s="503"/>
      <c r="DZ41" s="503"/>
      <c r="EA41" s="503"/>
      <c r="EB41" s="503"/>
      <c r="EC41" s="503"/>
      <c r="ED41" s="503"/>
      <c r="EE41" s="503"/>
      <c r="EF41" s="503"/>
      <c r="EG41" s="503"/>
      <c r="EH41" s="503"/>
      <c r="EI41" s="503"/>
      <c r="EJ41" s="503"/>
      <c r="EK41" s="503"/>
      <c r="EL41" s="503"/>
      <c r="EM41" s="503"/>
      <c r="EN41" s="503"/>
      <c r="EO41" s="503"/>
      <c r="EP41" s="503"/>
      <c r="EQ41" s="503"/>
      <c r="ER41" s="503"/>
      <c r="ES41" s="503"/>
      <c r="ET41" s="503"/>
      <c r="EU41" s="503"/>
      <c r="EV41" s="503"/>
      <c r="EW41" s="503"/>
      <c r="EX41" s="503"/>
      <c r="EY41" s="503"/>
      <c r="EZ41" s="503"/>
      <c r="FA41" s="503"/>
      <c r="FB41" s="503"/>
      <c r="FC41" s="503"/>
      <c r="FD41" s="503"/>
      <c r="FE41" s="503"/>
      <c r="FF41" s="503"/>
      <c r="FG41" s="503"/>
      <c r="FH41" s="503"/>
      <c r="FI41" s="503"/>
      <c r="FJ41" s="503"/>
      <c r="FK41" s="503"/>
      <c r="FL41" s="503"/>
      <c r="FM41" s="503"/>
      <c r="FN41" s="503"/>
      <c r="FO41" s="503"/>
      <c r="FP41" s="503"/>
      <c r="FQ41" s="503"/>
      <c r="FR41" s="503"/>
      <c r="FS41" s="503"/>
      <c r="FT41" s="503"/>
      <c r="FU41" s="503"/>
      <c r="FV41" s="503"/>
      <c r="FW41" s="503"/>
      <c r="FX41" s="503"/>
      <c r="FY41" s="503"/>
      <c r="FZ41" s="503"/>
      <c r="GA41" s="503"/>
      <c r="GB41" s="503"/>
      <c r="GC41" s="503"/>
      <c r="GD41" s="503"/>
      <c r="GE41" s="503"/>
      <c r="GF41" s="503"/>
      <c r="GG41" s="503"/>
      <c r="GH41" s="503"/>
      <c r="GI41" s="503"/>
      <c r="GJ41" s="503"/>
      <c r="GK41" s="503"/>
      <c r="GL41" s="503"/>
      <c r="GM41" s="503"/>
      <c r="GN41" s="503"/>
      <c r="GO41" s="503"/>
      <c r="GP41" s="503"/>
      <c r="GQ41" s="503"/>
      <c r="GR41" s="503"/>
      <c r="GS41" s="503"/>
      <c r="GT41" s="503"/>
      <c r="GU41" s="503"/>
      <c r="GV41" s="503"/>
      <c r="GW41" s="503"/>
      <c r="GX41" s="503"/>
      <c r="GY41" s="503"/>
      <c r="GZ41" s="503"/>
      <c r="HA41" s="503"/>
      <c r="HB41" s="503"/>
      <c r="HC41" s="503"/>
      <c r="HD41" s="503"/>
      <c r="HE41" s="503"/>
      <c r="HF41" s="503"/>
      <c r="HG41" s="503"/>
      <c r="HH41" s="503"/>
      <c r="HI41" s="503"/>
      <c r="HJ41" s="503"/>
      <c r="HK41" s="503"/>
      <c r="HL41" s="503"/>
      <c r="HM41" s="503"/>
      <c r="HN41" s="503"/>
      <c r="HO41" s="503"/>
      <c r="HP41" s="503"/>
      <c r="HQ41" s="503"/>
      <c r="HR41" s="503"/>
      <c r="HS41" s="503"/>
      <c r="HT41" s="503"/>
      <c r="HU41" s="503"/>
      <c r="HV41" s="503"/>
      <c r="HW41" s="503"/>
      <c r="HX41" s="503"/>
      <c r="HY41" s="503"/>
      <c r="HZ41" s="503"/>
      <c r="IA41" s="503"/>
      <c r="IB41" s="503"/>
      <c r="IC41" s="503"/>
      <c r="ID41" s="503"/>
      <c r="IE41" s="503"/>
      <c r="IF41" s="503"/>
      <c r="IG41" s="503"/>
      <c r="IH41" s="503"/>
      <c r="II41" s="503"/>
      <c r="IJ41" s="503"/>
      <c r="IK41" s="503"/>
      <c r="IL41" s="503"/>
      <c r="IM41" s="503"/>
      <c r="IN41" s="503"/>
      <c r="IO41" s="503"/>
      <c r="IP41" s="503"/>
      <c r="IQ41" s="503"/>
      <c r="IR41" s="503"/>
      <c r="IS41" s="503"/>
      <c r="IT41" s="503"/>
      <c r="IU41" s="503"/>
      <c r="IV41" s="503"/>
    </row>
    <row r="42" spans="1:256" s="487" customFormat="1" ht="15" customHeight="1" x14ac:dyDescent="0.25">
      <c r="A42" s="501" t="s">
        <v>22</v>
      </c>
      <c r="B42" s="500">
        <v>1</v>
      </c>
      <c r="C42" s="500">
        <v>1</v>
      </c>
      <c r="D42" s="498" t="s">
        <v>665</v>
      </c>
      <c r="E42" s="498" t="s">
        <v>666</v>
      </c>
      <c r="F42" s="485" t="s">
        <v>233</v>
      </c>
      <c r="G42" s="500">
        <v>1024</v>
      </c>
      <c r="H42" s="504" t="s">
        <v>28</v>
      </c>
      <c r="I42" s="502" t="s">
        <v>38</v>
      </c>
      <c r="J42" s="504" t="s">
        <v>82</v>
      </c>
      <c r="K42" s="502"/>
      <c r="L42" s="500">
        <v>4000</v>
      </c>
      <c r="M42" s="498" t="s">
        <v>252</v>
      </c>
      <c r="N42" s="498" t="s">
        <v>667</v>
      </c>
      <c r="O42" s="498"/>
      <c r="P42" s="502"/>
      <c r="Q42" s="498"/>
      <c r="R42" s="503"/>
      <c r="S42" s="503"/>
      <c r="T42" s="503"/>
      <c r="U42" s="503"/>
      <c r="V42" s="503"/>
      <c r="W42" s="503"/>
      <c r="X42" s="503"/>
      <c r="Y42" s="503"/>
      <c r="Z42" s="503"/>
      <c r="AA42" s="503"/>
      <c r="AB42" s="503"/>
      <c r="AC42" s="503"/>
      <c r="AD42" s="503"/>
      <c r="AE42" s="503"/>
      <c r="AF42" s="503"/>
      <c r="AG42" s="503"/>
      <c r="AH42" s="503"/>
      <c r="AI42" s="503"/>
      <c r="AJ42" s="503"/>
      <c r="AK42" s="503"/>
      <c r="AL42" s="503"/>
      <c r="AM42" s="503"/>
      <c r="AN42" s="503"/>
      <c r="AO42" s="503"/>
      <c r="AP42" s="503"/>
      <c r="AQ42" s="503"/>
      <c r="AR42" s="503"/>
      <c r="AS42" s="503"/>
      <c r="AT42" s="503"/>
      <c r="AU42" s="503"/>
      <c r="AV42" s="503"/>
      <c r="AW42" s="503"/>
      <c r="AX42" s="503"/>
      <c r="AY42" s="503"/>
      <c r="AZ42" s="503"/>
      <c r="BA42" s="503"/>
      <c r="BB42" s="503"/>
      <c r="BC42" s="503"/>
      <c r="BD42" s="503"/>
      <c r="BE42" s="503"/>
      <c r="BF42" s="503"/>
      <c r="BG42" s="503"/>
      <c r="BH42" s="503"/>
      <c r="BI42" s="503"/>
      <c r="BJ42" s="503"/>
      <c r="BK42" s="503"/>
      <c r="BL42" s="503"/>
      <c r="BM42" s="503"/>
      <c r="BN42" s="503"/>
      <c r="BO42" s="503"/>
      <c r="BP42" s="503"/>
      <c r="BQ42" s="503"/>
      <c r="BR42" s="503"/>
      <c r="BS42" s="503"/>
      <c r="BT42" s="503"/>
      <c r="BU42" s="503"/>
      <c r="BV42" s="503"/>
      <c r="BW42" s="503"/>
      <c r="BX42" s="503"/>
      <c r="BY42" s="503"/>
      <c r="BZ42" s="503"/>
      <c r="CA42" s="503"/>
      <c r="CB42" s="503"/>
      <c r="CC42" s="503"/>
      <c r="CD42" s="503"/>
      <c r="CE42" s="503"/>
      <c r="CF42" s="503"/>
      <c r="CG42" s="503"/>
      <c r="CH42" s="503"/>
      <c r="CI42" s="503"/>
      <c r="CJ42" s="503"/>
      <c r="CK42" s="503"/>
      <c r="CL42" s="503"/>
      <c r="CM42" s="503"/>
      <c r="CN42" s="503"/>
      <c r="CO42" s="503"/>
      <c r="CP42" s="503"/>
      <c r="CQ42" s="503"/>
      <c r="CR42" s="503"/>
      <c r="CS42" s="503"/>
      <c r="CT42" s="503"/>
      <c r="CU42" s="503"/>
      <c r="CV42" s="503"/>
      <c r="CW42" s="503"/>
      <c r="CX42" s="503"/>
      <c r="CY42" s="503"/>
      <c r="CZ42" s="503"/>
      <c r="DA42" s="503"/>
      <c r="DB42" s="503"/>
      <c r="DC42" s="503"/>
      <c r="DD42" s="503"/>
      <c r="DE42" s="503"/>
      <c r="DF42" s="503"/>
      <c r="DG42" s="503"/>
      <c r="DH42" s="503"/>
      <c r="DI42" s="503"/>
      <c r="DJ42" s="503"/>
      <c r="DK42" s="503"/>
      <c r="DL42" s="503"/>
      <c r="DM42" s="503"/>
      <c r="DN42" s="503"/>
      <c r="DO42" s="503"/>
      <c r="DP42" s="503"/>
      <c r="DQ42" s="503"/>
      <c r="DR42" s="503"/>
      <c r="DS42" s="503"/>
      <c r="DT42" s="503"/>
      <c r="DU42" s="503"/>
      <c r="DV42" s="503"/>
      <c r="DW42" s="503"/>
      <c r="DX42" s="503"/>
      <c r="DY42" s="503"/>
      <c r="DZ42" s="503"/>
      <c r="EA42" s="503"/>
      <c r="EB42" s="503"/>
      <c r="EC42" s="503"/>
      <c r="ED42" s="503"/>
      <c r="EE42" s="503"/>
      <c r="EF42" s="503"/>
      <c r="EG42" s="503"/>
      <c r="EH42" s="503"/>
      <c r="EI42" s="503"/>
      <c r="EJ42" s="503"/>
      <c r="EK42" s="503"/>
      <c r="EL42" s="503"/>
      <c r="EM42" s="503"/>
      <c r="EN42" s="503"/>
      <c r="EO42" s="503"/>
      <c r="EP42" s="503"/>
      <c r="EQ42" s="503"/>
      <c r="ER42" s="503"/>
      <c r="ES42" s="503"/>
      <c r="ET42" s="503"/>
      <c r="EU42" s="503"/>
      <c r="EV42" s="503"/>
      <c r="EW42" s="503"/>
      <c r="EX42" s="503"/>
      <c r="EY42" s="503"/>
      <c r="EZ42" s="503"/>
      <c r="FA42" s="503"/>
      <c r="FB42" s="503"/>
      <c r="FC42" s="503"/>
      <c r="FD42" s="503"/>
      <c r="FE42" s="503"/>
      <c r="FF42" s="503"/>
      <c r="FG42" s="503"/>
      <c r="FH42" s="503"/>
      <c r="FI42" s="503"/>
      <c r="FJ42" s="503"/>
      <c r="FK42" s="503"/>
      <c r="FL42" s="503"/>
      <c r="FM42" s="503"/>
      <c r="FN42" s="503"/>
      <c r="FO42" s="503"/>
      <c r="FP42" s="503"/>
      <c r="FQ42" s="503"/>
      <c r="FR42" s="503"/>
      <c r="FS42" s="503"/>
      <c r="FT42" s="503"/>
      <c r="FU42" s="503"/>
      <c r="FV42" s="503"/>
      <c r="FW42" s="503"/>
      <c r="FX42" s="503"/>
      <c r="FY42" s="503"/>
      <c r="FZ42" s="503"/>
      <c r="GA42" s="503"/>
      <c r="GB42" s="503"/>
      <c r="GC42" s="503"/>
      <c r="GD42" s="503"/>
      <c r="GE42" s="503"/>
      <c r="GF42" s="503"/>
      <c r="GG42" s="503"/>
      <c r="GH42" s="503"/>
      <c r="GI42" s="503"/>
      <c r="GJ42" s="503"/>
      <c r="GK42" s="503"/>
      <c r="GL42" s="503"/>
      <c r="GM42" s="503"/>
      <c r="GN42" s="503"/>
      <c r="GO42" s="503"/>
      <c r="GP42" s="503"/>
      <c r="GQ42" s="503"/>
      <c r="GR42" s="503"/>
      <c r="GS42" s="503"/>
      <c r="GT42" s="503"/>
      <c r="GU42" s="503"/>
      <c r="GV42" s="503"/>
      <c r="GW42" s="503"/>
      <c r="GX42" s="503"/>
      <c r="GY42" s="503"/>
      <c r="GZ42" s="503"/>
      <c r="HA42" s="503"/>
      <c r="HB42" s="503"/>
      <c r="HC42" s="503"/>
      <c r="HD42" s="503"/>
      <c r="HE42" s="503"/>
      <c r="HF42" s="503"/>
      <c r="HG42" s="503"/>
      <c r="HH42" s="503"/>
      <c r="HI42" s="503"/>
      <c r="HJ42" s="503"/>
      <c r="HK42" s="503"/>
      <c r="HL42" s="503"/>
      <c r="HM42" s="503"/>
      <c r="HN42" s="503"/>
      <c r="HO42" s="503"/>
      <c r="HP42" s="503"/>
      <c r="HQ42" s="503"/>
      <c r="HR42" s="503"/>
      <c r="HS42" s="503"/>
      <c r="HT42" s="503"/>
      <c r="HU42" s="503"/>
      <c r="HV42" s="503"/>
      <c r="HW42" s="503"/>
      <c r="HX42" s="503"/>
      <c r="HY42" s="503"/>
      <c r="HZ42" s="503"/>
      <c r="IA42" s="503"/>
      <c r="IB42" s="503"/>
      <c r="IC42" s="503"/>
      <c r="ID42" s="503"/>
      <c r="IE42" s="503"/>
      <c r="IF42" s="503"/>
      <c r="IG42" s="503"/>
      <c r="IH42" s="503"/>
      <c r="II42" s="503"/>
      <c r="IJ42" s="503"/>
      <c r="IK42" s="503"/>
      <c r="IL42" s="503"/>
      <c r="IM42" s="503"/>
      <c r="IN42" s="503"/>
      <c r="IO42" s="503"/>
      <c r="IP42" s="503"/>
      <c r="IQ42" s="503"/>
      <c r="IR42" s="503"/>
      <c r="IS42" s="503"/>
      <c r="IT42" s="503"/>
      <c r="IU42" s="503"/>
      <c r="IV42" s="503"/>
    </row>
    <row r="43" spans="1:256" s="329" customFormat="1" ht="15" customHeight="1" x14ac:dyDescent="0.25">
      <c r="A43" s="286" t="s">
        <v>22</v>
      </c>
      <c r="B43" s="285">
        <v>1</v>
      </c>
      <c r="C43" s="285">
        <v>1</v>
      </c>
      <c r="D43" s="189" t="s">
        <v>413</v>
      </c>
      <c r="E43" s="189" t="s">
        <v>415</v>
      </c>
      <c r="F43" s="485" t="s">
        <v>233</v>
      </c>
      <c r="G43" s="285">
        <v>1024</v>
      </c>
      <c r="H43" s="365" t="s">
        <v>28</v>
      </c>
      <c r="I43" s="288" t="s">
        <v>30</v>
      </c>
      <c r="J43" s="365" t="s">
        <v>18</v>
      </c>
      <c r="K43" s="288"/>
      <c r="L43" s="285"/>
      <c r="M43" s="189"/>
      <c r="N43" s="189" t="s">
        <v>418</v>
      </c>
      <c r="O43" s="189"/>
      <c r="P43" s="288"/>
      <c r="Q43" s="189"/>
    </row>
    <row r="44" spans="1:256" s="368" customFormat="1" x14ac:dyDescent="0.25">
      <c r="A44" s="367" t="s">
        <v>22</v>
      </c>
      <c r="B44" s="365">
        <v>1</v>
      </c>
      <c r="C44" s="365">
        <v>1</v>
      </c>
      <c r="D44" s="366" t="s">
        <v>373</v>
      </c>
      <c r="E44" s="190" t="s">
        <v>380</v>
      </c>
      <c r="F44" s="485" t="s">
        <v>88</v>
      </c>
      <c r="G44" s="365">
        <v>1024</v>
      </c>
      <c r="H44" s="365" t="s">
        <v>28</v>
      </c>
      <c r="I44" s="365" t="s">
        <v>26</v>
      </c>
      <c r="J44" s="365" t="s">
        <v>18</v>
      </c>
      <c r="K44" s="365"/>
      <c r="L44" s="365"/>
      <c r="M44" s="288">
        <v>32</v>
      </c>
      <c r="N44" s="366" t="s">
        <v>396</v>
      </c>
    </row>
    <row r="45" spans="1:256" s="368" customFormat="1" x14ac:dyDescent="0.25">
      <c r="A45" s="367" t="s">
        <v>22</v>
      </c>
      <c r="B45" s="365">
        <v>1</v>
      </c>
      <c r="C45" s="365">
        <v>1</v>
      </c>
      <c r="D45" s="366" t="s">
        <v>374</v>
      </c>
      <c r="E45" s="190" t="s">
        <v>381</v>
      </c>
      <c r="F45" s="485" t="s">
        <v>88</v>
      </c>
      <c r="G45" s="365">
        <v>1024</v>
      </c>
      <c r="H45" s="365" t="s">
        <v>28</v>
      </c>
      <c r="I45" s="365" t="s">
        <v>26</v>
      </c>
      <c r="J45" s="365" t="s">
        <v>18</v>
      </c>
      <c r="K45" s="365"/>
      <c r="L45" s="365">
        <v>0</v>
      </c>
      <c r="M45" s="288">
        <v>32</v>
      </c>
      <c r="N45" s="366" t="s">
        <v>397</v>
      </c>
    </row>
    <row r="46" spans="1:256" s="377" customFormat="1" ht="15" customHeight="1" x14ac:dyDescent="0.25">
      <c r="A46" s="375" t="s">
        <v>22</v>
      </c>
      <c r="B46" s="326">
        <v>1</v>
      </c>
      <c r="C46" s="326">
        <v>1</v>
      </c>
      <c r="D46" s="378" t="s">
        <v>56</v>
      </c>
      <c r="E46" s="282" t="s">
        <v>382</v>
      </c>
      <c r="F46" s="278" t="s">
        <v>88</v>
      </c>
      <c r="G46" s="326">
        <v>1024</v>
      </c>
      <c r="H46" s="326" t="s">
        <v>28</v>
      </c>
      <c r="I46" s="326" t="s">
        <v>26</v>
      </c>
      <c r="J46" s="382" t="s">
        <v>82</v>
      </c>
      <c r="K46" s="376"/>
      <c r="L46" s="376" t="s">
        <v>405</v>
      </c>
      <c r="M46" s="382">
        <v>32</v>
      </c>
      <c r="N46" s="378" t="s">
        <v>398</v>
      </c>
    </row>
    <row r="47" spans="1:256" s="377" customFormat="1" ht="15" customHeight="1" x14ac:dyDescent="0.25">
      <c r="A47" s="375" t="s">
        <v>22</v>
      </c>
      <c r="B47" s="326">
        <v>1</v>
      </c>
      <c r="C47" s="326">
        <v>1</v>
      </c>
      <c r="D47" s="378" t="s">
        <v>156</v>
      </c>
      <c r="E47" s="282" t="s">
        <v>383</v>
      </c>
      <c r="F47" s="278" t="s">
        <v>131</v>
      </c>
      <c r="G47" s="326">
        <v>1024</v>
      </c>
      <c r="H47" s="326" t="s">
        <v>28</v>
      </c>
      <c r="I47" s="326" t="s">
        <v>26</v>
      </c>
      <c r="J47" s="382" t="s">
        <v>82</v>
      </c>
      <c r="K47" s="376"/>
      <c r="L47" s="376"/>
      <c r="M47" s="382">
        <v>32</v>
      </c>
      <c r="N47" s="378" t="s">
        <v>399</v>
      </c>
    </row>
    <row r="48" spans="1:256" s="380" customFormat="1" x14ac:dyDescent="0.25">
      <c r="A48" s="379" t="s">
        <v>22</v>
      </c>
      <c r="B48" s="326">
        <v>1</v>
      </c>
      <c r="C48" s="326">
        <v>1</v>
      </c>
      <c r="D48" s="378" t="s">
        <v>159</v>
      </c>
      <c r="E48" s="282" t="s">
        <v>384</v>
      </c>
      <c r="F48" s="278" t="s">
        <v>717</v>
      </c>
      <c r="G48" s="326">
        <v>1024</v>
      </c>
      <c r="H48" s="326" t="s">
        <v>28</v>
      </c>
      <c r="I48" s="326" t="s">
        <v>26</v>
      </c>
      <c r="J48" s="382" t="s">
        <v>284</v>
      </c>
      <c r="K48" s="326"/>
      <c r="L48" s="326" t="s">
        <v>134</v>
      </c>
      <c r="M48" s="382">
        <v>32</v>
      </c>
      <c r="N48" s="378" t="s">
        <v>400</v>
      </c>
    </row>
    <row r="49" spans="1:256" s="380" customFormat="1" x14ac:dyDescent="0.25">
      <c r="A49" s="379" t="s">
        <v>22</v>
      </c>
      <c r="B49" s="326">
        <v>1</v>
      </c>
      <c r="C49" s="326">
        <v>1</v>
      </c>
      <c r="D49" s="378" t="s">
        <v>375</v>
      </c>
      <c r="E49" s="282" t="s">
        <v>385</v>
      </c>
      <c r="F49" s="278" t="s">
        <v>131</v>
      </c>
      <c r="G49" s="326">
        <v>1024</v>
      </c>
      <c r="H49" s="326" t="s">
        <v>28</v>
      </c>
      <c r="I49" s="326" t="s">
        <v>26</v>
      </c>
      <c r="J49" s="326" t="s">
        <v>18</v>
      </c>
      <c r="K49" s="326"/>
      <c r="L49" s="326"/>
      <c r="M49" s="382">
        <v>16</v>
      </c>
      <c r="N49" s="378" t="s">
        <v>401</v>
      </c>
    </row>
    <row r="50" spans="1:256" s="380" customFormat="1" x14ac:dyDescent="0.25">
      <c r="A50" s="379" t="s">
        <v>22</v>
      </c>
      <c r="B50" s="326">
        <v>1</v>
      </c>
      <c r="C50" s="326">
        <v>1</v>
      </c>
      <c r="D50" s="378" t="s">
        <v>157</v>
      </c>
      <c r="E50" s="282" t="s">
        <v>386</v>
      </c>
      <c r="F50" s="278" t="s">
        <v>89</v>
      </c>
      <c r="G50" s="326">
        <v>1024</v>
      </c>
      <c r="H50" s="326" t="s">
        <v>28</v>
      </c>
      <c r="I50" s="326" t="s">
        <v>30</v>
      </c>
      <c r="J50" s="382" t="s">
        <v>82</v>
      </c>
      <c r="K50" s="326"/>
      <c r="L50" s="326">
        <v>1</v>
      </c>
      <c r="M50" s="382"/>
      <c r="N50" s="378" t="s">
        <v>402</v>
      </c>
    </row>
    <row r="51" spans="1:256" s="380" customFormat="1" x14ac:dyDescent="0.25">
      <c r="A51" s="379" t="s">
        <v>22</v>
      </c>
      <c r="B51" s="326">
        <v>1</v>
      </c>
      <c r="C51" s="326">
        <v>1</v>
      </c>
      <c r="D51" s="378" t="s">
        <v>239</v>
      </c>
      <c r="E51" s="282" t="s">
        <v>387</v>
      </c>
      <c r="F51" s="278" t="s">
        <v>717</v>
      </c>
      <c r="G51" s="326">
        <v>1024</v>
      </c>
      <c r="H51" s="326" t="s">
        <v>28</v>
      </c>
      <c r="I51" s="326" t="s">
        <v>26</v>
      </c>
      <c r="J51" s="382" t="s">
        <v>284</v>
      </c>
      <c r="K51" s="326"/>
      <c r="L51" s="326">
        <v>0</v>
      </c>
      <c r="M51" s="382">
        <v>16</v>
      </c>
      <c r="N51" s="378" t="s">
        <v>721</v>
      </c>
    </row>
    <row r="52" spans="1:256" s="53" customFormat="1" ht="3" customHeight="1" x14ac:dyDescent="0.25">
      <c r="A52" s="341"/>
      <c r="B52" s="342"/>
      <c r="C52" s="342"/>
      <c r="D52" s="342"/>
      <c r="E52" s="342"/>
      <c r="F52" s="342"/>
      <c r="G52" s="342"/>
      <c r="H52" s="342"/>
      <c r="I52" s="342"/>
      <c r="J52" s="342"/>
      <c r="K52" s="341"/>
      <c r="L52" s="342"/>
      <c r="M52" s="341"/>
      <c r="N52" s="341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09"/>
      <c r="AL52" s="109"/>
      <c r="AM52" s="109"/>
      <c r="AN52" s="109"/>
      <c r="AO52" s="109"/>
      <c r="AP52" s="109"/>
      <c r="AQ52" s="109"/>
      <c r="AR52" s="109"/>
      <c r="AS52" s="109"/>
      <c r="AT52" s="109"/>
      <c r="AU52" s="109"/>
      <c r="AV52" s="109"/>
      <c r="AW52" s="109"/>
      <c r="AX52" s="109"/>
      <c r="AY52" s="109"/>
      <c r="AZ52" s="109"/>
      <c r="BA52" s="109"/>
      <c r="BB52" s="109"/>
      <c r="BC52" s="109"/>
      <c r="BD52" s="109"/>
      <c r="BE52" s="109"/>
      <c r="BF52" s="109"/>
      <c r="BG52" s="109"/>
      <c r="BH52" s="109"/>
      <c r="BI52" s="109"/>
      <c r="BJ52" s="109"/>
      <c r="BK52" s="109"/>
      <c r="BL52" s="109"/>
      <c r="BM52" s="109"/>
      <c r="BN52" s="109"/>
      <c r="BO52" s="109"/>
      <c r="BP52" s="109"/>
      <c r="BQ52" s="109"/>
      <c r="BR52" s="109"/>
      <c r="BS52" s="109"/>
      <c r="BT52" s="109"/>
      <c r="BU52" s="109"/>
      <c r="BV52" s="109"/>
      <c r="BW52" s="109"/>
      <c r="BX52" s="109"/>
      <c r="BY52" s="109"/>
      <c r="BZ52" s="109"/>
      <c r="CA52" s="109"/>
      <c r="CB52" s="109"/>
      <c r="CC52" s="109"/>
      <c r="CD52" s="109"/>
      <c r="CE52" s="109"/>
      <c r="CF52" s="109"/>
      <c r="CG52" s="109"/>
      <c r="CH52" s="109"/>
      <c r="CI52" s="109"/>
      <c r="CJ52" s="109"/>
      <c r="CK52" s="109"/>
      <c r="CL52" s="109"/>
      <c r="CM52" s="109"/>
      <c r="CN52" s="109"/>
      <c r="CO52" s="109"/>
      <c r="CP52" s="109"/>
      <c r="CQ52" s="109"/>
      <c r="CR52" s="109"/>
      <c r="CS52" s="109"/>
      <c r="CT52" s="109"/>
      <c r="CU52" s="109"/>
      <c r="CV52" s="109"/>
      <c r="CW52" s="109"/>
      <c r="CX52" s="109"/>
      <c r="CY52" s="109"/>
      <c r="CZ52" s="109"/>
      <c r="DA52" s="109"/>
      <c r="DB52" s="109"/>
      <c r="DC52" s="109"/>
      <c r="DD52" s="109"/>
      <c r="DE52" s="109"/>
      <c r="DF52" s="109"/>
      <c r="DG52" s="109"/>
      <c r="DH52" s="109"/>
      <c r="DI52" s="109"/>
      <c r="DJ52" s="109"/>
      <c r="DK52" s="109"/>
      <c r="DL52" s="109"/>
      <c r="DM52" s="109"/>
      <c r="DN52" s="109"/>
      <c r="DO52" s="109"/>
      <c r="DP52" s="109"/>
      <c r="DQ52" s="109"/>
      <c r="DR52" s="109"/>
      <c r="DS52" s="109"/>
      <c r="DT52" s="109"/>
      <c r="DU52" s="109"/>
      <c r="DV52" s="109"/>
      <c r="DW52" s="109"/>
      <c r="DX52" s="109"/>
      <c r="DY52" s="109"/>
      <c r="DZ52" s="109"/>
      <c r="EA52" s="109"/>
      <c r="EB52" s="109"/>
      <c r="EC52" s="109"/>
      <c r="ED52" s="109"/>
      <c r="EE52" s="109"/>
      <c r="EF52" s="109"/>
      <c r="EG52" s="109"/>
      <c r="EH52" s="109"/>
      <c r="EI52" s="109"/>
      <c r="EJ52" s="109"/>
      <c r="EK52" s="109"/>
      <c r="EL52" s="109"/>
      <c r="EM52" s="109"/>
      <c r="EN52" s="109"/>
      <c r="EO52" s="109"/>
      <c r="EP52" s="109"/>
      <c r="EQ52" s="109"/>
      <c r="ER52" s="109"/>
      <c r="ES52" s="109"/>
      <c r="ET52" s="109"/>
      <c r="EU52" s="109"/>
      <c r="EV52" s="109"/>
      <c r="EW52" s="109"/>
      <c r="EX52" s="109"/>
      <c r="EY52" s="109"/>
      <c r="EZ52" s="109"/>
      <c r="FA52" s="109"/>
      <c r="FB52" s="109"/>
      <c r="FC52" s="109"/>
      <c r="FD52" s="109"/>
      <c r="FE52" s="109"/>
      <c r="FF52" s="109"/>
      <c r="FG52" s="109"/>
      <c r="FH52" s="109"/>
      <c r="FI52" s="109"/>
      <c r="FJ52" s="109"/>
      <c r="FK52" s="109"/>
      <c r="FL52" s="109"/>
      <c r="FM52" s="109"/>
      <c r="FN52" s="109"/>
      <c r="FO52" s="109"/>
      <c r="FP52" s="109"/>
      <c r="FQ52" s="109"/>
      <c r="FR52" s="109"/>
      <c r="FS52" s="109"/>
      <c r="FT52" s="109"/>
      <c r="FU52" s="109"/>
      <c r="FV52" s="109"/>
      <c r="FW52" s="109"/>
      <c r="FX52" s="109"/>
      <c r="FY52" s="109"/>
      <c r="FZ52" s="109"/>
      <c r="GA52" s="109"/>
      <c r="GB52" s="109"/>
      <c r="GC52" s="109"/>
      <c r="GD52" s="109"/>
      <c r="GE52" s="109"/>
      <c r="GF52" s="109"/>
      <c r="GG52" s="109"/>
      <c r="GH52" s="109"/>
      <c r="GI52" s="109"/>
      <c r="GJ52" s="109"/>
      <c r="GK52" s="109"/>
      <c r="GL52" s="109"/>
      <c r="GM52" s="109"/>
      <c r="GN52" s="109"/>
      <c r="GO52" s="109"/>
      <c r="GP52" s="109"/>
      <c r="GQ52" s="109"/>
      <c r="GR52" s="109"/>
      <c r="GS52" s="109"/>
      <c r="GT52" s="109"/>
      <c r="GU52" s="109"/>
      <c r="GV52" s="109"/>
      <c r="GW52" s="109"/>
      <c r="GX52" s="109"/>
      <c r="GY52" s="109"/>
      <c r="GZ52" s="109"/>
      <c r="HA52" s="109"/>
      <c r="HB52" s="109"/>
      <c r="HC52" s="109"/>
      <c r="HD52" s="109"/>
      <c r="HE52" s="109"/>
      <c r="HF52" s="109"/>
      <c r="HG52" s="109"/>
      <c r="HH52" s="109"/>
      <c r="HI52" s="109"/>
      <c r="HJ52" s="109"/>
      <c r="HK52" s="109"/>
      <c r="HL52" s="109"/>
      <c r="HM52" s="109"/>
      <c r="HN52" s="109"/>
      <c r="HO52" s="109"/>
      <c r="HP52" s="109"/>
      <c r="HQ52" s="109"/>
      <c r="HR52" s="109"/>
      <c r="HS52" s="109"/>
      <c r="HT52" s="109"/>
      <c r="HU52" s="109"/>
      <c r="HV52" s="109"/>
      <c r="HW52" s="109"/>
      <c r="HX52" s="109"/>
      <c r="HY52" s="109"/>
      <c r="HZ52" s="109"/>
      <c r="IA52" s="109"/>
      <c r="IB52" s="109"/>
      <c r="IC52" s="109"/>
      <c r="ID52" s="109"/>
      <c r="IE52" s="109"/>
      <c r="IF52" s="109"/>
      <c r="IG52" s="109"/>
      <c r="IH52" s="109"/>
      <c r="II52" s="109"/>
      <c r="IJ52" s="109"/>
      <c r="IK52" s="109"/>
      <c r="IL52" s="109"/>
      <c r="IM52" s="109"/>
      <c r="IN52" s="109"/>
      <c r="IO52" s="109"/>
      <c r="IP52" s="109"/>
      <c r="IQ52" s="109"/>
      <c r="IR52" s="109"/>
      <c r="IS52" s="109"/>
      <c r="IT52" s="109"/>
      <c r="IU52" s="109"/>
      <c r="IV52" s="109"/>
    </row>
    <row r="57" spans="1:256" s="53" customFormat="1" x14ac:dyDescent="0.25">
      <c r="A57" s="78"/>
      <c r="B57" s="81"/>
      <c r="C57" s="81"/>
      <c r="D57" s="81"/>
      <c r="E57" s="81"/>
      <c r="F57" s="81"/>
      <c r="G57" s="81"/>
      <c r="H57" s="81"/>
      <c r="I57" s="81"/>
      <c r="J57" s="81"/>
      <c r="K57" s="78"/>
      <c r="L57" s="81"/>
      <c r="M57" s="78"/>
      <c r="N57" s="78"/>
      <c r="O57" s="78"/>
      <c r="P57" s="78"/>
      <c r="Q57" s="78"/>
      <c r="R57" s="78"/>
      <c r="S57" s="78"/>
      <c r="T57" s="78"/>
      <c r="U57" s="78"/>
      <c r="V57" s="78"/>
      <c r="W57" s="78"/>
      <c r="X57" s="78"/>
      <c r="Y57" s="78"/>
      <c r="Z57" s="78"/>
      <c r="AA57" s="78"/>
      <c r="AB57" s="78"/>
      <c r="AC57" s="78"/>
      <c r="AD57" s="78"/>
      <c r="AE57" s="78"/>
      <c r="AF57" s="78"/>
      <c r="AG57" s="78"/>
      <c r="AH57" s="78"/>
      <c r="AI57" s="78"/>
      <c r="AJ57" s="78"/>
      <c r="AK57" s="78"/>
      <c r="AL57" s="78"/>
      <c r="AM57" s="78"/>
      <c r="AN57" s="78"/>
      <c r="AO57" s="78"/>
      <c r="AP57" s="78"/>
      <c r="AQ57" s="78"/>
      <c r="AR57" s="78"/>
      <c r="AS57" s="78"/>
      <c r="AT57" s="78"/>
      <c r="AU57" s="78"/>
      <c r="AV57" s="78"/>
      <c r="AW57" s="78"/>
      <c r="AX57" s="78"/>
      <c r="AY57" s="78"/>
      <c r="AZ57" s="78"/>
      <c r="BA57" s="78"/>
      <c r="BB57" s="78"/>
      <c r="BC57" s="78"/>
      <c r="BD57" s="78"/>
      <c r="BE57" s="78"/>
      <c r="BF57" s="78"/>
      <c r="BG57" s="78"/>
      <c r="BH57" s="78"/>
      <c r="BI57" s="78"/>
      <c r="BJ57" s="78"/>
      <c r="BK57" s="78"/>
      <c r="BL57" s="78"/>
      <c r="BM57" s="78"/>
      <c r="BN57" s="78"/>
      <c r="BO57" s="78"/>
      <c r="BP57" s="78"/>
      <c r="BQ57" s="78"/>
      <c r="BR57" s="78"/>
      <c r="BS57" s="78"/>
      <c r="BT57" s="78"/>
      <c r="BU57" s="78"/>
      <c r="BV57" s="78"/>
      <c r="BW57" s="78"/>
      <c r="BX57" s="78"/>
      <c r="BY57" s="78"/>
      <c r="BZ57" s="78"/>
      <c r="CA57" s="78"/>
      <c r="CB57" s="78"/>
      <c r="CC57" s="78"/>
      <c r="CD57" s="78"/>
      <c r="CE57" s="78"/>
      <c r="CF57" s="78"/>
      <c r="CG57" s="78"/>
      <c r="CH57" s="78"/>
      <c r="CI57" s="78"/>
      <c r="CJ57" s="78"/>
      <c r="CK57" s="78"/>
      <c r="CL57" s="78"/>
      <c r="CM57" s="78"/>
      <c r="CN57" s="78"/>
      <c r="CO57" s="78"/>
      <c r="CP57" s="78"/>
      <c r="CQ57" s="78"/>
      <c r="CR57" s="78"/>
      <c r="CS57" s="78"/>
      <c r="CT57" s="78"/>
      <c r="CU57" s="78"/>
      <c r="CV57" s="78"/>
      <c r="CW57" s="78"/>
      <c r="CX57" s="78"/>
      <c r="CY57" s="78"/>
      <c r="CZ57" s="78"/>
      <c r="DA57" s="78"/>
      <c r="DB57" s="78"/>
      <c r="DC57" s="78"/>
      <c r="DD57" s="78"/>
      <c r="DE57" s="78"/>
      <c r="DF57" s="78"/>
      <c r="DG57" s="78"/>
      <c r="DH57" s="78"/>
      <c r="DI57" s="78"/>
      <c r="DJ57" s="78"/>
      <c r="DK57" s="78"/>
      <c r="DL57" s="78"/>
      <c r="DM57" s="78"/>
      <c r="DN57" s="78"/>
      <c r="DO57" s="78"/>
      <c r="DP57" s="78"/>
      <c r="DQ57" s="78"/>
      <c r="DR57" s="78"/>
      <c r="DS57" s="78"/>
      <c r="DT57" s="78"/>
      <c r="DU57" s="78"/>
      <c r="DV57" s="78"/>
      <c r="DW57" s="78"/>
      <c r="DX57" s="78"/>
      <c r="DY57" s="78"/>
      <c r="DZ57" s="78"/>
      <c r="EA57" s="78"/>
      <c r="EB57" s="78"/>
      <c r="EC57" s="78"/>
      <c r="ED57" s="78"/>
      <c r="EE57" s="78"/>
      <c r="EF57" s="78"/>
      <c r="EG57" s="78"/>
      <c r="EH57" s="78"/>
      <c r="EI57" s="78"/>
      <c r="EJ57" s="78"/>
      <c r="EK57" s="78"/>
      <c r="EL57" s="78"/>
      <c r="EM57" s="78"/>
      <c r="EN57" s="78"/>
      <c r="EO57" s="78"/>
      <c r="EP57" s="78"/>
      <c r="EQ57" s="78"/>
      <c r="ER57" s="78"/>
      <c r="ES57" s="78"/>
      <c r="ET57" s="78"/>
      <c r="EU57" s="78"/>
      <c r="EV57" s="78"/>
      <c r="EW57" s="78"/>
      <c r="EX57" s="78"/>
      <c r="EY57" s="78"/>
      <c r="EZ57" s="78"/>
      <c r="FA57" s="78"/>
      <c r="FB57" s="78"/>
      <c r="FC57" s="78"/>
      <c r="FD57" s="78"/>
      <c r="FE57" s="78"/>
      <c r="FF57" s="78"/>
      <c r="FG57" s="78"/>
      <c r="FH57" s="78"/>
      <c r="FI57" s="78"/>
      <c r="FJ57" s="78"/>
      <c r="FK57" s="78"/>
      <c r="FL57" s="78"/>
      <c r="FM57" s="78"/>
      <c r="FN57" s="78"/>
      <c r="FO57" s="78"/>
      <c r="FP57" s="78"/>
      <c r="FQ57" s="78"/>
      <c r="FR57" s="78"/>
      <c r="FS57" s="78"/>
      <c r="FT57" s="78"/>
      <c r="FU57" s="78"/>
      <c r="FV57" s="78"/>
      <c r="FW57" s="78"/>
      <c r="FX57" s="78"/>
      <c r="FY57" s="78"/>
      <c r="FZ57" s="78"/>
      <c r="GA57" s="78"/>
      <c r="GB57" s="78"/>
      <c r="GC57" s="78"/>
      <c r="GD57" s="78"/>
      <c r="GE57" s="78"/>
      <c r="GF57" s="78"/>
      <c r="GG57" s="78"/>
      <c r="GH57" s="78"/>
      <c r="GI57" s="78"/>
      <c r="GJ57" s="78"/>
      <c r="GK57" s="78"/>
      <c r="GL57" s="78"/>
      <c r="GM57" s="78"/>
      <c r="GN57" s="78"/>
      <c r="GO57" s="78"/>
      <c r="GP57" s="78"/>
      <c r="GQ57" s="78"/>
      <c r="GR57" s="78"/>
      <c r="GS57" s="78"/>
      <c r="GT57" s="78"/>
      <c r="GU57" s="78"/>
      <c r="GV57" s="78"/>
      <c r="GW57" s="78"/>
      <c r="GX57" s="78"/>
      <c r="GY57" s="78"/>
      <c r="GZ57" s="78"/>
      <c r="HA57" s="78"/>
      <c r="HB57" s="78"/>
      <c r="HC57" s="78"/>
      <c r="HD57" s="78"/>
      <c r="HE57" s="78"/>
      <c r="HF57" s="78"/>
      <c r="HG57" s="78"/>
      <c r="HH57" s="78"/>
      <c r="HI57" s="78"/>
      <c r="HJ57" s="78"/>
      <c r="HK57" s="78"/>
      <c r="HL57" s="78"/>
      <c r="HM57" s="78"/>
      <c r="HN57" s="78"/>
      <c r="HO57" s="78"/>
      <c r="HP57" s="78"/>
      <c r="HQ57" s="78"/>
      <c r="HR57" s="78"/>
      <c r="HS57" s="78"/>
      <c r="HT57" s="78"/>
      <c r="HU57" s="78"/>
      <c r="HV57" s="78"/>
      <c r="HW57" s="78"/>
      <c r="HX57" s="78"/>
      <c r="HY57" s="78"/>
      <c r="HZ57" s="78"/>
      <c r="IA57" s="78"/>
      <c r="IB57" s="78"/>
      <c r="IC57" s="78"/>
      <c r="ID57" s="78"/>
      <c r="IE57" s="78"/>
      <c r="IF57" s="78"/>
      <c r="IG57" s="78"/>
      <c r="IH57" s="78"/>
      <c r="II57" s="78"/>
      <c r="IJ57" s="78"/>
      <c r="IK57" s="78"/>
      <c r="IL57" s="78"/>
      <c r="IM57" s="78"/>
      <c r="IN57" s="78"/>
      <c r="IO57" s="78"/>
      <c r="IP57" s="78"/>
      <c r="IQ57" s="78"/>
      <c r="IR57" s="78"/>
      <c r="IS57" s="78"/>
      <c r="IT57" s="78"/>
      <c r="IU57" s="78"/>
      <c r="IV57" s="78"/>
    </row>
    <row r="58" spans="1:256" s="351" customFormat="1" x14ac:dyDescent="0.25">
      <c r="A58" s="155"/>
      <c r="B58" s="101"/>
      <c r="C58" s="101"/>
      <c r="D58" s="95"/>
      <c r="E58" s="95"/>
      <c r="F58" s="101"/>
      <c r="G58" s="101"/>
      <c r="H58" s="101"/>
      <c r="I58" s="101"/>
      <c r="J58" s="101"/>
      <c r="K58" s="101"/>
      <c r="L58" s="101"/>
      <c r="M58" s="101"/>
      <c r="N58" s="95"/>
      <c r="O58" s="350"/>
      <c r="P58" s="350"/>
      <c r="Q58" s="350"/>
      <c r="R58" s="350"/>
      <c r="S58" s="350"/>
      <c r="T58" s="350"/>
      <c r="U58" s="350"/>
      <c r="V58" s="350"/>
      <c r="W58" s="350"/>
      <c r="X58" s="350"/>
      <c r="Y58" s="350"/>
      <c r="Z58" s="350"/>
      <c r="AA58" s="350"/>
      <c r="AB58" s="350"/>
      <c r="AC58" s="350"/>
      <c r="AD58" s="350"/>
      <c r="AE58" s="350"/>
      <c r="AF58" s="350"/>
      <c r="AG58" s="350"/>
      <c r="AH58" s="350"/>
      <c r="AI58" s="350"/>
      <c r="AJ58" s="350"/>
      <c r="AK58" s="350"/>
      <c r="AL58" s="350"/>
      <c r="AM58" s="350"/>
      <c r="AN58" s="350"/>
      <c r="AO58" s="350"/>
      <c r="AP58" s="350"/>
      <c r="AQ58" s="350"/>
      <c r="AR58" s="350"/>
      <c r="AS58" s="350"/>
      <c r="AT58" s="350"/>
      <c r="AU58" s="350"/>
      <c r="AV58" s="350"/>
      <c r="AW58" s="350"/>
      <c r="AX58" s="350"/>
      <c r="AY58" s="350"/>
      <c r="AZ58" s="350"/>
      <c r="BA58" s="350"/>
      <c r="BB58" s="350"/>
      <c r="BC58" s="350"/>
      <c r="BD58" s="350"/>
      <c r="BE58" s="350"/>
      <c r="BF58" s="350"/>
      <c r="BG58" s="350"/>
      <c r="BH58" s="350"/>
      <c r="BI58" s="350"/>
      <c r="BJ58" s="350"/>
      <c r="BK58" s="350"/>
      <c r="BL58" s="350"/>
      <c r="BM58" s="350"/>
      <c r="BN58" s="350"/>
      <c r="BO58" s="350"/>
      <c r="BP58" s="350"/>
      <c r="BQ58" s="350"/>
      <c r="BR58" s="350"/>
      <c r="BS58" s="350"/>
      <c r="BT58" s="350"/>
      <c r="BU58" s="350"/>
      <c r="BV58" s="350"/>
      <c r="BW58" s="350"/>
      <c r="BX58" s="350"/>
      <c r="BY58" s="350"/>
      <c r="BZ58" s="350"/>
      <c r="CA58" s="350"/>
      <c r="CB58" s="350"/>
      <c r="CC58" s="350"/>
      <c r="CD58" s="350"/>
      <c r="CE58" s="350"/>
      <c r="CF58" s="350"/>
      <c r="CG58" s="350"/>
      <c r="CH58" s="350"/>
      <c r="CI58" s="350"/>
      <c r="CJ58" s="350"/>
      <c r="CK58" s="350"/>
      <c r="CL58" s="350"/>
      <c r="CM58" s="350"/>
      <c r="CN58" s="350"/>
      <c r="CO58" s="350"/>
      <c r="CP58" s="350"/>
      <c r="CQ58" s="350"/>
      <c r="CR58" s="350"/>
      <c r="CS58" s="350"/>
      <c r="CT58" s="350"/>
      <c r="CU58" s="350"/>
      <c r="CV58" s="350"/>
      <c r="CW58" s="350"/>
      <c r="CX58" s="350"/>
      <c r="CY58" s="350"/>
      <c r="CZ58" s="350"/>
      <c r="DA58" s="350"/>
      <c r="DB58" s="350"/>
      <c r="DC58" s="350"/>
      <c r="DD58" s="350"/>
      <c r="DE58" s="350"/>
      <c r="DF58" s="350"/>
      <c r="DG58" s="350"/>
      <c r="DH58" s="350"/>
      <c r="DI58" s="350"/>
      <c r="DJ58" s="350"/>
      <c r="DK58" s="350"/>
      <c r="DL58" s="350"/>
      <c r="DM58" s="350"/>
      <c r="DN58" s="350"/>
      <c r="DO58" s="350"/>
      <c r="DP58" s="350"/>
      <c r="DQ58" s="350"/>
      <c r="DR58" s="350"/>
      <c r="DS58" s="350"/>
      <c r="DT58" s="350"/>
      <c r="DU58" s="350"/>
      <c r="DV58" s="350"/>
      <c r="DW58" s="350"/>
      <c r="DX58" s="350"/>
      <c r="DY58" s="350"/>
      <c r="DZ58" s="350"/>
      <c r="EA58" s="350"/>
      <c r="EB58" s="350"/>
      <c r="EC58" s="350"/>
      <c r="ED58" s="350"/>
      <c r="EE58" s="350"/>
      <c r="EF58" s="350"/>
      <c r="EG58" s="350"/>
      <c r="EH58" s="350"/>
      <c r="EI58" s="350"/>
      <c r="EJ58" s="350"/>
      <c r="EK58" s="350"/>
      <c r="EL58" s="350"/>
      <c r="EM58" s="350"/>
      <c r="EN58" s="350"/>
      <c r="EO58" s="350"/>
      <c r="EP58" s="350"/>
      <c r="EQ58" s="350"/>
      <c r="ER58" s="350"/>
      <c r="ES58" s="350"/>
      <c r="ET58" s="350"/>
      <c r="EU58" s="350"/>
      <c r="EV58" s="350"/>
      <c r="EW58" s="350"/>
      <c r="EX58" s="350"/>
      <c r="EY58" s="350"/>
      <c r="EZ58" s="350"/>
      <c r="FA58" s="350"/>
      <c r="FB58" s="350"/>
      <c r="FC58" s="350"/>
      <c r="FD58" s="350"/>
      <c r="FE58" s="350"/>
      <c r="FF58" s="350"/>
      <c r="FG58" s="350"/>
      <c r="FH58" s="350"/>
      <c r="FI58" s="350"/>
      <c r="FJ58" s="350"/>
      <c r="FK58" s="350"/>
      <c r="FL58" s="350"/>
      <c r="FM58" s="350"/>
      <c r="FN58" s="350"/>
      <c r="FO58" s="350"/>
      <c r="FP58" s="350"/>
      <c r="FQ58" s="350"/>
      <c r="FR58" s="350"/>
      <c r="FS58" s="350"/>
      <c r="FT58" s="350"/>
      <c r="FU58" s="350"/>
      <c r="FV58" s="350"/>
      <c r="FW58" s="350"/>
      <c r="FX58" s="350"/>
      <c r="FY58" s="350"/>
      <c r="FZ58" s="350"/>
      <c r="GA58" s="350"/>
      <c r="GB58" s="350"/>
      <c r="GC58" s="350"/>
      <c r="GD58" s="350"/>
      <c r="GE58" s="350"/>
      <c r="GF58" s="350"/>
      <c r="GG58" s="350"/>
      <c r="GH58" s="350"/>
      <c r="GI58" s="350"/>
      <c r="GJ58" s="350"/>
      <c r="GK58" s="350"/>
      <c r="GL58" s="350"/>
      <c r="GM58" s="350"/>
      <c r="GN58" s="350"/>
      <c r="GO58" s="350"/>
      <c r="GP58" s="350"/>
      <c r="GQ58" s="350"/>
      <c r="GR58" s="350"/>
      <c r="GS58" s="350"/>
      <c r="GT58" s="350"/>
      <c r="GU58" s="350"/>
      <c r="GV58" s="350"/>
      <c r="GW58" s="350"/>
      <c r="GX58" s="350"/>
      <c r="GY58" s="350"/>
      <c r="GZ58" s="350"/>
      <c r="HA58" s="350"/>
      <c r="HB58" s="350"/>
      <c r="HC58" s="350"/>
      <c r="HD58" s="350"/>
      <c r="HE58" s="350"/>
      <c r="HF58" s="350"/>
      <c r="HG58" s="350"/>
      <c r="HH58" s="350"/>
      <c r="HI58" s="350"/>
      <c r="HJ58" s="350"/>
      <c r="HK58" s="350"/>
      <c r="HL58" s="350"/>
      <c r="HM58" s="350"/>
      <c r="HN58" s="350"/>
      <c r="HO58" s="350"/>
      <c r="HP58" s="350"/>
      <c r="HQ58" s="350"/>
      <c r="HR58" s="350"/>
      <c r="HS58" s="350"/>
      <c r="HT58" s="350"/>
      <c r="HU58" s="350"/>
      <c r="HV58" s="350"/>
      <c r="HW58" s="350"/>
      <c r="HX58" s="350"/>
      <c r="HY58" s="350"/>
      <c r="HZ58" s="350"/>
      <c r="IA58" s="350"/>
      <c r="IB58" s="350"/>
      <c r="IC58" s="350"/>
      <c r="ID58" s="350"/>
      <c r="IE58" s="350"/>
      <c r="IF58" s="350"/>
      <c r="IG58" s="350"/>
      <c r="IH58" s="350"/>
      <c r="II58" s="350"/>
      <c r="IJ58" s="350"/>
      <c r="IK58" s="350"/>
      <c r="IL58" s="350"/>
      <c r="IM58" s="350"/>
      <c r="IN58" s="350"/>
      <c r="IO58" s="350"/>
      <c r="IP58" s="350"/>
      <c r="IQ58" s="350"/>
      <c r="IR58" s="350"/>
      <c r="IS58" s="350"/>
      <c r="IT58" s="350"/>
      <c r="IU58" s="350"/>
      <c r="IV58" s="350"/>
    </row>
    <row r="59" spans="1:256" s="351" customFormat="1" x14ac:dyDescent="0.25">
      <c r="A59" s="155"/>
      <c r="B59" s="101"/>
      <c r="C59" s="101"/>
      <c r="D59" s="95"/>
      <c r="E59" s="95"/>
      <c r="F59" s="101"/>
      <c r="G59" s="101"/>
      <c r="H59" s="101"/>
      <c r="I59" s="101"/>
      <c r="J59" s="101"/>
      <c r="K59" s="101"/>
      <c r="L59" s="101"/>
      <c r="M59" s="101"/>
      <c r="N59" s="95"/>
      <c r="O59" s="350"/>
      <c r="P59" s="350"/>
      <c r="Q59" s="350"/>
      <c r="R59" s="350"/>
      <c r="S59" s="350"/>
      <c r="T59" s="350"/>
      <c r="U59" s="350"/>
      <c r="V59" s="350"/>
      <c r="W59" s="350"/>
      <c r="X59" s="350"/>
      <c r="Y59" s="350"/>
      <c r="Z59" s="350"/>
      <c r="AA59" s="350"/>
      <c r="AB59" s="350"/>
      <c r="AC59" s="350"/>
      <c r="AD59" s="350"/>
      <c r="AE59" s="350"/>
      <c r="AF59" s="350"/>
      <c r="AG59" s="350"/>
      <c r="AH59" s="350"/>
      <c r="AI59" s="350"/>
      <c r="AJ59" s="350"/>
      <c r="AK59" s="350"/>
      <c r="AL59" s="350"/>
      <c r="AM59" s="350"/>
      <c r="AN59" s="350"/>
      <c r="AO59" s="350"/>
      <c r="AP59" s="350"/>
      <c r="AQ59" s="350"/>
      <c r="AR59" s="350"/>
      <c r="AS59" s="350"/>
      <c r="AT59" s="350"/>
      <c r="AU59" s="350"/>
      <c r="AV59" s="350"/>
      <c r="AW59" s="350"/>
      <c r="AX59" s="350"/>
      <c r="AY59" s="350"/>
      <c r="AZ59" s="350"/>
      <c r="BA59" s="350"/>
      <c r="BB59" s="350"/>
      <c r="BC59" s="350"/>
      <c r="BD59" s="350"/>
      <c r="BE59" s="350"/>
      <c r="BF59" s="350"/>
      <c r="BG59" s="350"/>
      <c r="BH59" s="350"/>
      <c r="BI59" s="350"/>
      <c r="BJ59" s="350"/>
      <c r="BK59" s="350"/>
      <c r="BL59" s="350"/>
      <c r="BM59" s="350"/>
      <c r="BN59" s="350"/>
      <c r="BO59" s="350"/>
      <c r="BP59" s="350"/>
      <c r="BQ59" s="350"/>
      <c r="BR59" s="350"/>
      <c r="BS59" s="350"/>
      <c r="BT59" s="350"/>
      <c r="BU59" s="350"/>
      <c r="BV59" s="350"/>
      <c r="BW59" s="350"/>
      <c r="BX59" s="350"/>
      <c r="BY59" s="350"/>
      <c r="BZ59" s="350"/>
      <c r="CA59" s="350"/>
      <c r="CB59" s="350"/>
      <c r="CC59" s="350"/>
      <c r="CD59" s="350"/>
      <c r="CE59" s="350"/>
      <c r="CF59" s="350"/>
      <c r="CG59" s="350"/>
      <c r="CH59" s="350"/>
      <c r="CI59" s="350"/>
      <c r="CJ59" s="350"/>
      <c r="CK59" s="350"/>
      <c r="CL59" s="350"/>
      <c r="CM59" s="350"/>
      <c r="CN59" s="350"/>
      <c r="CO59" s="350"/>
      <c r="CP59" s="350"/>
      <c r="CQ59" s="350"/>
      <c r="CR59" s="350"/>
      <c r="CS59" s="350"/>
      <c r="CT59" s="350"/>
      <c r="CU59" s="350"/>
      <c r="CV59" s="350"/>
      <c r="CW59" s="350"/>
      <c r="CX59" s="350"/>
      <c r="CY59" s="350"/>
      <c r="CZ59" s="350"/>
      <c r="DA59" s="350"/>
      <c r="DB59" s="350"/>
      <c r="DC59" s="350"/>
      <c r="DD59" s="350"/>
      <c r="DE59" s="350"/>
      <c r="DF59" s="350"/>
      <c r="DG59" s="350"/>
      <c r="DH59" s="350"/>
      <c r="DI59" s="350"/>
      <c r="DJ59" s="350"/>
      <c r="DK59" s="350"/>
      <c r="DL59" s="350"/>
      <c r="DM59" s="350"/>
      <c r="DN59" s="350"/>
      <c r="DO59" s="350"/>
      <c r="DP59" s="350"/>
      <c r="DQ59" s="350"/>
      <c r="DR59" s="350"/>
      <c r="DS59" s="350"/>
      <c r="DT59" s="350"/>
      <c r="DU59" s="350"/>
      <c r="DV59" s="350"/>
      <c r="DW59" s="350"/>
      <c r="DX59" s="350"/>
      <c r="DY59" s="350"/>
      <c r="DZ59" s="350"/>
      <c r="EA59" s="350"/>
      <c r="EB59" s="350"/>
      <c r="EC59" s="350"/>
      <c r="ED59" s="350"/>
      <c r="EE59" s="350"/>
      <c r="EF59" s="350"/>
      <c r="EG59" s="350"/>
      <c r="EH59" s="350"/>
      <c r="EI59" s="350"/>
      <c r="EJ59" s="350"/>
      <c r="EK59" s="350"/>
      <c r="EL59" s="350"/>
      <c r="EM59" s="350"/>
      <c r="EN59" s="350"/>
      <c r="EO59" s="350"/>
      <c r="EP59" s="350"/>
      <c r="EQ59" s="350"/>
      <c r="ER59" s="350"/>
      <c r="ES59" s="350"/>
      <c r="ET59" s="350"/>
      <c r="EU59" s="350"/>
      <c r="EV59" s="350"/>
      <c r="EW59" s="350"/>
      <c r="EX59" s="350"/>
      <c r="EY59" s="350"/>
      <c r="EZ59" s="350"/>
      <c r="FA59" s="350"/>
      <c r="FB59" s="350"/>
      <c r="FC59" s="350"/>
      <c r="FD59" s="350"/>
      <c r="FE59" s="350"/>
      <c r="FF59" s="350"/>
      <c r="FG59" s="350"/>
      <c r="FH59" s="350"/>
      <c r="FI59" s="350"/>
      <c r="FJ59" s="350"/>
      <c r="FK59" s="350"/>
      <c r="FL59" s="350"/>
      <c r="FM59" s="350"/>
      <c r="FN59" s="350"/>
      <c r="FO59" s="350"/>
      <c r="FP59" s="350"/>
      <c r="FQ59" s="350"/>
      <c r="FR59" s="350"/>
      <c r="FS59" s="350"/>
      <c r="FT59" s="350"/>
      <c r="FU59" s="350"/>
      <c r="FV59" s="350"/>
      <c r="FW59" s="350"/>
      <c r="FX59" s="350"/>
      <c r="FY59" s="350"/>
      <c r="FZ59" s="350"/>
      <c r="GA59" s="350"/>
      <c r="GB59" s="350"/>
      <c r="GC59" s="350"/>
      <c r="GD59" s="350"/>
      <c r="GE59" s="350"/>
      <c r="GF59" s="350"/>
      <c r="GG59" s="350"/>
      <c r="GH59" s="350"/>
      <c r="GI59" s="350"/>
      <c r="GJ59" s="350"/>
      <c r="GK59" s="350"/>
      <c r="GL59" s="350"/>
      <c r="GM59" s="350"/>
      <c r="GN59" s="350"/>
      <c r="GO59" s="350"/>
      <c r="GP59" s="350"/>
      <c r="GQ59" s="350"/>
      <c r="GR59" s="350"/>
      <c r="GS59" s="350"/>
      <c r="GT59" s="350"/>
      <c r="GU59" s="350"/>
      <c r="GV59" s="350"/>
      <c r="GW59" s="350"/>
      <c r="GX59" s="350"/>
      <c r="GY59" s="350"/>
      <c r="GZ59" s="350"/>
      <c r="HA59" s="350"/>
      <c r="HB59" s="350"/>
      <c r="HC59" s="350"/>
      <c r="HD59" s="350"/>
      <c r="HE59" s="350"/>
      <c r="HF59" s="350"/>
      <c r="HG59" s="350"/>
      <c r="HH59" s="350"/>
      <c r="HI59" s="350"/>
      <c r="HJ59" s="350"/>
      <c r="HK59" s="350"/>
      <c r="HL59" s="350"/>
      <c r="HM59" s="350"/>
      <c r="HN59" s="350"/>
      <c r="HO59" s="350"/>
      <c r="HP59" s="350"/>
      <c r="HQ59" s="350"/>
      <c r="HR59" s="350"/>
      <c r="HS59" s="350"/>
      <c r="HT59" s="350"/>
      <c r="HU59" s="350"/>
      <c r="HV59" s="350"/>
      <c r="HW59" s="350"/>
      <c r="HX59" s="350"/>
      <c r="HY59" s="350"/>
      <c r="HZ59" s="350"/>
      <c r="IA59" s="350"/>
      <c r="IB59" s="350"/>
      <c r="IC59" s="350"/>
      <c r="ID59" s="350"/>
      <c r="IE59" s="350"/>
      <c r="IF59" s="350"/>
      <c r="IG59" s="350"/>
      <c r="IH59" s="350"/>
      <c r="II59" s="350"/>
      <c r="IJ59" s="350"/>
      <c r="IK59" s="350"/>
      <c r="IL59" s="350"/>
      <c r="IM59" s="350"/>
      <c r="IN59" s="350"/>
      <c r="IO59" s="350"/>
      <c r="IP59" s="350"/>
      <c r="IQ59" s="350"/>
      <c r="IR59" s="350"/>
      <c r="IS59" s="350"/>
      <c r="IT59" s="350"/>
      <c r="IU59" s="350"/>
      <c r="IV59" s="350"/>
    </row>
    <row r="60" spans="1:256" s="351" customFormat="1" x14ac:dyDescent="0.25">
      <c r="A60" s="155"/>
      <c r="B60" s="101"/>
      <c r="C60" s="101"/>
      <c r="D60" s="95"/>
      <c r="E60" s="95"/>
      <c r="F60" s="101"/>
      <c r="G60" s="101"/>
      <c r="H60" s="101"/>
      <c r="I60" s="352"/>
      <c r="J60" s="101"/>
      <c r="K60" s="101"/>
      <c r="L60" s="101"/>
      <c r="M60" s="101"/>
      <c r="N60" s="95"/>
      <c r="O60" s="350"/>
      <c r="P60" s="350"/>
      <c r="Q60" s="350"/>
      <c r="R60" s="350"/>
      <c r="S60" s="350"/>
      <c r="T60" s="350"/>
      <c r="U60" s="350"/>
      <c r="V60" s="350"/>
      <c r="W60" s="350"/>
      <c r="X60" s="350"/>
      <c r="Y60" s="350"/>
      <c r="Z60" s="350"/>
      <c r="AA60" s="350"/>
      <c r="AB60" s="350"/>
      <c r="AC60" s="350"/>
      <c r="AD60" s="350"/>
      <c r="AE60" s="350"/>
      <c r="AF60" s="350"/>
      <c r="AG60" s="350"/>
      <c r="AH60" s="350"/>
      <c r="AI60" s="350"/>
      <c r="AJ60" s="350"/>
      <c r="AK60" s="350"/>
      <c r="AL60" s="350"/>
      <c r="AM60" s="350"/>
      <c r="AN60" s="350"/>
      <c r="AO60" s="350"/>
      <c r="AP60" s="350"/>
      <c r="AQ60" s="350"/>
      <c r="AR60" s="350"/>
      <c r="AS60" s="350"/>
      <c r="AT60" s="350"/>
      <c r="AU60" s="350"/>
      <c r="AV60" s="350"/>
      <c r="AW60" s="350"/>
      <c r="AX60" s="350"/>
      <c r="AY60" s="350"/>
      <c r="AZ60" s="350"/>
      <c r="BA60" s="350"/>
      <c r="BB60" s="350"/>
      <c r="BC60" s="350"/>
      <c r="BD60" s="350"/>
      <c r="BE60" s="350"/>
      <c r="BF60" s="350"/>
      <c r="BG60" s="350"/>
      <c r="BH60" s="350"/>
      <c r="BI60" s="350"/>
      <c r="BJ60" s="350"/>
      <c r="BK60" s="350"/>
      <c r="BL60" s="350"/>
      <c r="BM60" s="350"/>
      <c r="BN60" s="350"/>
      <c r="BO60" s="350"/>
      <c r="BP60" s="350"/>
      <c r="BQ60" s="350"/>
      <c r="BR60" s="350"/>
      <c r="BS60" s="350"/>
      <c r="BT60" s="350"/>
      <c r="BU60" s="350"/>
      <c r="BV60" s="350"/>
      <c r="BW60" s="350"/>
      <c r="BX60" s="350"/>
      <c r="BY60" s="350"/>
      <c r="BZ60" s="350"/>
      <c r="CA60" s="350"/>
      <c r="CB60" s="350"/>
      <c r="CC60" s="350"/>
      <c r="CD60" s="350"/>
      <c r="CE60" s="350"/>
      <c r="CF60" s="350"/>
      <c r="CG60" s="350"/>
      <c r="CH60" s="350"/>
      <c r="CI60" s="350"/>
      <c r="CJ60" s="350"/>
      <c r="CK60" s="350"/>
      <c r="CL60" s="350"/>
      <c r="CM60" s="350"/>
      <c r="CN60" s="350"/>
      <c r="CO60" s="350"/>
      <c r="CP60" s="350"/>
      <c r="CQ60" s="350"/>
      <c r="CR60" s="350"/>
      <c r="CS60" s="350"/>
      <c r="CT60" s="350"/>
      <c r="CU60" s="350"/>
      <c r="CV60" s="350"/>
      <c r="CW60" s="350"/>
      <c r="CX60" s="350"/>
      <c r="CY60" s="350"/>
      <c r="CZ60" s="350"/>
      <c r="DA60" s="350"/>
      <c r="DB60" s="350"/>
      <c r="DC60" s="350"/>
      <c r="DD60" s="350"/>
      <c r="DE60" s="350"/>
      <c r="DF60" s="350"/>
      <c r="DG60" s="350"/>
      <c r="DH60" s="350"/>
      <c r="DI60" s="350"/>
      <c r="DJ60" s="350"/>
      <c r="DK60" s="350"/>
      <c r="DL60" s="350"/>
      <c r="DM60" s="350"/>
      <c r="DN60" s="350"/>
      <c r="DO60" s="350"/>
      <c r="DP60" s="350"/>
      <c r="DQ60" s="350"/>
      <c r="DR60" s="350"/>
      <c r="DS60" s="350"/>
      <c r="DT60" s="350"/>
      <c r="DU60" s="350"/>
      <c r="DV60" s="350"/>
      <c r="DW60" s="350"/>
      <c r="DX60" s="350"/>
      <c r="DY60" s="350"/>
      <c r="DZ60" s="350"/>
      <c r="EA60" s="350"/>
      <c r="EB60" s="350"/>
      <c r="EC60" s="350"/>
      <c r="ED60" s="350"/>
      <c r="EE60" s="350"/>
      <c r="EF60" s="350"/>
      <c r="EG60" s="350"/>
      <c r="EH60" s="350"/>
      <c r="EI60" s="350"/>
      <c r="EJ60" s="350"/>
      <c r="EK60" s="350"/>
      <c r="EL60" s="350"/>
      <c r="EM60" s="350"/>
      <c r="EN60" s="350"/>
      <c r="EO60" s="350"/>
      <c r="EP60" s="350"/>
      <c r="EQ60" s="350"/>
      <c r="ER60" s="350"/>
      <c r="ES60" s="350"/>
      <c r="ET60" s="350"/>
      <c r="EU60" s="350"/>
      <c r="EV60" s="350"/>
      <c r="EW60" s="350"/>
      <c r="EX60" s="350"/>
      <c r="EY60" s="350"/>
      <c r="EZ60" s="350"/>
      <c r="FA60" s="350"/>
      <c r="FB60" s="350"/>
      <c r="FC60" s="350"/>
      <c r="FD60" s="350"/>
      <c r="FE60" s="350"/>
      <c r="FF60" s="350"/>
      <c r="FG60" s="350"/>
      <c r="FH60" s="350"/>
      <c r="FI60" s="350"/>
      <c r="FJ60" s="350"/>
      <c r="FK60" s="350"/>
      <c r="FL60" s="350"/>
      <c r="FM60" s="350"/>
      <c r="FN60" s="350"/>
      <c r="FO60" s="350"/>
      <c r="FP60" s="350"/>
      <c r="FQ60" s="350"/>
      <c r="FR60" s="350"/>
      <c r="FS60" s="350"/>
      <c r="FT60" s="350"/>
      <c r="FU60" s="350"/>
      <c r="FV60" s="350"/>
      <c r="FW60" s="350"/>
      <c r="FX60" s="350"/>
      <c r="FY60" s="350"/>
      <c r="FZ60" s="350"/>
      <c r="GA60" s="350"/>
      <c r="GB60" s="350"/>
      <c r="GC60" s="350"/>
      <c r="GD60" s="350"/>
      <c r="GE60" s="350"/>
      <c r="GF60" s="350"/>
      <c r="GG60" s="350"/>
      <c r="GH60" s="350"/>
      <c r="GI60" s="350"/>
      <c r="GJ60" s="350"/>
      <c r="GK60" s="350"/>
      <c r="GL60" s="350"/>
      <c r="GM60" s="350"/>
      <c r="GN60" s="350"/>
      <c r="GO60" s="350"/>
      <c r="GP60" s="350"/>
      <c r="GQ60" s="350"/>
      <c r="GR60" s="350"/>
      <c r="GS60" s="350"/>
      <c r="GT60" s="350"/>
      <c r="GU60" s="350"/>
      <c r="GV60" s="350"/>
      <c r="GW60" s="350"/>
      <c r="GX60" s="350"/>
      <c r="GY60" s="350"/>
      <c r="GZ60" s="350"/>
      <c r="HA60" s="350"/>
      <c r="HB60" s="350"/>
      <c r="HC60" s="350"/>
      <c r="HD60" s="350"/>
      <c r="HE60" s="350"/>
      <c r="HF60" s="350"/>
      <c r="HG60" s="350"/>
      <c r="HH60" s="350"/>
      <c r="HI60" s="350"/>
      <c r="HJ60" s="350"/>
      <c r="HK60" s="350"/>
      <c r="HL60" s="350"/>
      <c r="HM60" s="350"/>
      <c r="HN60" s="350"/>
      <c r="HO60" s="350"/>
      <c r="HP60" s="350"/>
      <c r="HQ60" s="350"/>
      <c r="HR60" s="350"/>
      <c r="HS60" s="350"/>
      <c r="HT60" s="350"/>
      <c r="HU60" s="350"/>
      <c r="HV60" s="350"/>
      <c r="HW60" s="350"/>
      <c r="HX60" s="350"/>
      <c r="HY60" s="350"/>
      <c r="HZ60" s="350"/>
      <c r="IA60" s="350"/>
      <c r="IB60" s="350"/>
      <c r="IC60" s="350"/>
      <c r="ID60" s="350"/>
      <c r="IE60" s="350"/>
      <c r="IF60" s="350"/>
      <c r="IG60" s="350"/>
      <c r="IH60" s="350"/>
      <c r="II60" s="350"/>
      <c r="IJ60" s="350"/>
      <c r="IK60" s="350"/>
      <c r="IL60" s="350"/>
      <c r="IM60" s="350"/>
      <c r="IN60" s="350"/>
      <c r="IO60" s="350"/>
      <c r="IP60" s="350"/>
      <c r="IQ60" s="350"/>
      <c r="IR60" s="350"/>
      <c r="IS60" s="350"/>
      <c r="IT60" s="350"/>
      <c r="IU60" s="350"/>
      <c r="IV60" s="350"/>
    </row>
    <row r="61" spans="1:256" s="351" customFormat="1" x14ac:dyDescent="0.25">
      <c r="A61" s="155"/>
      <c r="B61" s="101"/>
      <c r="C61" s="101"/>
      <c r="D61" s="95"/>
      <c r="E61" s="95"/>
      <c r="F61" s="101"/>
      <c r="G61" s="101"/>
      <c r="H61" s="101"/>
      <c r="I61" s="352"/>
      <c r="J61" s="101"/>
      <c r="K61" s="101"/>
      <c r="L61" s="101"/>
      <c r="M61" s="101"/>
      <c r="N61" s="95"/>
      <c r="O61" s="350"/>
      <c r="P61" s="350"/>
      <c r="Q61" s="350"/>
      <c r="R61" s="350"/>
      <c r="S61" s="350"/>
      <c r="T61" s="350"/>
      <c r="U61" s="350"/>
      <c r="V61" s="350"/>
      <c r="W61" s="350"/>
      <c r="X61" s="350"/>
      <c r="Y61" s="350"/>
      <c r="Z61" s="350"/>
      <c r="AA61" s="350"/>
      <c r="AB61" s="350"/>
      <c r="AC61" s="350"/>
      <c r="AD61" s="350"/>
      <c r="AE61" s="350"/>
      <c r="AF61" s="350"/>
      <c r="AG61" s="350"/>
      <c r="AH61" s="350"/>
      <c r="AI61" s="350"/>
      <c r="AJ61" s="350"/>
      <c r="AK61" s="350"/>
      <c r="AL61" s="350"/>
      <c r="AM61" s="350"/>
      <c r="AN61" s="350"/>
      <c r="AO61" s="350"/>
      <c r="AP61" s="350"/>
      <c r="AQ61" s="350"/>
      <c r="AR61" s="350"/>
      <c r="AS61" s="350"/>
      <c r="AT61" s="350"/>
      <c r="AU61" s="350"/>
      <c r="AV61" s="350"/>
      <c r="AW61" s="350"/>
      <c r="AX61" s="350"/>
      <c r="AY61" s="350"/>
      <c r="AZ61" s="350"/>
      <c r="BA61" s="350"/>
      <c r="BB61" s="350"/>
      <c r="BC61" s="350"/>
      <c r="BD61" s="350"/>
      <c r="BE61" s="350"/>
      <c r="BF61" s="350"/>
      <c r="BG61" s="350"/>
      <c r="BH61" s="350"/>
      <c r="BI61" s="350"/>
      <c r="BJ61" s="350"/>
      <c r="BK61" s="350"/>
      <c r="BL61" s="350"/>
      <c r="BM61" s="350"/>
      <c r="BN61" s="350"/>
      <c r="BO61" s="350"/>
      <c r="BP61" s="350"/>
      <c r="BQ61" s="350"/>
      <c r="BR61" s="350"/>
      <c r="BS61" s="350"/>
      <c r="BT61" s="350"/>
      <c r="BU61" s="350"/>
      <c r="BV61" s="350"/>
      <c r="BW61" s="350"/>
      <c r="BX61" s="350"/>
      <c r="BY61" s="350"/>
      <c r="BZ61" s="350"/>
      <c r="CA61" s="350"/>
      <c r="CB61" s="350"/>
      <c r="CC61" s="350"/>
      <c r="CD61" s="350"/>
      <c r="CE61" s="350"/>
      <c r="CF61" s="350"/>
      <c r="CG61" s="350"/>
      <c r="CH61" s="350"/>
      <c r="CI61" s="350"/>
      <c r="CJ61" s="350"/>
      <c r="CK61" s="350"/>
      <c r="CL61" s="350"/>
      <c r="CM61" s="350"/>
      <c r="CN61" s="350"/>
      <c r="CO61" s="350"/>
      <c r="CP61" s="350"/>
      <c r="CQ61" s="350"/>
      <c r="CR61" s="350"/>
      <c r="CS61" s="350"/>
      <c r="CT61" s="350"/>
      <c r="CU61" s="350"/>
      <c r="CV61" s="350"/>
      <c r="CW61" s="350"/>
      <c r="CX61" s="350"/>
      <c r="CY61" s="350"/>
      <c r="CZ61" s="350"/>
      <c r="DA61" s="350"/>
      <c r="DB61" s="350"/>
      <c r="DC61" s="350"/>
      <c r="DD61" s="350"/>
      <c r="DE61" s="350"/>
      <c r="DF61" s="350"/>
      <c r="DG61" s="350"/>
      <c r="DH61" s="350"/>
      <c r="DI61" s="350"/>
      <c r="DJ61" s="350"/>
      <c r="DK61" s="350"/>
      <c r="DL61" s="350"/>
      <c r="DM61" s="350"/>
      <c r="DN61" s="350"/>
      <c r="DO61" s="350"/>
      <c r="DP61" s="350"/>
      <c r="DQ61" s="350"/>
      <c r="DR61" s="350"/>
      <c r="DS61" s="350"/>
      <c r="DT61" s="350"/>
      <c r="DU61" s="350"/>
      <c r="DV61" s="350"/>
      <c r="DW61" s="350"/>
      <c r="DX61" s="350"/>
      <c r="DY61" s="350"/>
      <c r="DZ61" s="350"/>
      <c r="EA61" s="350"/>
      <c r="EB61" s="350"/>
      <c r="EC61" s="350"/>
      <c r="ED61" s="350"/>
      <c r="EE61" s="350"/>
      <c r="EF61" s="350"/>
      <c r="EG61" s="350"/>
      <c r="EH61" s="350"/>
      <c r="EI61" s="350"/>
      <c r="EJ61" s="350"/>
      <c r="EK61" s="350"/>
      <c r="EL61" s="350"/>
      <c r="EM61" s="350"/>
      <c r="EN61" s="350"/>
      <c r="EO61" s="350"/>
      <c r="EP61" s="350"/>
      <c r="EQ61" s="350"/>
      <c r="ER61" s="350"/>
      <c r="ES61" s="350"/>
      <c r="ET61" s="350"/>
      <c r="EU61" s="350"/>
      <c r="EV61" s="350"/>
      <c r="EW61" s="350"/>
      <c r="EX61" s="350"/>
      <c r="EY61" s="350"/>
      <c r="EZ61" s="350"/>
      <c r="FA61" s="350"/>
      <c r="FB61" s="350"/>
      <c r="FC61" s="350"/>
      <c r="FD61" s="350"/>
      <c r="FE61" s="350"/>
      <c r="FF61" s="350"/>
      <c r="FG61" s="350"/>
      <c r="FH61" s="350"/>
      <c r="FI61" s="350"/>
      <c r="FJ61" s="350"/>
      <c r="FK61" s="350"/>
      <c r="FL61" s="350"/>
      <c r="FM61" s="350"/>
      <c r="FN61" s="350"/>
      <c r="FO61" s="350"/>
      <c r="FP61" s="350"/>
      <c r="FQ61" s="350"/>
      <c r="FR61" s="350"/>
      <c r="FS61" s="350"/>
      <c r="FT61" s="350"/>
      <c r="FU61" s="350"/>
      <c r="FV61" s="350"/>
      <c r="FW61" s="350"/>
      <c r="FX61" s="350"/>
      <c r="FY61" s="350"/>
      <c r="FZ61" s="350"/>
      <c r="GA61" s="350"/>
      <c r="GB61" s="350"/>
      <c r="GC61" s="350"/>
      <c r="GD61" s="350"/>
      <c r="GE61" s="350"/>
      <c r="GF61" s="350"/>
      <c r="GG61" s="350"/>
      <c r="GH61" s="350"/>
      <c r="GI61" s="350"/>
      <c r="GJ61" s="350"/>
      <c r="GK61" s="350"/>
      <c r="GL61" s="350"/>
      <c r="GM61" s="350"/>
      <c r="GN61" s="350"/>
      <c r="GO61" s="350"/>
      <c r="GP61" s="350"/>
      <c r="GQ61" s="350"/>
      <c r="GR61" s="350"/>
      <c r="GS61" s="350"/>
      <c r="GT61" s="350"/>
      <c r="GU61" s="350"/>
      <c r="GV61" s="350"/>
      <c r="GW61" s="350"/>
      <c r="GX61" s="350"/>
      <c r="GY61" s="350"/>
      <c r="GZ61" s="350"/>
      <c r="HA61" s="350"/>
      <c r="HB61" s="350"/>
      <c r="HC61" s="350"/>
      <c r="HD61" s="350"/>
      <c r="HE61" s="350"/>
      <c r="HF61" s="350"/>
      <c r="HG61" s="350"/>
      <c r="HH61" s="350"/>
      <c r="HI61" s="350"/>
      <c r="HJ61" s="350"/>
      <c r="HK61" s="350"/>
      <c r="HL61" s="350"/>
      <c r="HM61" s="350"/>
      <c r="HN61" s="350"/>
      <c r="HO61" s="350"/>
      <c r="HP61" s="350"/>
      <c r="HQ61" s="350"/>
      <c r="HR61" s="350"/>
      <c r="HS61" s="350"/>
      <c r="HT61" s="350"/>
      <c r="HU61" s="350"/>
      <c r="HV61" s="350"/>
      <c r="HW61" s="350"/>
      <c r="HX61" s="350"/>
      <c r="HY61" s="350"/>
      <c r="HZ61" s="350"/>
      <c r="IA61" s="350"/>
      <c r="IB61" s="350"/>
      <c r="IC61" s="350"/>
      <c r="ID61" s="350"/>
      <c r="IE61" s="350"/>
      <c r="IF61" s="350"/>
      <c r="IG61" s="350"/>
      <c r="IH61" s="350"/>
      <c r="II61" s="350"/>
      <c r="IJ61" s="350"/>
      <c r="IK61" s="350"/>
      <c r="IL61" s="350"/>
      <c r="IM61" s="350"/>
      <c r="IN61" s="350"/>
      <c r="IO61" s="350"/>
      <c r="IP61" s="350"/>
      <c r="IQ61" s="350"/>
      <c r="IR61" s="350"/>
      <c r="IS61" s="350"/>
      <c r="IT61" s="350"/>
      <c r="IU61" s="350"/>
      <c r="IV61" s="350"/>
    </row>
    <row r="62" spans="1:256" s="53" customFormat="1" x14ac:dyDescent="0.25">
      <c r="A62" s="48"/>
      <c r="B62" s="49"/>
      <c r="C62" s="49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8"/>
      <c r="O62" s="48"/>
      <c r="P62" s="48"/>
      <c r="Q62" s="48"/>
      <c r="R62" s="78"/>
      <c r="S62" s="78"/>
      <c r="T62" s="78"/>
      <c r="U62" s="78"/>
      <c r="V62" s="78"/>
      <c r="W62" s="78"/>
      <c r="X62" s="78"/>
      <c r="Y62" s="78"/>
      <c r="Z62" s="78"/>
      <c r="AA62" s="78"/>
      <c r="AB62" s="78"/>
      <c r="AC62" s="78"/>
      <c r="AD62" s="78"/>
      <c r="AE62" s="78"/>
      <c r="AF62" s="78"/>
      <c r="AG62" s="78"/>
      <c r="AH62" s="78"/>
      <c r="AI62" s="78"/>
      <c r="AJ62" s="78"/>
      <c r="AK62" s="78"/>
      <c r="AL62" s="78"/>
      <c r="AM62" s="78"/>
      <c r="AN62" s="78"/>
      <c r="AO62" s="78"/>
      <c r="AP62" s="78"/>
      <c r="AQ62" s="78"/>
      <c r="AR62" s="78"/>
      <c r="AS62" s="78"/>
      <c r="AT62" s="78"/>
      <c r="AU62" s="78"/>
      <c r="AV62" s="78"/>
      <c r="AW62" s="78"/>
      <c r="AX62" s="78"/>
      <c r="AY62" s="78"/>
      <c r="AZ62" s="78"/>
      <c r="BA62" s="78"/>
      <c r="BB62" s="78"/>
      <c r="BC62" s="78"/>
      <c r="BD62" s="78"/>
      <c r="BE62" s="78"/>
      <c r="BF62" s="78"/>
      <c r="BG62" s="78"/>
      <c r="BH62" s="78"/>
      <c r="BI62" s="78"/>
      <c r="BJ62" s="78"/>
      <c r="BK62" s="78"/>
      <c r="BL62" s="78"/>
      <c r="BM62" s="78"/>
      <c r="BN62" s="78"/>
      <c r="BO62" s="78"/>
      <c r="BP62" s="78"/>
      <c r="BQ62" s="78"/>
      <c r="BR62" s="78"/>
      <c r="BS62" s="78"/>
      <c r="BT62" s="78"/>
      <c r="BU62" s="78"/>
      <c r="BV62" s="78"/>
      <c r="BW62" s="78"/>
      <c r="BX62" s="78"/>
      <c r="BY62" s="78"/>
      <c r="BZ62" s="78"/>
      <c r="CA62" s="78"/>
      <c r="CB62" s="78"/>
      <c r="CC62" s="78"/>
      <c r="CD62" s="78"/>
      <c r="CE62" s="78"/>
      <c r="CF62" s="78"/>
      <c r="CG62" s="78"/>
      <c r="CH62" s="78"/>
      <c r="CI62" s="78"/>
      <c r="CJ62" s="78"/>
      <c r="CK62" s="78"/>
      <c r="CL62" s="78"/>
      <c r="CM62" s="78"/>
      <c r="CN62" s="78"/>
      <c r="CO62" s="78"/>
      <c r="CP62" s="78"/>
      <c r="CQ62" s="78"/>
      <c r="CR62" s="78"/>
      <c r="CS62" s="78"/>
      <c r="CT62" s="78"/>
      <c r="CU62" s="78"/>
      <c r="CV62" s="78"/>
      <c r="CW62" s="78"/>
      <c r="CX62" s="78"/>
      <c r="CY62" s="78"/>
      <c r="CZ62" s="78"/>
      <c r="DA62" s="78"/>
      <c r="DB62" s="78"/>
      <c r="DC62" s="78"/>
      <c r="DD62" s="78"/>
      <c r="DE62" s="78"/>
      <c r="DF62" s="78"/>
      <c r="DG62" s="78"/>
      <c r="DH62" s="78"/>
      <c r="DI62" s="78"/>
      <c r="DJ62" s="78"/>
      <c r="DK62" s="78"/>
      <c r="DL62" s="78"/>
      <c r="DM62" s="78"/>
      <c r="DN62" s="78"/>
      <c r="DO62" s="78"/>
      <c r="DP62" s="78"/>
      <c r="DQ62" s="78"/>
      <c r="DR62" s="78"/>
      <c r="DS62" s="78"/>
      <c r="DT62" s="78"/>
      <c r="DU62" s="78"/>
      <c r="DV62" s="78"/>
      <c r="DW62" s="78"/>
      <c r="DX62" s="78"/>
      <c r="DY62" s="78"/>
      <c r="DZ62" s="78"/>
      <c r="EA62" s="78"/>
      <c r="EB62" s="78"/>
      <c r="EC62" s="78"/>
      <c r="ED62" s="78"/>
      <c r="EE62" s="78"/>
      <c r="EF62" s="78"/>
      <c r="EG62" s="78"/>
      <c r="EH62" s="78"/>
      <c r="EI62" s="78"/>
      <c r="EJ62" s="78"/>
      <c r="EK62" s="78"/>
      <c r="EL62" s="78"/>
      <c r="EM62" s="78"/>
      <c r="EN62" s="78"/>
      <c r="EO62" s="78"/>
      <c r="EP62" s="78"/>
      <c r="EQ62" s="78"/>
      <c r="ER62" s="78"/>
      <c r="ES62" s="78"/>
      <c r="ET62" s="78"/>
      <c r="EU62" s="78"/>
      <c r="EV62" s="78"/>
      <c r="EW62" s="78"/>
      <c r="EX62" s="78"/>
      <c r="EY62" s="78"/>
      <c r="EZ62" s="78"/>
      <c r="FA62" s="78"/>
      <c r="FB62" s="78"/>
      <c r="FC62" s="78"/>
      <c r="FD62" s="78"/>
      <c r="FE62" s="78"/>
      <c r="FF62" s="78"/>
      <c r="FG62" s="78"/>
      <c r="FH62" s="78"/>
      <c r="FI62" s="78"/>
      <c r="FJ62" s="78"/>
      <c r="FK62" s="78"/>
      <c r="FL62" s="78"/>
      <c r="FM62" s="78"/>
      <c r="FN62" s="78"/>
      <c r="FO62" s="78"/>
      <c r="FP62" s="78"/>
      <c r="FQ62" s="78"/>
      <c r="FR62" s="78"/>
      <c r="FS62" s="78"/>
      <c r="FT62" s="78"/>
      <c r="FU62" s="78"/>
      <c r="FV62" s="78"/>
      <c r="FW62" s="78"/>
      <c r="FX62" s="78"/>
      <c r="FY62" s="78"/>
      <c r="FZ62" s="78"/>
      <c r="GA62" s="78"/>
      <c r="GB62" s="78"/>
      <c r="GC62" s="78"/>
      <c r="GD62" s="78"/>
      <c r="GE62" s="78"/>
      <c r="GF62" s="78"/>
      <c r="GG62" s="78"/>
      <c r="GH62" s="78"/>
      <c r="GI62" s="78"/>
      <c r="GJ62" s="78"/>
      <c r="GK62" s="78"/>
      <c r="GL62" s="78"/>
      <c r="GM62" s="78"/>
      <c r="GN62" s="78"/>
      <c r="GO62" s="78"/>
      <c r="GP62" s="78"/>
      <c r="GQ62" s="78"/>
      <c r="GR62" s="78"/>
      <c r="GS62" s="78"/>
      <c r="GT62" s="78"/>
      <c r="GU62" s="78"/>
      <c r="GV62" s="78"/>
      <c r="GW62" s="78"/>
      <c r="GX62" s="78"/>
      <c r="GY62" s="78"/>
      <c r="GZ62" s="78"/>
      <c r="HA62" s="78"/>
      <c r="HB62" s="78"/>
      <c r="HC62" s="78"/>
      <c r="HD62" s="78"/>
      <c r="HE62" s="78"/>
      <c r="HF62" s="78"/>
      <c r="HG62" s="78"/>
      <c r="HH62" s="78"/>
      <c r="HI62" s="78"/>
      <c r="HJ62" s="78"/>
      <c r="HK62" s="78"/>
      <c r="HL62" s="78"/>
      <c r="HM62" s="78"/>
      <c r="HN62" s="78"/>
      <c r="HO62" s="78"/>
      <c r="HP62" s="78"/>
      <c r="HQ62" s="78"/>
      <c r="HR62" s="78"/>
      <c r="HS62" s="78"/>
      <c r="HT62" s="78"/>
      <c r="HU62" s="78"/>
      <c r="HV62" s="78"/>
      <c r="HW62" s="78"/>
      <c r="HX62" s="78"/>
      <c r="HY62" s="78"/>
      <c r="HZ62" s="78"/>
      <c r="IA62" s="78"/>
      <c r="IB62" s="78"/>
      <c r="IC62" s="78"/>
      <c r="ID62" s="78"/>
      <c r="IE62" s="78"/>
      <c r="IF62" s="78"/>
      <c r="IG62" s="78"/>
      <c r="IH62" s="78"/>
      <c r="II62" s="78"/>
      <c r="IJ62" s="78"/>
      <c r="IK62" s="78"/>
      <c r="IL62" s="78"/>
      <c r="IM62" s="78"/>
      <c r="IN62" s="78"/>
      <c r="IO62" s="78"/>
      <c r="IP62" s="78"/>
      <c r="IQ62" s="78"/>
      <c r="IR62" s="78"/>
      <c r="IS62" s="78"/>
      <c r="IT62" s="78"/>
      <c r="IU62" s="78"/>
      <c r="IV62" s="78"/>
    </row>
    <row r="63" spans="1:256" s="53" customFormat="1" x14ac:dyDescent="0.25">
      <c r="A63" s="50"/>
      <c r="B63" s="51"/>
      <c r="C63" s="51"/>
      <c r="D63" s="52"/>
      <c r="E63" s="52"/>
      <c r="F63" s="49"/>
      <c r="G63" s="49"/>
      <c r="H63" s="49"/>
      <c r="I63" s="49"/>
      <c r="J63" s="49"/>
      <c r="K63" s="52"/>
      <c r="L63" s="52"/>
      <c r="M63" s="49"/>
      <c r="N63" s="48"/>
      <c r="O63" s="52"/>
      <c r="P63" s="51"/>
      <c r="Q63" s="51"/>
      <c r="R63" s="78"/>
      <c r="S63" s="78"/>
      <c r="T63" s="78"/>
      <c r="U63" s="78"/>
      <c r="V63" s="78"/>
      <c r="W63" s="78"/>
      <c r="X63" s="78"/>
      <c r="Y63" s="78"/>
      <c r="Z63" s="78"/>
      <c r="AA63" s="78"/>
      <c r="AB63" s="78"/>
      <c r="AC63" s="78"/>
      <c r="AD63" s="78"/>
      <c r="AE63" s="78"/>
      <c r="AF63" s="78"/>
      <c r="AG63" s="78"/>
      <c r="AH63" s="78"/>
      <c r="AI63" s="78"/>
      <c r="AJ63" s="78"/>
      <c r="AK63" s="78"/>
      <c r="AL63" s="78"/>
      <c r="AM63" s="78"/>
      <c r="AN63" s="78"/>
      <c r="AO63" s="78"/>
      <c r="AP63" s="78"/>
      <c r="AQ63" s="78"/>
      <c r="AR63" s="78"/>
      <c r="AS63" s="78"/>
      <c r="AT63" s="78"/>
      <c r="AU63" s="78"/>
      <c r="AV63" s="78"/>
      <c r="AW63" s="78"/>
      <c r="AX63" s="78"/>
      <c r="AY63" s="78"/>
      <c r="AZ63" s="78"/>
      <c r="BA63" s="78"/>
      <c r="BB63" s="78"/>
      <c r="BC63" s="78"/>
      <c r="BD63" s="78"/>
      <c r="BE63" s="78"/>
      <c r="BF63" s="78"/>
      <c r="BG63" s="78"/>
      <c r="BH63" s="78"/>
      <c r="BI63" s="78"/>
      <c r="BJ63" s="78"/>
      <c r="BK63" s="78"/>
      <c r="BL63" s="78"/>
      <c r="BM63" s="78"/>
      <c r="BN63" s="78"/>
      <c r="BO63" s="78"/>
      <c r="BP63" s="78"/>
      <c r="BQ63" s="78"/>
      <c r="BR63" s="78"/>
      <c r="BS63" s="78"/>
      <c r="BT63" s="78"/>
      <c r="BU63" s="78"/>
      <c r="BV63" s="78"/>
      <c r="BW63" s="78"/>
      <c r="BX63" s="78"/>
      <c r="BY63" s="78"/>
      <c r="BZ63" s="78"/>
      <c r="CA63" s="78"/>
      <c r="CB63" s="78"/>
      <c r="CC63" s="78"/>
      <c r="CD63" s="78"/>
      <c r="CE63" s="78"/>
      <c r="CF63" s="78"/>
      <c r="CG63" s="78"/>
      <c r="CH63" s="78"/>
      <c r="CI63" s="78"/>
      <c r="CJ63" s="78"/>
      <c r="CK63" s="78"/>
      <c r="CL63" s="78"/>
      <c r="CM63" s="78"/>
      <c r="CN63" s="78"/>
      <c r="CO63" s="78"/>
      <c r="CP63" s="78"/>
      <c r="CQ63" s="78"/>
      <c r="CR63" s="78"/>
      <c r="CS63" s="78"/>
      <c r="CT63" s="78"/>
      <c r="CU63" s="78"/>
      <c r="CV63" s="78"/>
      <c r="CW63" s="78"/>
      <c r="CX63" s="78"/>
      <c r="CY63" s="78"/>
      <c r="CZ63" s="78"/>
      <c r="DA63" s="78"/>
      <c r="DB63" s="78"/>
      <c r="DC63" s="78"/>
      <c r="DD63" s="78"/>
      <c r="DE63" s="78"/>
      <c r="DF63" s="78"/>
      <c r="DG63" s="78"/>
      <c r="DH63" s="78"/>
      <c r="DI63" s="78"/>
      <c r="DJ63" s="78"/>
      <c r="DK63" s="78"/>
      <c r="DL63" s="78"/>
      <c r="DM63" s="78"/>
      <c r="DN63" s="78"/>
      <c r="DO63" s="78"/>
      <c r="DP63" s="78"/>
      <c r="DQ63" s="78"/>
      <c r="DR63" s="78"/>
      <c r="DS63" s="78"/>
      <c r="DT63" s="78"/>
      <c r="DU63" s="78"/>
      <c r="DV63" s="78"/>
      <c r="DW63" s="78"/>
      <c r="DX63" s="78"/>
      <c r="DY63" s="78"/>
      <c r="DZ63" s="78"/>
      <c r="EA63" s="78"/>
      <c r="EB63" s="78"/>
      <c r="EC63" s="78"/>
      <c r="ED63" s="78"/>
      <c r="EE63" s="78"/>
      <c r="EF63" s="78"/>
      <c r="EG63" s="78"/>
      <c r="EH63" s="78"/>
      <c r="EI63" s="78"/>
      <c r="EJ63" s="78"/>
      <c r="EK63" s="78"/>
      <c r="EL63" s="78"/>
      <c r="EM63" s="78"/>
      <c r="EN63" s="78"/>
      <c r="EO63" s="78"/>
      <c r="EP63" s="78"/>
      <c r="EQ63" s="78"/>
      <c r="ER63" s="78"/>
      <c r="ES63" s="78"/>
      <c r="ET63" s="78"/>
      <c r="EU63" s="78"/>
      <c r="EV63" s="78"/>
      <c r="EW63" s="78"/>
      <c r="EX63" s="78"/>
      <c r="EY63" s="78"/>
      <c r="EZ63" s="78"/>
      <c r="FA63" s="78"/>
      <c r="FB63" s="78"/>
      <c r="FC63" s="78"/>
      <c r="FD63" s="78"/>
      <c r="FE63" s="78"/>
      <c r="FF63" s="78"/>
      <c r="FG63" s="78"/>
      <c r="FH63" s="78"/>
      <c r="FI63" s="78"/>
      <c r="FJ63" s="78"/>
      <c r="FK63" s="78"/>
      <c r="FL63" s="78"/>
      <c r="FM63" s="78"/>
      <c r="FN63" s="78"/>
      <c r="FO63" s="78"/>
      <c r="FP63" s="78"/>
      <c r="FQ63" s="78"/>
      <c r="FR63" s="78"/>
      <c r="FS63" s="78"/>
      <c r="FT63" s="78"/>
      <c r="FU63" s="78"/>
      <c r="FV63" s="78"/>
      <c r="FW63" s="78"/>
      <c r="FX63" s="78"/>
      <c r="FY63" s="78"/>
      <c r="FZ63" s="78"/>
      <c r="GA63" s="78"/>
      <c r="GB63" s="78"/>
      <c r="GC63" s="78"/>
      <c r="GD63" s="78"/>
      <c r="GE63" s="78"/>
      <c r="GF63" s="78"/>
      <c r="GG63" s="78"/>
      <c r="GH63" s="78"/>
      <c r="GI63" s="78"/>
      <c r="GJ63" s="78"/>
      <c r="GK63" s="78"/>
      <c r="GL63" s="78"/>
      <c r="GM63" s="78"/>
      <c r="GN63" s="78"/>
      <c r="GO63" s="78"/>
      <c r="GP63" s="78"/>
      <c r="GQ63" s="78"/>
      <c r="GR63" s="78"/>
      <c r="GS63" s="78"/>
      <c r="GT63" s="78"/>
      <c r="GU63" s="78"/>
      <c r="GV63" s="78"/>
      <c r="GW63" s="78"/>
      <c r="GX63" s="78"/>
      <c r="GY63" s="78"/>
      <c r="GZ63" s="78"/>
      <c r="HA63" s="78"/>
      <c r="HB63" s="78"/>
      <c r="HC63" s="78"/>
      <c r="HD63" s="78"/>
      <c r="HE63" s="78"/>
      <c r="HF63" s="78"/>
      <c r="HG63" s="78"/>
      <c r="HH63" s="78"/>
      <c r="HI63" s="78"/>
      <c r="HJ63" s="78"/>
      <c r="HK63" s="78"/>
      <c r="HL63" s="78"/>
      <c r="HM63" s="78"/>
      <c r="HN63" s="78"/>
      <c r="HO63" s="78"/>
      <c r="HP63" s="78"/>
      <c r="HQ63" s="78"/>
      <c r="HR63" s="78"/>
      <c r="HS63" s="78"/>
      <c r="HT63" s="78"/>
      <c r="HU63" s="78"/>
      <c r="HV63" s="78"/>
      <c r="HW63" s="78"/>
      <c r="HX63" s="78"/>
      <c r="HY63" s="78"/>
      <c r="HZ63" s="78"/>
      <c r="IA63" s="78"/>
      <c r="IB63" s="78"/>
      <c r="IC63" s="78"/>
      <c r="ID63" s="78"/>
      <c r="IE63" s="78"/>
      <c r="IF63" s="78"/>
      <c r="IG63" s="78"/>
      <c r="IH63" s="78"/>
      <c r="II63" s="78"/>
      <c r="IJ63" s="78"/>
      <c r="IK63" s="78"/>
      <c r="IL63" s="78"/>
      <c r="IM63" s="78"/>
      <c r="IN63" s="78"/>
      <c r="IO63" s="78"/>
      <c r="IP63" s="78"/>
      <c r="IQ63" s="78"/>
      <c r="IR63" s="78"/>
      <c r="IS63" s="78"/>
      <c r="IT63" s="78"/>
      <c r="IU63" s="78"/>
      <c r="IV63" s="78"/>
    </row>
    <row r="64" spans="1:256" s="53" customFormat="1" x14ac:dyDescent="0.25">
      <c r="A64" s="50"/>
      <c r="B64" s="51"/>
      <c r="C64" s="51"/>
      <c r="D64" s="52"/>
      <c r="E64" s="52"/>
      <c r="F64" s="49"/>
      <c r="G64" s="49"/>
      <c r="H64" s="49"/>
      <c r="I64" s="49"/>
      <c r="J64" s="49"/>
      <c r="K64" s="52"/>
      <c r="L64" s="52"/>
      <c r="M64" s="49"/>
      <c r="N64" s="48"/>
      <c r="O64" s="52"/>
      <c r="P64" s="51"/>
      <c r="Q64" s="51"/>
      <c r="R64" s="78"/>
      <c r="S64" s="78"/>
      <c r="T64" s="78"/>
      <c r="U64" s="78"/>
      <c r="V64" s="78"/>
      <c r="W64" s="78"/>
      <c r="X64" s="78"/>
      <c r="Y64" s="78"/>
      <c r="Z64" s="78"/>
      <c r="AA64" s="78"/>
      <c r="AB64" s="78"/>
      <c r="AC64" s="78"/>
      <c r="AD64" s="78"/>
      <c r="AE64" s="78"/>
      <c r="AF64" s="78"/>
      <c r="AG64" s="78"/>
      <c r="AH64" s="78"/>
      <c r="AI64" s="78"/>
      <c r="AJ64" s="78"/>
      <c r="AK64" s="78"/>
      <c r="AL64" s="78"/>
      <c r="AM64" s="78"/>
      <c r="AN64" s="78"/>
      <c r="AO64" s="78"/>
      <c r="AP64" s="78"/>
      <c r="AQ64" s="78"/>
      <c r="AR64" s="78"/>
      <c r="AS64" s="78"/>
      <c r="AT64" s="78"/>
      <c r="AU64" s="78"/>
      <c r="AV64" s="78"/>
      <c r="AW64" s="78"/>
      <c r="AX64" s="78"/>
      <c r="AY64" s="78"/>
      <c r="AZ64" s="78"/>
      <c r="BA64" s="78"/>
      <c r="BB64" s="78"/>
      <c r="BC64" s="78"/>
      <c r="BD64" s="78"/>
      <c r="BE64" s="78"/>
      <c r="BF64" s="78"/>
      <c r="BG64" s="78"/>
      <c r="BH64" s="78"/>
      <c r="BI64" s="78"/>
      <c r="BJ64" s="78"/>
      <c r="BK64" s="78"/>
      <c r="BL64" s="78"/>
      <c r="BM64" s="78"/>
      <c r="BN64" s="78"/>
      <c r="BO64" s="78"/>
      <c r="BP64" s="78"/>
      <c r="BQ64" s="78"/>
      <c r="BR64" s="78"/>
      <c r="BS64" s="78"/>
      <c r="BT64" s="78"/>
      <c r="BU64" s="78"/>
      <c r="BV64" s="78"/>
      <c r="BW64" s="78"/>
      <c r="BX64" s="78"/>
      <c r="BY64" s="78"/>
      <c r="BZ64" s="78"/>
      <c r="CA64" s="78"/>
      <c r="CB64" s="78"/>
      <c r="CC64" s="78"/>
      <c r="CD64" s="78"/>
      <c r="CE64" s="78"/>
      <c r="CF64" s="78"/>
      <c r="CG64" s="78"/>
      <c r="CH64" s="78"/>
      <c r="CI64" s="78"/>
      <c r="CJ64" s="78"/>
      <c r="CK64" s="78"/>
      <c r="CL64" s="78"/>
      <c r="CM64" s="78"/>
      <c r="CN64" s="78"/>
      <c r="CO64" s="78"/>
      <c r="CP64" s="78"/>
      <c r="CQ64" s="78"/>
      <c r="CR64" s="78"/>
      <c r="CS64" s="78"/>
      <c r="CT64" s="78"/>
      <c r="CU64" s="78"/>
      <c r="CV64" s="78"/>
      <c r="CW64" s="78"/>
      <c r="CX64" s="78"/>
      <c r="CY64" s="78"/>
      <c r="CZ64" s="78"/>
      <c r="DA64" s="78"/>
      <c r="DB64" s="78"/>
      <c r="DC64" s="78"/>
      <c r="DD64" s="78"/>
      <c r="DE64" s="78"/>
      <c r="DF64" s="78"/>
      <c r="DG64" s="78"/>
      <c r="DH64" s="78"/>
      <c r="DI64" s="78"/>
      <c r="DJ64" s="78"/>
      <c r="DK64" s="78"/>
      <c r="DL64" s="78"/>
      <c r="DM64" s="78"/>
      <c r="DN64" s="78"/>
      <c r="DO64" s="78"/>
      <c r="DP64" s="78"/>
      <c r="DQ64" s="78"/>
      <c r="DR64" s="78"/>
      <c r="DS64" s="78"/>
      <c r="DT64" s="78"/>
      <c r="DU64" s="78"/>
      <c r="DV64" s="78"/>
      <c r="DW64" s="78"/>
      <c r="DX64" s="78"/>
      <c r="DY64" s="78"/>
      <c r="DZ64" s="78"/>
      <c r="EA64" s="78"/>
      <c r="EB64" s="78"/>
      <c r="EC64" s="78"/>
      <c r="ED64" s="78"/>
      <c r="EE64" s="78"/>
      <c r="EF64" s="78"/>
      <c r="EG64" s="78"/>
      <c r="EH64" s="78"/>
      <c r="EI64" s="78"/>
      <c r="EJ64" s="78"/>
      <c r="EK64" s="78"/>
      <c r="EL64" s="78"/>
      <c r="EM64" s="78"/>
      <c r="EN64" s="78"/>
      <c r="EO64" s="78"/>
      <c r="EP64" s="78"/>
      <c r="EQ64" s="78"/>
      <c r="ER64" s="78"/>
      <c r="ES64" s="78"/>
      <c r="ET64" s="78"/>
      <c r="EU64" s="78"/>
      <c r="EV64" s="78"/>
      <c r="EW64" s="78"/>
      <c r="EX64" s="78"/>
      <c r="EY64" s="78"/>
      <c r="EZ64" s="78"/>
      <c r="FA64" s="78"/>
      <c r="FB64" s="78"/>
      <c r="FC64" s="78"/>
      <c r="FD64" s="78"/>
      <c r="FE64" s="78"/>
      <c r="FF64" s="78"/>
      <c r="FG64" s="78"/>
      <c r="FH64" s="78"/>
      <c r="FI64" s="78"/>
      <c r="FJ64" s="78"/>
      <c r="FK64" s="78"/>
      <c r="FL64" s="78"/>
      <c r="FM64" s="78"/>
      <c r="FN64" s="78"/>
      <c r="FO64" s="78"/>
      <c r="FP64" s="78"/>
      <c r="FQ64" s="78"/>
      <c r="FR64" s="78"/>
      <c r="FS64" s="78"/>
      <c r="FT64" s="78"/>
      <c r="FU64" s="78"/>
      <c r="FV64" s="78"/>
      <c r="FW64" s="78"/>
      <c r="FX64" s="78"/>
      <c r="FY64" s="78"/>
      <c r="FZ64" s="78"/>
      <c r="GA64" s="78"/>
      <c r="GB64" s="78"/>
      <c r="GC64" s="78"/>
      <c r="GD64" s="78"/>
      <c r="GE64" s="78"/>
      <c r="GF64" s="78"/>
      <c r="GG64" s="78"/>
      <c r="GH64" s="78"/>
      <c r="GI64" s="78"/>
      <c r="GJ64" s="78"/>
      <c r="GK64" s="78"/>
      <c r="GL64" s="78"/>
      <c r="GM64" s="78"/>
      <c r="GN64" s="78"/>
      <c r="GO64" s="78"/>
      <c r="GP64" s="78"/>
      <c r="GQ64" s="78"/>
      <c r="GR64" s="78"/>
      <c r="GS64" s="78"/>
      <c r="GT64" s="78"/>
      <c r="GU64" s="78"/>
      <c r="GV64" s="78"/>
      <c r="GW64" s="78"/>
      <c r="GX64" s="78"/>
      <c r="GY64" s="78"/>
      <c r="GZ64" s="78"/>
      <c r="HA64" s="78"/>
      <c r="HB64" s="78"/>
      <c r="HC64" s="78"/>
      <c r="HD64" s="78"/>
      <c r="HE64" s="78"/>
      <c r="HF64" s="78"/>
      <c r="HG64" s="78"/>
      <c r="HH64" s="78"/>
      <c r="HI64" s="78"/>
      <c r="HJ64" s="78"/>
      <c r="HK64" s="78"/>
      <c r="HL64" s="78"/>
      <c r="HM64" s="78"/>
      <c r="HN64" s="78"/>
      <c r="HO64" s="78"/>
      <c r="HP64" s="78"/>
      <c r="HQ64" s="78"/>
      <c r="HR64" s="78"/>
      <c r="HS64" s="78"/>
      <c r="HT64" s="78"/>
      <c r="HU64" s="78"/>
      <c r="HV64" s="78"/>
      <c r="HW64" s="78"/>
      <c r="HX64" s="78"/>
      <c r="HY64" s="78"/>
      <c r="HZ64" s="78"/>
      <c r="IA64" s="78"/>
      <c r="IB64" s="78"/>
      <c r="IC64" s="78"/>
      <c r="ID64" s="78"/>
      <c r="IE64" s="78"/>
      <c r="IF64" s="78"/>
      <c r="IG64" s="78"/>
      <c r="IH64" s="78"/>
      <c r="II64" s="78"/>
      <c r="IJ64" s="78"/>
      <c r="IK64" s="78"/>
      <c r="IL64" s="78"/>
      <c r="IM64" s="78"/>
      <c r="IN64" s="78"/>
      <c r="IO64" s="78"/>
      <c r="IP64" s="78"/>
      <c r="IQ64" s="78"/>
      <c r="IR64" s="78"/>
      <c r="IS64" s="78"/>
      <c r="IT64" s="78"/>
      <c r="IU64" s="78"/>
      <c r="IV64" s="78"/>
    </row>
    <row r="65" spans="1:256" s="53" customFormat="1" x14ac:dyDescent="0.25">
      <c r="A65" s="50"/>
      <c r="B65" s="51"/>
      <c r="C65" s="51"/>
      <c r="D65" s="52"/>
      <c r="E65" s="52"/>
      <c r="F65" s="49"/>
      <c r="G65" s="49"/>
      <c r="H65" s="49"/>
      <c r="I65" s="49"/>
      <c r="J65" s="49"/>
      <c r="K65" s="52"/>
      <c r="L65" s="52"/>
      <c r="M65" s="49"/>
      <c r="N65" s="48"/>
      <c r="O65" s="52"/>
      <c r="P65" s="51"/>
      <c r="Q65" s="51"/>
    </row>
    <row r="66" spans="1:256" s="53" customFormat="1" x14ac:dyDescent="0.25">
      <c r="A66" s="50"/>
      <c r="B66" s="51"/>
      <c r="C66" s="51"/>
      <c r="D66" s="52"/>
      <c r="E66" s="52"/>
      <c r="F66" s="49"/>
      <c r="G66" s="49"/>
      <c r="H66" s="49"/>
      <c r="I66" s="49"/>
      <c r="J66" s="49"/>
      <c r="K66" s="52"/>
      <c r="L66" s="52"/>
      <c r="M66" s="49"/>
      <c r="N66" s="48"/>
      <c r="O66" s="52"/>
      <c r="P66" s="51"/>
      <c r="Q66" s="51"/>
    </row>
    <row r="67" spans="1:256" s="53" customFormat="1" x14ac:dyDescent="0.25">
      <c r="A67" s="48"/>
      <c r="B67" s="49"/>
      <c r="C67" s="51"/>
      <c r="D67" s="52"/>
      <c r="E67" s="49"/>
      <c r="F67" s="49"/>
      <c r="G67" s="49"/>
      <c r="H67" s="49"/>
      <c r="I67" s="49"/>
      <c r="J67" s="49"/>
      <c r="K67" s="49"/>
      <c r="L67" s="49"/>
      <c r="M67" s="49"/>
      <c r="N67" s="48"/>
      <c r="O67" s="48"/>
      <c r="P67" s="48"/>
      <c r="Q67" s="48"/>
    </row>
    <row r="68" spans="1:256" s="42" customFormat="1" ht="9" customHeight="1" x14ac:dyDescent="0.25">
      <c r="A68" s="48"/>
      <c r="B68" s="49"/>
      <c r="C68" s="51"/>
      <c r="D68" s="52"/>
      <c r="E68" s="49"/>
      <c r="F68" s="49"/>
      <c r="G68" s="49"/>
      <c r="H68" s="49"/>
      <c r="I68" s="49"/>
      <c r="J68" s="49"/>
      <c r="K68" s="49"/>
      <c r="L68" s="49"/>
      <c r="M68" s="49"/>
      <c r="N68" s="48"/>
      <c r="O68" s="48"/>
      <c r="P68" s="48"/>
      <c r="Q68" s="48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53"/>
      <c r="AG68" s="53"/>
      <c r="AH68" s="53"/>
      <c r="AI68" s="53"/>
      <c r="AJ68" s="53"/>
      <c r="AK68" s="53"/>
      <c r="AL68" s="53"/>
      <c r="AM68" s="53"/>
      <c r="AN68" s="53"/>
      <c r="AO68" s="53"/>
      <c r="AP68" s="53"/>
      <c r="AQ68" s="53"/>
      <c r="AR68" s="53"/>
      <c r="AS68" s="53"/>
      <c r="AT68" s="53"/>
      <c r="AU68" s="53"/>
      <c r="AV68" s="53"/>
      <c r="AW68" s="53"/>
      <c r="AX68" s="53"/>
      <c r="AY68" s="53"/>
      <c r="AZ68" s="53"/>
      <c r="BA68" s="53"/>
      <c r="BB68" s="53"/>
      <c r="BC68" s="53"/>
      <c r="BD68" s="53"/>
      <c r="BE68" s="53"/>
      <c r="BF68" s="53"/>
      <c r="BG68" s="53"/>
      <c r="BH68" s="53"/>
      <c r="BI68" s="53"/>
      <c r="BJ68" s="53"/>
      <c r="BK68" s="53"/>
      <c r="BL68" s="53"/>
      <c r="BM68" s="53"/>
      <c r="BN68" s="53"/>
      <c r="BO68" s="53"/>
      <c r="BP68" s="53"/>
      <c r="BQ68" s="53"/>
      <c r="BR68" s="53"/>
      <c r="BS68" s="53"/>
      <c r="BT68" s="53"/>
      <c r="BU68" s="53"/>
      <c r="BV68" s="53"/>
      <c r="BW68" s="53"/>
      <c r="BX68" s="53"/>
      <c r="BY68" s="53"/>
      <c r="BZ68" s="53"/>
      <c r="CA68" s="53"/>
      <c r="CB68" s="53"/>
      <c r="CC68" s="53"/>
      <c r="CD68" s="53"/>
      <c r="CE68" s="53"/>
      <c r="CF68" s="53"/>
      <c r="CG68" s="53"/>
      <c r="CH68" s="53"/>
      <c r="CI68" s="53"/>
      <c r="CJ68" s="53"/>
      <c r="CK68" s="53"/>
      <c r="CL68" s="53"/>
      <c r="CM68" s="53"/>
      <c r="CN68" s="53"/>
      <c r="CO68" s="53"/>
      <c r="CP68" s="53"/>
      <c r="CQ68" s="53"/>
      <c r="CR68" s="53"/>
      <c r="CS68" s="53"/>
      <c r="CT68" s="53"/>
      <c r="CU68" s="53"/>
      <c r="CV68" s="53"/>
      <c r="CW68" s="53"/>
      <c r="CX68" s="53"/>
      <c r="CY68" s="53"/>
      <c r="CZ68" s="53"/>
      <c r="DA68" s="53"/>
      <c r="DB68" s="53"/>
      <c r="DC68" s="53"/>
      <c r="DD68" s="53"/>
      <c r="DE68" s="53"/>
      <c r="DF68" s="53"/>
      <c r="DG68" s="53"/>
      <c r="DH68" s="53"/>
      <c r="DI68" s="53"/>
      <c r="DJ68" s="53"/>
      <c r="DK68" s="53"/>
      <c r="DL68" s="53"/>
      <c r="DM68" s="53"/>
      <c r="DN68" s="53"/>
      <c r="DO68" s="53"/>
      <c r="DP68" s="53"/>
      <c r="DQ68" s="53"/>
      <c r="DR68" s="53"/>
      <c r="DS68" s="53"/>
      <c r="DT68" s="53"/>
      <c r="DU68" s="53"/>
      <c r="DV68" s="53"/>
      <c r="DW68" s="53"/>
      <c r="DX68" s="53"/>
      <c r="DY68" s="53"/>
      <c r="DZ68" s="53"/>
      <c r="EA68" s="53"/>
      <c r="EB68" s="53"/>
      <c r="EC68" s="53"/>
      <c r="ED68" s="53"/>
      <c r="EE68" s="53"/>
      <c r="EF68" s="53"/>
      <c r="EG68" s="53"/>
      <c r="EH68" s="53"/>
      <c r="EI68" s="53"/>
      <c r="EJ68" s="53"/>
      <c r="EK68" s="53"/>
      <c r="EL68" s="53"/>
      <c r="EM68" s="53"/>
      <c r="EN68" s="53"/>
      <c r="EO68" s="53"/>
      <c r="EP68" s="53"/>
      <c r="EQ68" s="53"/>
      <c r="ER68" s="53"/>
      <c r="ES68" s="53"/>
      <c r="ET68" s="53"/>
      <c r="EU68" s="53"/>
      <c r="EV68" s="53"/>
      <c r="EW68" s="53"/>
      <c r="EX68" s="53"/>
      <c r="EY68" s="53"/>
      <c r="EZ68" s="53"/>
      <c r="FA68" s="53"/>
      <c r="FB68" s="53"/>
      <c r="FC68" s="53"/>
      <c r="FD68" s="53"/>
      <c r="FE68" s="53"/>
      <c r="FF68" s="53"/>
      <c r="FG68" s="53"/>
      <c r="FH68" s="53"/>
      <c r="FI68" s="53"/>
      <c r="FJ68" s="53"/>
      <c r="FK68" s="53"/>
      <c r="FL68" s="53"/>
      <c r="FM68" s="53"/>
      <c r="FN68" s="53"/>
      <c r="FO68" s="53"/>
      <c r="FP68" s="53"/>
      <c r="FQ68" s="53"/>
      <c r="FR68" s="53"/>
      <c r="FS68" s="53"/>
      <c r="FT68" s="53"/>
      <c r="FU68" s="53"/>
      <c r="FV68" s="53"/>
      <c r="FW68" s="53"/>
      <c r="FX68" s="53"/>
      <c r="FY68" s="53"/>
      <c r="FZ68" s="53"/>
      <c r="GA68" s="53"/>
      <c r="GB68" s="53"/>
      <c r="GC68" s="53"/>
      <c r="GD68" s="53"/>
      <c r="GE68" s="53"/>
      <c r="GF68" s="53"/>
      <c r="GG68" s="53"/>
      <c r="GH68" s="53"/>
      <c r="GI68" s="53"/>
      <c r="GJ68" s="53"/>
      <c r="GK68" s="53"/>
      <c r="GL68" s="53"/>
      <c r="GM68" s="53"/>
      <c r="GN68" s="53"/>
      <c r="GO68" s="53"/>
      <c r="GP68" s="53"/>
      <c r="GQ68" s="53"/>
      <c r="GR68" s="53"/>
      <c r="GS68" s="53"/>
      <c r="GT68" s="53"/>
      <c r="GU68" s="53"/>
      <c r="GV68" s="53"/>
      <c r="GW68" s="53"/>
      <c r="GX68" s="53"/>
      <c r="GY68" s="53"/>
      <c r="GZ68" s="53"/>
      <c r="HA68" s="53"/>
      <c r="HB68" s="53"/>
      <c r="HC68" s="53"/>
      <c r="HD68" s="53"/>
      <c r="HE68" s="53"/>
      <c r="HF68" s="53"/>
      <c r="HG68" s="53"/>
      <c r="HH68" s="53"/>
      <c r="HI68" s="53"/>
      <c r="HJ68" s="53"/>
      <c r="HK68" s="53"/>
      <c r="HL68" s="53"/>
      <c r="HM68" s="53"/>
      <c r="HN68" s="53"/>
      <c r="HO68" s="53"/>
      <c r="HP68" s="53"/>
      <c r="HQ68" s="53"/>
      <c r="HR68" s="53"/>
      <c r="HS68" s="53"/>
      <c r="HT68" s="53"/>
      <c r="HU68" s="53"/>
      <c r="HV68" s="53"/>
      <c r="HW68" s="53"/>
      <c r="HX68" s="53"/>
      <c r="HY68" s="53"/>
      <c r="HZ68" s="53"/>
      <c r="IA68" s="53"/>
      <c r="IB68" s="53"/>
      <c r="IC68" s="53"/>
      <c r="ID68" s="53"/>
      <c r="IE68" s="53"/>
      <c r="IF68" s="53"/>
      <c r="IG68" s="53"/>
      <c r="IH68" s="53"/>
      <c r="II68" s="53"/>
      <c r="IJ68" s="53"/>
      <c r="IK68" s="53"/>
      <c r="IL68" s="53"/>
      <c r="IM68" s="53"/>
      <c r="IN68" s="53"/>
      <c r="IO68" s="53"/>
      <c r="IP68" s="53"/>
      <c r="IQ68" s="53"/>
      <c r="IR68" s="53"/>
      <c r="IS68" s="53"/>
      <c r="IT68" s="53"/>
      <c r="IU68" s="53"/>
      <c r="IV68" s="53"/>
    </row>
    <row r="69" spans="1:256" x14ac:dyDescent="0.25">
      <c r="A69" s="78"/>
      <c r="B69" s="81"/>
      <c r="C69" s="79"/>
      <c r="D69" s="83"/>
      <c r="E69" s="83"/>
      <c r="F69" s="81"/>
      <c r="G69" s="81"/>
      <c r="H69" s="81"/>
      <c r="I69" s="81"/>
      <c r="J69" s="81"/>
      <c r="K69" s="81"/>
      <c r="L69" s="223"/>
      <c r="M69" s="81"/>
      <c r="N69" s="78"/>
      <c r="O69" s="78"/>
      <c r="P69" s="78"/>
      <c r="Q69" s="78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53"/>
      <c r="AG69" s="53"/>
      <c r="AH69" s="53"/>
      <c r="AI69" s="53"/>
      <c r="AJ69" s="53"/>
      <c r="AK69" s="53"/>
      <c r="AL69" s="53"/>
      <c r="AM69" s="53"/>
      <c r="AN69" s="53"/>
      <c r="AO69" s="53"/>
      <c r="AP69" s="53"/>
      <c r="AQ69" s="53"/>
      <c r="AR69" s="53"/>
      <c r="AS69" s="53"/>
      <c r="AT69" s="53"/>
      <c r="AU69" s="53"/>
      <c r="AV69" s="53"/>
      <c r="AW69" s="53"/>
      <c r="AX69" s="53"/>
      <c r="AY69" s="53"/>
      <c r="AZ69" s="53"/>
      <c r="BA69" s="53"/>
      <c r="BB69" s="53"/>
      <c r="BC69" s="53"/>
      <c r="BD69" s="53"/>
      <c r="BE69" s="53"/>
      <c r="BF69" s="53"/>
      <c r="BG69" s="53"/>
      <c r="BH69" s="53"/>
      <c r="BI69" s="53"/>
      <c r="BJ69" s="53"/>
      <c r="BK69" s="53"/>
      <c r="BL69" s="53"/>
      <c r="BM69" s="53"/>
      <c r="BN69" s="53"/>
      <c r="BO69" s="53"/>
      <c r="BP69" s="53"/>
      <c r="BQ69" s="53"/>
      <c r="BR69" s="53"/>
      <c r="BS69" s="53"/>
      <c r="BT69" s="53"/>
      <c r="BU69" s="53"/>
      <c r="BV69" s="53"/>
      <c r="BW69" s="53"/>
      <c r="BX69" s="53"/>
      <c r="BY69" s="53"/>
      <c r="BZ69" s="53"/>
      <c r="CA69" s="53"/>
      <c r="CB69" s="53"/>
      <c r="CC69" s="53"/>
      <c r="CD69" s="53"/>
      <c r="CE69" s="53"/>
      <c r="CF69" s="53"/>
      <c r="CG69" s="53"/>
      <c r="CH69" s="53"/>
      <c r="CI69" s="53"/>
      <c r="CJ69" s="53"/>
      <c r="CK69" s="53"/>
      <c r="CL69" s="53"/>
      <c r="CM69" s="53"/>
      <c r="CN69" s="53"/>
      <c r="CO69" s="53"/>
      <c r="CP69" s="53"/>
      <c r="CQ69" s="53"/>
      <c r="CR69" s="53"/>
      <c r="CS69" s="53"/>
      <c r="CT69" s="53"/>
      <c r="CU69" s="53"/>
      <c r="CV69" s="53"/>
      <c r="CW69" s="53"/>
      <c r="CX69" s="53"/>
      <c r="CY69" s="53"/>
      <c r="CZ69" s="53"/>
      <c r="DA69" s="53"/>
      <c r="DB69" s="53"/>
      <c r="DC69" s="53"/>
      <c r="DD69" s="53"/>
      <c r="DE69" s="53"/>
      <c r="DF69" s="53"/>
      <c r="DG69" s="53"/>
      <c r="DH69" s="53"/>
      <c r="DI69" s="53"/>
      <c r="DJ69" s="53"/>
      <c r="DK69" s="53"/>
      <c r="DL69" s="53"/>
      <c r="DM69" s="53"/>
      <c r="DN69" s="53"/>
      <c r="DO69" s="53"/>
      <c r="DP69" s="53"/>
      <c r="DQ69" s="53"/>
      <c r="DR69" s="53"/>
      <c r="DS69" s="53"/>
      <c r="DT69" s="53"/>
      <c r="DU69" s="53"/>
      <c r="DV69" s="53"/>
      <c r="DW69" s="53"/>
      <c r="DX69" s="53"/>
      <c r="DY69" s="53"/>
      <c r="DZ69" s="53"/>
      <c r="EA69" s="53"/>
      <c r="EB69" s="53"/>
      <c r="EC69" s="53"/>
      <c r="ED69" s="53"/>
      <c r="EE69" s="53"/>
      <c r="EF69" s="53"/>
      <c r="EG69" s="53"/>
      <c r="EH69" s="53"/>
      <c r="EI69" s="53"/>
      <c r="EJ69" s="53"/>
      <c r="EK69" s="53"/>
      <c r="EL69" s="53"/>
      <c r="EM69" s="53"/>
      <c r="EN69" s="53"/>
      <c r="EO69" s="53"/>
      <c r="EP69" s="53"/>
      <c r="EQ69" s="53"/>
      <c r="ER69" s="53"/>
      <c r="ES69" s="53"/>
      <c r="ET69" s="53"/>
      <c r="EU69" s="53"/>
      <c r="EV69" s="53"/>
      <c r="EW69" s="53"/>
      <c r="EX69" s="53"/>
      <c r="EY69" s="53"/>
      <c r="EZ69" s="53"/>
      <c r="FA69" s="53"/>
      <c r="FB69" s="53"/>
      <c r="FC69" s="53"/>
      <c r="FD69" s="53"/>
      <c r="FE69" s="53"/>
      <c r="FF69" s="53"/>
      <c r="FG69" s="53"/>
      <c r="FH69" s="53"/>
      <c r="FI69" s="53"/>
      <c r="FJ69" s="53"/>
      <c r="FK69" s="53"/>
      <c r="FL69" s="53"/>
      <c r="FM69" s="53"/>
      <c r="FN69" s="53"/>
      <c r="FO69" s="53"/>
      <c r="FP69" s="53"/>
      <c r="FQ69" s="53"/>
      <c r="FR69" s="53"/>
      <c r="FS69" s="53"/>
      <c r="FT69" s="53"/>
      <c r="FU69" s="53"/>
      <c r="FV69" s="53"/>
      <c r="FW69" s="53"/>
      <c r="FX69" s="53"/>
      <c r="FY69" s="53"/>
      <c r="FZ69" s="53"/>
      <c r="GA69" s="53"/>
      <c r="GB69" s="53"/>
      <c r="GC69" s="53"/>
      <c r="GD69" s="53"/>
      <c r="GE69" s="53"/>
      <c r="GF69" s="53"/>
      <c r="GG69" s="53"/>
      <c r="GH69" s="53"/>
      <c r="GI69" s="53"/>
      <c r="GJ69" s="53"/>
      <c r="GK69" s="53"/>
      <c r="GL69" s="53"/>
      <c r="GM69" s="53"/>
      <c r="GN69" s="53"/>
      <c r="GO69" s="53"/>
      <c r="GP69" s="53"/>
      <c r="GQ69" s="53"/>
      <c r="GR69" s="53"/>
      <c r="GS69" s="53"/>
      <c r="GT69" s="53"/>
      <c r="GU69" s="53"/>
      <c r="GV69" s="53"/>
      <c r="GW69" s="53"/>
      <c r="GX69" s="53"/>
      <c r="GY69" s="53"/>
      <c r="GZ69" s="53"/>
      <c r="HA69" s="53"/>
      <c r="HB69" s="53"/>
      <c r="HC69" s="53"/>
      <c r="HD69" s="53"/>
      <c r="HE69" s="53"/>
      <c r="HF69" s="53"/>
      <c r="HG69" s="53"/>
      <c r="HH69" s="53"/>
      <c r="HI69" s="53"/>
      <c r="HJ69" s="53"/>
      <c r="HK69" s="53"/>
      <c r="HL69" s="53"/>
      <c r="HM69" s="53"/>
      <c r="HN69" s="53"/>
      <c r="HO69" s="53"/>
      <c r="HP69" s="53"/>
      <c r="HQ69" s="53"/>
      <c r="HR69" s="53"/>
      <c r="HS69" s="53"/>
      <c r="HT69" s="53"/>
      <c r="HU69" s="53"/>
      <c r="HV69" s="53"/>
      <c r="HW69" s="53"/>
      <c r="HX69" s="53"/>
      <c r="HY69" s="53"/>
      <c r="HZ69" s="53"/>
      <c r="IA69" s="53"/>
      <c r="IB69" s="53"/>
      <c r="IC69" s="53"/>
      <c r="ID69" s="53"/>
      <c r="IE69" s="53"/>
      <c r="IF69" s="53"/>
      <c r="IG69" s="53"/>
      <c r="IH69" s="53"/>
      <c r="II69" s="53"/>
      <c r="IJ69" s="53"/>
      <c r="IK69" s="53"/>
      <c r="IL69" s="53"/>
      <c r="IM69" s="53"/>
      <c r="IN69" s="53"/>
      <c r="IO69" s="53"/>
      <c r="IP69" s="53"/>
      <c r="IQ69" s="53"/>
      <c r="IR69" s="53"/>
      <c r="IS69" s="53"/>
      <c r="IT69" s="53"/>
      <c r="IU69" s="53"/>
      <c r="IV69" s="53"/>
    </row>
    <row r="70" spans="1:256" x14ac:dyDescent="0.25">
      <c r="A70" s="78"/>
      <c r="B70" s="79"/>
      <c r="C70" s="79"/>
      <c r="D70" s="81"/>
      <c r="E70" s="81"/>
      <c r="F70" s="81"/>
      <c r="G70" s="81"/>
      <c r="H70" s="81"/>
      <c r="I70" s="81"/>
      <c r="J70" s="81"/>
      <c r="K70" s="81"/>
      <c r="L70" s="81"/>
      <c r="M70" s="81"/>
      <c r="N70" s="78"/>
      <c r="O70" s="78"/>
      <c r="P70" s="78"/>
      <c r="Q70" s="78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53"/>
      <c r="AG70" s="53"/>
      <c r="AH70" s="53"/>
      <c r="AI70" s="53"/>
      <c r="AJ70" s="53"/>
      <c r="AK70" s="53"/>
      <c r="AL70" s="53"/>
      <c r="AM70" s="53"/>
      <c r="AN70" s="53"/>
      <c r="AO70" s="53"/>
      <c r="AP70" s="53"/>
      <c r="AQ70" s="53"/>
      <c r="AR70" s="53"/>
      <c r="AS70" s="53"/>
      <c r="AT70" s="53"/>
      <c r="AU70" s="53"/>
      <c r="AV70" s="53"/>
      <c r="AW70" s="53"/>
      <c r="AX70" s="53"/>
      <c r="AY70" s="53"/>
      <c r="AZ70" s="53"/>
      <c r="BA70" s="53"/>
      <c r="BB70" s="53"/>
      <c r="BC70" s="53"/>
      <c r="BD70" s="53"/>
      <c r="BE70" s="53"/>
      <c r="BF70" s="53"/>
      <c r="BG70" s="53"/>
      <c r="BH70" s="53"/>
      <c r="BI70" s="53"/>
      <c r="BJ70" s="53"/>
      <c r="BK70" s="53"/>
      <c r="BL70" s="53"/>
      <c r="BM70" s="53"/>
      <c r="BN70" s="53"/>
      <c r="BO70" s="53"/>
      <c r="BP70" s="53"/>
      <c r="BQ70" s="53"/>
      <c r="BR70" s="53"/>
      <c r="BS70" s="53"/>
      <c r="BT70" s="53"/>
      <c r="BU70" s="53"/>
      <c r="BV70" s="53"/>
      <c r="BW70" s="53"/>
      <c r="BX70" s="53"/>
      <c r="BY70" s="53"/>
      <c r="BZ70" s="53"/>
      <c r="CA70" s="53"/>
      <c r="CB70" s="53"/>
      <c r="CC70" s="53"/>
      <c r="CD70" s="53"/>
      <c r="CE70" s="53"/>
      <c r="CF70" s="53"/>
      <c r="CG70" s="53"/>
      <c r="CH70" s="53"/>
      <c r="CI70" s="53"/>
      <c r="CJ70" s="53"/>
      <c r="CK70" s="53"/>
      <c r="CL70" s="53"/>
      <c r="CM70" s="53"/>
      <c r="CN70" s="53"/>
      <c r="CO70" s="53"/>
      <c r="CP70" s="53"/>
      <c r="CQ70" s="53"/>
      <c r="CR70" s="53"/>
      <c r="CS70" s="53"/>
      <c r="CT70" s="53"/>
      <c r="CU70" s="53"/>
      <c r="CV70" s="53"/>
      <c r="CW70" s="53"/>
      <c r="CX70" s="53"/>
      <c r="CY70" s="53"/>
      <c r="CZ70" s="53"/>
      <c r="DA70" s="53"/>
      <c r="DB70" s="53"/>
      <c r="DC70" s="53"/>
      <c r="DD70" s="53"/>
      <c r="DE70" s="53"/>
      <c r="DF70" s="53"/>
      <c r="DG70" s="53"/>
      <c r="DH70" s="53"/>
      <c r="DI70" s="53"/>
      <c r="DJ70" s="53"/>
      <c r="DK70" s="53"/>
      <c r="DL70" s="53"/>
      <c r="DM70" s="53"/>
      <c r="DN70" s="53"/>
      <c r="DO70" s="53"/>
      <c r="DP70" s="53"/>
      <c r="DQ70" s="53"/>
      <c r="DR70" s="53"/>
      <c r="DS70" s="53"/>
      <c r="DT70" s="53"/>
      <c r="DU70" s="53"/>
      <c r="DV70" s="53"/>
      <c r="DW70" s="53"/>
      <c r="DX70" s="53"/>
      <c r="DY70" s="53"/>
      <c r="DZ70" s="53"/>
      <c r="EA70" s="53"/>
      <c r="EB70" s="53"/>
      <c r="EC70" s="53"/>
      <c r="ED70" s="53"/>
      <c r="EE70" s="53"/>
      <c r="EF70" s="53"/>
      <c r="EG70" s="53"/>
      <c r="EH70" s="53"/>
      <c r="EI70" s="53"/>
      <c r="EJ70" s="53"/>
      <c r="EK70" s="53"/>
      <c r="EL70" s="53"/>
      <c r="EM70" s="53"/>
      <c r="EN70" s="53"/>
      <c r="EO70" s="53"/>
      <c r="EP70" s="53"/>
      <c r="EQ70" s="53"/>
      <c r="ER70" s="53"/>
      <c r="ES70" s="53"/>
      <c r="ET70" s="53"/>
      <c r="EU70" s="53"/>
      <c r="EV70" s="53"/>
      <c r="EW70" s="53"/>
      <c r="EX70" s="53"/>
      <c r="EY70" s="53"/>
      <c r="EZ70" s="53"/>
      <c r="FA70" s="53"/>
      <c r="FB70" s="53"/>
      <c r="FC70" s="53"/>
      <c r="FD70" s="53"/>
      <c r="FE70" s="53"/>
      <c r="FF70" s="53"/>
      <c r="FG70" s="53"/>
      <c r="FH70" s="53"/>
      <c r="FI70" s="53"/>
      <c r="FJ70" s="53"/>
      <c r="FK70" s="53"/>
      <c r="FL70" s="53"/>
      <c r="FM70" s="53"/>
      <c r="FN70" s="53"/>
      <c r="FO70" s="53"/>
      <c r="FP70" s="53"/>
      <c r="FQ70" s="53"/>
      <c r="FR70" s="53"/>
      <c r="FS70" s="53"/>
      <c r="FT70" s="53"/>
      <c r="FU70" s="53"/>
      <c r="FV70" s="53"/>
      <c r="FW70" s="53"/>
      <c r="FX70" s="53"/>
      <c r="FY70" s="53"/>
      <c r="FZ70" s="53"/>
      <c r="GA70" s="53"/>
      <c r="GB70" s="53"/>
      <c r="GC70" s="53"/>
      <c r="GD70" s="53"/>
      <c r="GE70" s="53"/>
      <c r="GF70" s="53"/>
      <c r="GG70" s="53"/>
      <c r="GH70" s="53"/>
      <c r="GI70" s="53"/>
      <c r="GJ70" s="53"/>
      <c r="GK70" s="53"/>
      <c r="GL70" s="53"/>
      <c r="GM70" s="53"/>
      <c r="GN70" s="53"/>
      <c r="GO70" s="53"/>
      <c r="GP70" s="53"/>
      <c r="GQ70" s="53"/>
      <c r="GR70" s="53"/>
      <c r="GS70" s="53"/>
      <c r="GT70" s="53"/>
      <c r="GU70" s="53"/>
      <c r="GV70" s="53"/>
      <c r="GW70" s="53"/>
      <c r="GX70" s="53"/>
      <c r="GY70" s="53"/>
      <c r="GZ70" s="53"/>
      <c r="HA70" s="53"/>
      <c r="HB70" s="53"/>
      <c r="HC70" s="53"/>
      <c r="HD70" s="53"/>
      <c r="HE70" s="53"/>
      <c r="HF70" s="53"/>
      <c r="HG70" s="53"/>
      <c r="HH70" s="53"/>
      <c r="HI70" s="53"/>
      <c r="HJ70" s="53"/>
      <c r="HK70" s="53"/>
      <c r="HL70" s="53"/>
      <c r="HM70" s="53"/>
      <c r="HN70" s="53"/>
      <c r="HO70" s="53"/>
      <c r="HP70" s="53"/>
      <c r="HQ70" s="53"/>
      <c r="HR70" s="53"/>
      <c r="HS70" s="53"/>
      <c r="HT70" s="53"/>
      <c r="HU70" s="53"/>
      <c r="HV70" s="53"/>
      <c r="HW70" s="53"/>
      <c r="HX70" s="53"/>
      <c r="HY70" s="53"/>
      <c r="HZ70" s="53"/>
      <c r="IA70" s="53"/>
      <c r="IB70" s="53"/>
      <c r="IC70" s="53"/>
      <c r="ID70" s="53"/>
      <c r="IE70" s="53"/>
      <c r="IF70" s="53"/>
      <c r="IG70" s="53"/>
      <c r="IH70" s="53"/>
      <c r="II70" s="53"/>
      <c r="IJ70" s="53"/>
      <c r="IK70" s="53"/>
      <c r="IL70" s="53"/>
      <c r="IM70" s="53"/>
      <c r="IN70" s="53"/>
      <c r="IO70" s="53"/>
      <c r="IP70" s="53"/>
      <c r="IQ70" s="53"/>
      <c r="IR70" s="53"/>
      <c r="IS70" s="53"/>
      <c r="IT70" s="53"/>
      <c r="IU70" s="53"/>
      <c r="IV70" s="53"/>
    </row>
    <row r="71" spans="1:256" x14ac:dyDescent="0.25">
      <c r="A71" s="78"/>
      <c r="B71" s="81"/>
      <c r="C71" s="79"/>
      <c r="D71" s="81"/>
      <c r="E71" s="81"/>
      <c r="F71" s="81"/>
      <c r="G71" s="81"/>
      <c r="H71" s="81"/>
      <c r="I71" s="81"/>
      <c r="J71" s="81"/>
      <c r="K71" s="81"/>
      <c r="L71" s="81"/>
      <c r="M71" s="81"/>
      <c r="N71" s="78"/>
      <c r="O71" s="78"/>
      <c r="P71" s="78"/>
      <c r="Q71" s="78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53"/>
      <c r="AG71" s="53"/>
      <c r="AH71" s="53"/>
      <c r="AI71" s="53"/>
      <c r="AJ71" s="53"/>
      <c r="AK71" s="53"/>
      <c r="AL71" s="53"/>
      <c r="AM71" s="53"/>
      <c r="AN71" s="53"/>
      <c r="AO71" s="53"/>
      <c r="AP71" s="53"/>
      <c r="AQ71" s="53"/>
      <c r="AR71" s="53"/>
      <c r="AS71" s="53"/>
      <c r="AT71" s="53"/>
      <c r="AU71" s="53"/>
      <c r="AV71" s="53"/>
      <c r="AW71" s="53"/>
      <c r="AX71" s="53"/>
      <c r="AY71" s="53"/>
      <c r="AZ71" s="53"/>
      <c r="BA71" s="53"/>
      <c r="BB71" s="53"/>
      <c r="BC71" s="53"/>
      <c r="BD71" s="53"/>
      <c r="BE71" s="53"/>
      <c r="BF71" s="53"/>
      <c r="BG71" s="53"/>
      <c r="BH71" s="53"/>
      <c r="BI71" s="53"/>
      <c r="BJ71" s="53"/>
      <c r="BK71" s="53"/>
      <c r="BL71" s="53"/>
      <c r="BM71" s="53"/>
      <c r="BN71" s="53"/>
      <c r="BO71" s="53"/>
      <c r="BP71" s="53"/>
      <c r="BQ71" s="53"/>
      <c r="BR71" s="53"/>
      <c r="BS71" s="53"/>
      <c r="BT71" s="53"/>
      <c r="BU71" s="53"/>
      <c r="BV71" s="53"/>
      <c r="BW71" s="53"/>
      <c r="BX71" s="53"/>
      <c r="BY71" s="53"/>
      <c r="BZ71" s="53"/>
      <c r="CA71" s="53"/>
      <c r="CB71" s="53"/>
      <c r="CC71" s="53"/>
      <c r="CD71" s="53"/>
      <c r="CE71" s="53"/>
      <c r="CF71" s="53"/>
      <c r="CG71" s="53"/>
      <c r="CH71" s="53"/>
      <c r="CI71" s="53"/>
      <c r="CJ71" s="53"/>
      <c r="CK71" s="53"/>
      <c r="CL71" s="53"/>
      <c r="CM71" s="53"/>
      <c r="CN71" s="53"/>
      <c r="CO71" s="53"/>
      <c r="CP71" s="53"/>
      <c r="CQ71" s="53"/>
      <c r="CR71" s="53"/>
      <c r="CS71" s="53"/>
      <c r="CT71" s="53"/>
      <c r="CU71" s="53"/>
      <c r="CV71" s="53"/>
      <c r="CW71" s="53"/>
      <c r="CX71" s="53"/>
      <c r="CY71" s="53"/>
      <c r="CZ71" s="53"/>
      <c r="DA71" s="53"/>
      <c r="DB71" s="53"/>
      <c r="DC71" s="53"/>
      <c r="DD71" s="53"/>
      <c r="DE71" s="53"/>
      <c r="DF71" s="53"/>
      <c r="DG71" s="53"/>
      <c r="DH71" s="53"/>
      <c r="DI71" s="53"/>
      <c r="DJ71" s="53"/>
      <c r="DK71" s="53"/>
      <c r="DL71" s="53"/>
      <c r="DM71" s="53"/>
      <c r="DN71" s="53"/>
      <c r="DO71" s="53"/>
      <c r="DP71" s="53"/>
      <c r="DQ71" s="53"/>
      <c r="DR71" s="53"/>
      <c r="DS71" s="53"/>
      <c r="DT71" s="53"/>
      <c r="DU71" s="53"/>
      <c r="DV71" s="53"/>
      <c r="DW71" s="53"/>
      <c r="DX71" s="53"/>
      <c r="DY71" s="53"/>
      <c r="DZ71" s="53"/>
      <c r="EA71" s="53"/>
      <c r="EB71" s="53"/>
      <c r="EC71" s="53"/>
      <c r="ED71" s="53"/>
      <c r="EE71" s="53"/>
      <c r="EF71" s="53"/>
      <c r="EG71" s="53"/>
      <c r="EH71" s="53"/>
      <c r="EI71" s="53"/>
      <c r="EJ71" s="53"/>
      <c r="EK71" s="53"/>
      <c r="EL71" s="53"/>
      <c r="EM71" s="53"/>
      <c r="EN71" s="53"/>
      <c r="EO71" s="53"/>
      <c r="EP71" s="53"/>
      <c r="EQ71" s="53"/>
      <c r="ER71" s="53"/>
      <c r="ES71" s="53"/>
      <c r="ET71" s="53"/>
      <c r="EU71" s="53"/>
      <c r="EV71" s="53"/>
      <c r="EW71" s="53"/>
      <c r="EX71" s="53"/>
      <c r="EY71" s="53"/>
      <c r="EZ71" s="53"/>
      <c r="FA71" s="53"/>
      <c r="FB71" s="53"/>
      <c r="FC71" s="53"/>
      <c r="FD71" s="53"/>
      <c r="FE71" s="53"/>
      <c r="FF71" s="53"/>
      <c r="FG71" s="53"/>
      <c r="FH71" s="53"/>
      <c r="FI71" s="53"/>
      <c r="FJ71" s="53"/>
      <c r="FK71" s="53"/>
      <c r="FL71" s="53"/>
      <c r="FM71" s="53"/>
      <c r="FN71" s="53"/>
      <c r="FO71" s="53"/>
      <c r="FP71" s="53"/>
      <c r="FQ71" s="53"/>
      <c r="FR71" s="53"/>
      <c r="FS71" s="53"/>
      <c r="FT71" s="53"/>
      <c r="FU71" s="53"/>
      <c r="FV71" s="53"/>
      <c r="FW71" s="53"/>
      <c r="FX71" s="53"/>
      <c r="FY71" s="53"/>
      <c r="FZ71" s="53"/>
      <c r="GA71" s="53"/>
      <c r="GB71" s="53"/>
      <c r="GC71" s="53"/>
      <c r="GD71" s="53"/>
      <c r="GE71" s="53"/>
      <c r="GF71" s="53"/>
      <c r="GG71" s="53"/>
      <c r="GH71" s="53"/>
      <c r="GI71" s="53"/>
      <c r="GJ71" s="53"/>
      <c r="GK71" s="53"/>
      <c r="GL71" s="53"/>
      <c r="GM71" s="53"/>
      <c r="GN71" s="53"/>
      <c r="GO71" s="53"/>
      <c r="GP71" s="53"/>
      <c r="GQ71" s="53"/>
      <c r="GR71" s="53"/>
      <c r="GS71" s="53"/>
      <c r="GT71" s="53"/>
      <c r="GU71" s="53"/>
      <c r="GV71" s="53"/>
      <c r="GW71" s="53"/>
      <c r="GX71" s="53"/>
      <c r="GY71" s="53"/>
      <c r="GZ71" s="53"/>
      <c r="HA71" s="53"/>
      <c r="HB71" s="53"/>
      <c r="HC71" s="53"/>
      <c r="HD71" s="53"/>
      <c r="HE71" s="53"/>
      <c r="HF71" s="53"/>
      <c r="HG71" s="53"/>
      <c r="HH71" s="53"/>
      <c r="HI71" s="53"/>
      <c r="HJ71" s="53"/>
      <c r="HK71" s="53"/>
      <c r="HL71" s="53"/>
      <c r="HM71" s="53"/>
      <c r="HN71" s="53"/>
      <c r="HO71" s="53"/>
      <c r="HP71" s="53"/>
      <c r="HQ71" s="53"/>
      <c r="HR71" s="53"/>
      <c r="HS71" s="53"/>
      <c r="HT71" s="53"/>
      <c r="HU71" s="53"/>
      <c r="HV71" s="53"/>
      <c r="HW71" s="53"/>
      <c r="HX71" s="53"/>
      <c r="HY71" s="53"/>
      <c r="HZ71" s="53"/>
      <c r="IA71" s="53"/>
      <c r="IB71" s="53"/>
      <c r="IC71" s="53"/>
      <c r="ID71" s="53"/>
      <c r="IE71" s="53"/>
      <c r="IF71" s="53"/>
      <c r="IG71" s="53"/>
      <c r="IH71" s="53"/>
      <c r="II71" s="53"/>
      <c r="IJ71" s="53"/>
      <c r="IK71" s="53"/>
      <c r="IL71" s="53"/>
      <c r="IM71" s="53"/>
      <c r="IN71" s="53"/>
      <c r="IO71" s="53"/>
      <c r="IP71" s="53"/>
      <c r="IQ71" s="53"/>
      <c r="IR71" s="53"/>
      <c r="IS71" s="53"/>
      <c r="IT71" s="53"/>
      <c r="IU71" s="53"/>
      <c r="IV71" s="53"/>
    </row>
    <row r="72" spans="1:256" x14ac:dyDescent="0.25">
      <c r="A72" s="78"/>
      <c r="B72" s="81"/>
      <c r="C72" s="79"/>
      <c r="D72" s="81"/>
      <c r="E72" s="81"/>
      <c r="F72" s="81"/>
      <c r="G72" s="81"/>
      <c r="H72" s="81"/>
      <c r="I72" s="81"/>
      <c r="J72" s="81"/>
      <c r="K72" s="81"/>
      <c r="L72" s="81"/>
      <c r="M72" s="81"/>
      <c r="N72" s="78"/>
      <c r="O72" s="78"/>
      <c r="P72" s="78"/>
      <c r="Q72" s="78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53"/>
      <c r="AG72" s="53"/>
      <c r="AH72" s="53"/>
      <c r="AI72" s="53"/>
      <c r="AJ72" s="53"/>
      <c r="AK72" s="53"/>
      <c r="AL72" s="53"/>
      <c r="AM72" s="53"/>
      <c r="AN72" s="53"/>
      <c r="AO72" s="53"/>
      <c r="AP72" s="53"/>
      <c r="AQ72" s="53"/>
      <c r="AR72" s="53"/>
      <c r="AS72" s="53"/>
      <c r="AT72" s="53"/>
      <c r="AU72" s="53"/>
      <c r="AV72" s="53"/>
      <c r="AW72" s="53"/>
      <c r="AX72" s="53"/>
      <c r="AY72" s="53"/>
      <c r="AZ72" s="53"/>
      <c r="BA72" s="53"/>
      <c r="BB72" s="53"/>
      <c r="BC72" s="53"/>
      <c r="BD72" s="53"/>
      <c r="BE72" s="53"/>
      <c r="BF72" s="53"/>
      <c r="BG72" s="53"/>
      <c r="BH72" s="53"/>
      <c r="BI72" s="53"/>
      <c r="BJ72" s="53"/>
      <c r="BK72" s="53"/>
      <c r="BL72" s="53"/>
      <c r="BM72" s="53"/>
      <c r="BN72" s="53"/>
      <c r="BO72" s="53"/>
      <c r="BP72" s="53"/>
      <c r="BQ72" s="53"/>
      <c r="BR72" s="53"/>
      <c r="BS72" s="53"/>
      <c r="BT72" s="53"/>
      <c r="BU72" s="53"/>
      <c r="BV72" s="53"/>
      <c r="BW72" s="53"/>
      <c r="BX72" s="53"/>
      <c r="BY72" s="53"/>
      <c r="BZ72" s="53"/>
      <c r="CA72" s="53"/>
      <c r="CB72" s="53"/>
      <c r="CC72" s="53"/>
      <c r="CD72" s="53"/>
      <c r="CE72" s="53"/>
      <c r="CF72" s="53"/>
      <c r="CG72" s="53"/>
      <c r="CH72" s="53"/>
      <c r="CI72" s="53"/>
      <c r="CJ72" s="53"/>
      <c r="CK72" s="53"/>
      <c r="CL72" s="53"/>
      <c r="CM72" s="53"/>
      <c r="CN72" s="53"/>
      <c r="CO72" s="53"/>
      <c r="CP72" s="53"/>
      <c r="CQ72" s="53"/>
      <c r="CR72" s="53"/>
      <c r="CS72" s="53"/>
      <c r="CT72" s="53"/>
      <c r="CU72" s="53"/>
      <c r="CV72" s="53"/>
      <c r="CW72" s="53"/>
      <c r="CX72" s="53"/>
      <c r="CY72" s="53"/>
      <c r="CZ72" s="53"/>
      <c r="DA72" s="53"/>
      <c r="DB72" s="53"/>
      <c r="DC72" s="53"/>
      <c r="DD72" s="53"/>
      <c r="DE72" s="53"/>
      <c r="DF72" s="53"/>
      <c r="DG72" s="53"/>
      <c r="DH72" s="53"/>
      <c r="DI72" s="53"/>
      <c r="DJ72" s="53"/>
      <c r="DK72" s="53"/>
      <c r="DL72" s="53"/>
      <c r="DM72" s="53"/>
      <c r="DN72" s="53"/>
      <c r="DO72" s="53"/>
      <c r="DP72" s="53"/>
      <c r="DQ72" s="53"/>
      <c r="DR72" s="53"/>
      <c r="DS72" s="53"/>
      <c r="DT72" s="53"/>
      <c r="DU72" s="53"/>
      <c r="DV72" s="53"/>
      <c r="DW72" s="53"/>
      <c r="DX72" s="53"/>
      <c r="DY72" s="53"/>
      <c r="DZ72" s="53"/>
      <c r="EA72" s="53"/>
      <c r="EB72" s="53"/>
      <c r="EC72" s="53"/>
      <c r="ED72" s="53"/>
      <c r="EE72" s="53"/>
      <c r="EF72" s="53"/>
      <c r="EG72" s="53"/>
      <c r="EH72" s="53"/>
      <c r="EI72" s="53"/>
      <c r="EJ72" s="53"/>
      <c r="EK72" s="53"/>
      <c r="EL72" s="53"/>
      <c r="EM72" s="53"/>
      <c r="EN72" s="53"/>
      <c r="EO72" s="53"/>
      <c r="EP72" s="53"/>
      <c r="EQ72" s="53"/>
      <c r="ER72" s="53"/>
      <c r="ES72" s="53"/>
      <c r="ET72" s="53"/>
      <c r="EU72" s="53"/>
      <c r="EV72" s="53"/>
      <c r="EW72" s="53"/>
      <c r="EX72" s="53"/>
      <c r="EY72" s="53"/>
      <c r="EZ72" s="53"/>
      <c r="FA72" s="53"/>
      <c r="FB72" s="53"/>
      <c r="FC72" s="53"/>
      <c r="FD72" s="53"/>
      <c r="FE72" s="53"/>
      <c r="FF72" s="53"/>
      <c r="FG72" s="53"/>
      <c r="FH72" s="53"/>
      <c r="FI72" s="53"/>
      <c r="FJ72" s="53"/>
      <c r="FK72" s="53"/>
      <c r="FL72" s="53"/>
      <c r="FM72" s="53"/>
      <c r="FN72" s="53"/>
      <c r="FO72" s="53"/>
      <c r="FP72" s="53"/>
      <c r="FQ72" s="53"/>
      <c r="FR72" s="53"/>
      <c r="FS72" s="53"/>
      <c r="FT72" s="53"/>
      <c r="FU72" s="53"/>
      <c r="FV72" s="53"/>
      <c r="FW72" s="53"/>
      <c r="FX72" s="53"/>
      <c r="FY72" s="53"/>
      <c r="FZ72" s="53"/>
      <c r="GA72" s="53"/>
      <c r="GB72" s="53"/>
      <c r="GC72" s="53"/>
      <c r="GD72" s="53"/>
      <c r="GE72" s="53"/>
      <c r="GF72" s="53"/>
      <c r="GG72" s="53"/>
      <c r="GH72" s="53"/>
      <c r="GI72" s="53"/>
      <c r="GJ72" s="53"/>
      <c r="GK72" s="53"/>
      <c r="GL72" s="53"/>
      <c r="GM72" s="53"/>
      <c r="GN72" s="53"/>
      <c r="GO72" s="53"/>
      <c r="GP72" s="53"/>
      <c r="GQ72" s="53"/>
      <c r="GR72" s="53"/>
      <c r="GS72" s="53"/>
      <c r="GT72" s="53"/>
      <c r="GU72" s="53"/>
      <c r="GV72" s="53"/>
      <c r="GW72" s="53"/>
      <c r="GX72" s="53"/>
      <c r="GY72" s="53"/>
      <c r="GZ72" s="53"/>
      <c r="HA72" s="53"/>
      <c r="HB72" s="53"/>
      <c r="HC72" s="53"/>
      <c r="HD72" s="53"/>
      <c r="HE72" s="53"/>
      <c r="HF72" s="53"/>
      <c r="HG72" s="53"/>
      <c r="HH72" s="53"/>
      <c r="HI72" s="53"/>
      <c r="HJ72" s="53"/>
      <c r="HK72" s="53"/>
      <c r="HL72" s="53"/>
      <c r="HM72" s="53"/>
      <c r="HN72" s="53"/>
      <c r="HO72" s="53"/>
      <c r="HP72" s="53"/>
      <c r="HQ72" s="53"/>
      <c r="HR72" s="53"/>
      <c r="HS72" s="53"/>
      <c r="HT72" s="53"/>
      <c r="HU72" s="53"/>
      <c r="HV72" s="53"/>
      <c r="HW72" s="53"/>
      <c r="HX72" s="53"/>
      <c r="HY72" s="53"/>
      <c r="HZ72" s="53"/>
      <c r="IA72" s="53"/>
      <c r="IB72" s="53"/>
      <c r="IC72" s="53"/>
      <c r="ID72" s="53"/>
      <c r="IE72" s="53"/>
      <c r="IF72" s="53"/>
      <c r="IG72" s="53"/>
      <c r="IH72" s="53"/>
      <c r="II72" s="53"/>
      <c r="IJ72" s="53"/>
      <c r="IK72" s="53"/>
      <c r="IL72" s="53"/>
      <c r="IM72" s="53"/>
      <c r="IN72" s="53"/>
      <c r="IO72" s="53"/>
      <c r="IP72" s="53"/>
      <c r="IQ72" s="53"/>
      <c r="IR72" s="53"/>
      <c r="IS72" s="53"/>
      <c r="IT72" s="53"/>
      <c r="IU72" s="53"/>
      <c r="IV72" s="53"/>
    </row>
    <row r="73" spans="1:256" s="55" customFormat="1" ht="15" customHeight="1" x14ac:dyDescent="0.25">
      <c r="A73" s="82"/>
      <c r="B73" s="79"/>
      <c r="C73" s="79"/>
      <c r="D73" s="81"/>
      <c r="E73" s="83"/>
      <c r="F73" s="81"/>
      <c r="G73" s="81"/>
      <c r="H73" s="81"/>
      <c r="I73" s="81"/>
      <c r="J73" s="81"/>
      <c r="K73" s="81"/>
      <c r="L73" s="81"/>
      <c r="M73" s="83"/>
      <c r="N73" s="78"/>
      <c r="O73" s="81"/>
      <c r="P73" s="80"/>
      <c r="Q73" s="83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53"/>
      <c r="AG73" s="53"/>
      <c r="AH73" s="53"/>
      <c r="AI73" s="53"/>
      <c r="AJ73" s="53"/>
      <c r="AK73" s="53"/>
      <c r="AL73" s="53"/>
      <c r="AM73" s="53"/>
      <c r="AN73" s="53"/>
      <c r="AO73" s="53"/>
      <c r="AP73" s="53"/>
      <c r="AQ73" s="53"/>
      <c r="AR73" s="53"/>
      <c r="AS73" s="53"/>
      <c r="AT73" s="53"/>
      <c r="AU73" s="53"/>
      <c r="AV73" s="53"/>
      <c r="AW73" s="53"/>
      <c r="AX73" s="53"/>
      <c r="AY73" s="53"/>
      <c r="AZ73" s="53"/>
      <c r="BA73" s="53"/>
      <c r="BB73" s="53"/>
      <c r="BC73" s="53"/>
      <c r="BD73" s="53"/>
      <c r="BE73" s="53"/>
      <c r="BF73" s="53"/>
      <c r="BG73" s="53"/>
      <c r="BH73" s="53"/>
      <c r="BI73" s="53"/>
      <c r="BJ73" s="53"/>
      <c r="BK73" s="53"/>
      <c r="BL73" s="53"/>
      <c r="BM73" s="53"/>
      <c r="BN73" s="53"/>
      <c r="BO73" s="53"/>
      <c r="BP73" s="53"/>
      <c r="BQ73" s="53"/>
      <c r="BR73" s="53"/>
      <c r="BS73" s="53"/>
      <c r="BT73" s="53"/>
      <c r="BU73" s="53"/>
      <c r="BV73" s="53"/>
      <c r="BW73" s="53"/>
      <c r="BX73" s="53"/>
      <c r="BY73" s="53"/>
      <c r="BZ73" s="53"/>
      <c r="CA73" s="53"/>
      <c r="CB73" s="53"/>
      <c r="CC73" s="53"/>
      <c r="CD73" s="53"/>
      <c r="CE73" s="53"/>
      <c r="CF73" s="53"/>
      <c r="CG73" s="53"/>
      <c r="CH73" s="53"/>
      <c r="CI73" s="53"/>
      <c r="CJ73" s="53"/>
      <c r="CK73" s="53"/>
      <c r="CL73" s="53"/>
      <c r="CM73" s="53"/>
      <c r="CN73" s="53"/>
      <c r="CO73" s="53"/>
      <c r="CP73" s="53"/>
      <c r="CQ73" s="53"/>
      <c r="CR73" s="53"/>
      <c r="CS73" s="53"/>
      <c r="CT73" s="53"/>
      <c r="CU73" s="53"/>
      <c r="CV73" s="53"/>
      <c r="CW73" s="53"/>
      <c r="CX73" s="53"/>
      <c r="CY73" s="53"/>
      <c r="CZ73" s="53"/>
      <c r="DA73" s="53"/>
      <c r="DB73" s="53"/>
      <c r="DC73" s="53"/>
      <c r="DD73" s="53"/>
      <c r="DE73" s="53"/>
      <c r="DF73" s="53"/>
      <c r="DG73" s="53"/>
      <c r="DH73" s="53"/>
      <c r="DI73" s="53"/>
      <c r="DJ73" s="53"/>
      <c r="DK73" s="53"/>
      <c r="DL73" s="53"/>
      <c r="DM73" s="53"/>
      <c r="DN73" s="53"/>
      <c r="DO73" s="53"/>
      <c r="DP73" s="53"/>
      <c r="DQ73" s="53"/>
      <c r="DR73" s="53"/>
      <c r="DS73" s="53"/>
      <c r="DT73" s="53"/>
      <c r="DU73" s="53"/>
      <c r="DV73" s="53"/>
      <c r="DW73" s="53"/>
      <c r="DX73" s="53"/>
      <c r="DY73" s="53"/>
      <c r="DZ73" s="53"/>
      <c r="EA73" s="53"/>
      <c r="EB73" s="53"/>
      <c r="EC73" s="53"/>
      <c r="ED73" s="53"/>
      <c r="EE73" s="53"/>
      <c r="EF73" s="53"/>
      <c r="EG73" s="53"/>
      <c r="EH73" s="53"/>
      <c r="EI73" s="53"/>
      <c r="EJ73" s="53"/>
      <c r="EK73" s="53"/>
      <c r="EL73" s="53"/>
      <c r="EM73" s="53"/>
      <c r="EN73" s="53"/>
      <c r="EO73" s="53"/>
      <c r="EP73" s="53"/>
      <c r="EQ73" s="53"/>
      <c r="ER73" s="53"/>
      <c r="ES73" s="53"/>
      <c r="ET73" s="53"/>
      <c r="EU73" s="53"/>
      <c r="EV73" s="53"/>
      <c r="EW73" s="53"/>
      <c r="EX73" s="53"/>
      <c r="EY73" s="53"/>
      <c r="EZ73" s="53"/>
      <c r="FA73" s="53"/>
      <c r="FB73" s="53"/>
      <c r="FC73" s="53"/>
      <c r="FD73" s="53"/>
      <c r="FE73" s="53"/>
      <c r="FF73" s="53"/>
      <c r="FG73" s="53"/>
      <c r="FH73" s="53"/>
      <c r="FI73" s="53"/>
      <c r="FJ73" s="53"/>
      <c r="FK73" s="53"/>
      <c r="FL73" s="53"/>
      <c r="FM73" s="53"/>
      <c r="FN73" s="53"/>
      <c r="FO73" s="53"/>
      <c r="FP73" s="53"/>
      <c r="FQ73" s="53"/>
      <c r="FR73" s="53"/>
      <c r="FS73" s="53"/>
      <c r="FT73" s="53"/>
      <c r="FU73" s="53"/>
      <c r="FV73" s="53"/>
      <c r="FW73" s="53"/>
      <c r="FX73" s="53"/>
      <c r="FY73" s="53"/>
      <c r="FZ73" s="53"/>
      <c r="GA73" s="53"/>
      <c r="GB73" s="53"/>
      <c r="GC73" s="53"/>
      <c r="GD73" s="53"/>
      <c r="GE73" s="53"/>
      <c r="GF73" s="53"/>
      <c r="GG73" s="53"/>
      <c r="GH73" s="53"/>
      <c r="GI73" s="53"/>
      <c r="GJ73" s="53"/>
      <c r="GK73" s="53"/>
      <c r="GL73" s="53"/>
      <c r="GM73" s="53"/>
      <c r="GN73" s="53"/>
      <c r="GO73" s="53"/>
      <c r="GP73" s="53"/>
      <c r="GQ73" s="53"/>
      <c r="GR73" s="53"/>
      <c r="GS73" s="53"/>
      <c r="GT73" s="53"/>
      <c r="GU73" s="53"/>
      <c r="GV73" s="53"/>
      <c r="GW73" s="53"/>
      <c r="GX73" s="53"/>
      <c r="GY73" s="53"/>
      <c r="GZ73" s="53"/>
      <c r="HA73" s="53"/>
      <c r="HB73" s="53"/>
      <c r="HC73" s="53"/>
      <c r="HD73" s="53"/>
      <c r="HE73" s="53"/>
      <c r="HF73" s="53"/>
      <c r="HG73" s="53"/>
      <c r="HH73" s="53"/>
      <c r="HI73" s="53"/>
      <c r="HJ73" s="53"/>
      <c r="HK73" s="53"/>
      <c r="HL73" s="53"/>
      <c r="HM73" s="53"/>
      <c r="HN73" s="53"/>
      <c r="HO73" s="53"/>
      <c r="HP73" s="53"/>
      <c r="HQ73" s="53"/>
      <c r="HR73" s="53"/>
      <c r="HS73" s="53"/>
      <c r="HT73" s="53"/>
      <c r="HU73" s="53"/>
      <c r="HV73" s="53"/>
      <c r="HW73" s="53"/>
      <c r="HX73" s="53"/>
      <c r="HY73" s="53"/>
      <c r="HZ73" s="53"/>
      <c r="IA73" s="53"/>
      <c r="IB73" s="53"/>
      <c r="IC73" s="53"/>
      <c r="ID73" s="53"/>
      <c r="IE73" s="53"/>
      <c r="IF73" s="53"/>
      <c r="IG73" s="53"/>
      <c r="IH73" s="53"/>
      <c r="II73" s="53"/>
      <c r="IJ73" s="53"/>
      <c r="IK73" s="53"/>
      <c r="IL73" s="53"/>
      <c r="IM73" s="53"/>
      <c r="IN73" s="53"/>
      <c r="IO73" s="53"/>
      <c r="IP73" s="53"/>
      <c r="IQ73" s="53"/>
      <c r="IR73" s="53"/>
      <c r="IS73" s="53"/>
      <c r="IT73" s="53"/>
      <c r="IU73" s="53"/>
      <c r="IV73" s="53"/>
    </row>
    <row r="74" spans="1:256" x14ac:dyDescent="0.25">
      <c r="A74" s="78"/>
      <c r="B74" s="81"/>
      <c r="C74" s="79"/>
      <c r="D74" s="81"/>
      <c r="E74" s="81"/>
      <c r="F74" s="81"/>
      <c r="G74" s="81"/>
      <c r="H74" s="81"/>
      <c r="I74" s="81"/>
      <c r="J74" s="81"/>
      <c r="K74" s="81"/>
      <c r="L74" s="81"/>
      <c r="M74" s="81"/>
      <c r="N74" s="78"/>
      <c r="O74" s="78"/>
      <c r="P74" s="78"/>
      <c r="Q74" s="78"/>
      <c r="R74" s="55"/>
      <c r="S74" s="55"/>
      <c r="T74" s="55"/>
      <c r="U74" s="55"/>
      <c r="V74" s="55"/>
      <c r="W74" s="55"/>
      <c r="X74" s="55"/>
      <c r="Y74" s="55"/>
      <c r="Z74" s="55"/>
      <c r="AA74" s="55"/>
      <c r="AB74" s="55"/>
      <c r="AC74" s="55"/>
      <c r="AD74" s="55"/>
      <c r="AE74" s="55"/>
      <c r="AF74" s="55"/>
      <c r="AG74" s="55"/>
      <c r="AH74" s="55"/>
      <c r="AI74" s="55"/>
      <c r="AJ74" s="55"/>
      <c r="AK74" s="55"/>
      <c r="AL74" s="55"/>
      <c r="AM74" s="55"/>
      <c r="AN74" s="55"/>
      <c r="AO74" s="55"/>
      <c r="AP74" s="55"/>
      <c r="AQ74" s="55"/>
      <c r="AR74" s="55"/>
      <c r="AS74" s="55"/>
      <c r="AT74" s="55"/>
      <c r="AU74" s="55"/>
      <c r="AV74" s="55"/>
      <c r="AW74" s="55"/>
      <c r="AX74" s="55"/>
      <c r="AY74" s="55"/>
      <c r="AZ74" s="55"/>
      <c r="BA74" s="55"/>
      <c r="BB74" s="55"/>
      <c r="BC74" s="55"/>
      <c r="BD74" s="55"/>
      <c r="BE74" s="55"/>
      <c r="BF74" s="55"/>
      <c r="BG74" s="55"/>
      <c r="BH74" s="55"/>
      <c r="BI74" s="55"/>
      <c r="BJ74" s="55"/>
      <c r="BK74" s="55"/>
      <c r="BL74" s="55"/>
      <c r="BM74" s="55"/>
      <c r="BN74" s="55"/>
      <c r="BO74" s="55"/>
      <c r="BP74" s="55"/>
      <c r="BQ74" s="55"/>
      <c r="BR74" s="55"/>
      <c r="BS74" s="55"/>
      <c r="BT74" s="55"/>
      <c r="BU74" s="55"/>
      <c r="BV74" s="55"/>
      <c r="BW74" s="55"/>
      <c r="BX74" s="55"/>
      <c r="BY74" s="55"/>
      <c r="BZ74" s="55"/>
      <c r="CA74" s="55"/>
      <c r="CB74" s="55"/>
      <c r="CC74" s="55"/>
      <c r="CD74" s="55"/>
      <c r="CE74" s="55"/>
      <c r="CF74" s="55"/>
      <c r="CG74" s="55"/>
      <c r="CH74" s="55"/>
      <c r="CI74" s="55"/>
      <c r="CJ74" s="55"/>
      <c r="CK74" s="55"/>
      <c r="CL74" s="55"/>
      <c r="CM74" s="55"/>
      <c r="CN74" s="55"/>
      <c r="CO74" s="55"/>
      <c r="CP74" s="55"/>
      <c r="CQ74" s="55"/>
      <c r="CR74" s="55"/>
      <c r="CS74" s="55"/>
      <c r="CT74" s="55"/>
      <c r="CU74" s="55"/>
      <c r="CV74" s="55"/>
      <c r="CW74" s="55"/>
      <c r="CX74" s="55"/>
      <c r="CY74" s="55"/>
      <c r="CZ74" s="55"/>
      <c r="DA74" s="55"/>
      <c r="DB74" s="55"/>
      <c r="DC74" s="55"/>
      <c r="DD74" s="55"/>
      <c r="DE74" s="55"/>
      <c r="DF74" s="55"/>
      <c r="DG74" s="55"/>
      <c r="DH74" s="55"/>
      <c r="DI74" s="55"/>
      <c r="DJ74" s="55"/>
      <c r="DK74" s="55"/>
      <c r="DL74" s="55"/>
      <c r="DM74" s="55"/>
      <c r="DN74" s="55"/>
      <c r="DO74" s="55"/>
      <c r="DP74" s="55"/>
      <c r="DQ74" s="55"/>
      <c r="DR74" s="55"/>
      <c r="DS74" s="55"/>
      <c r="DT74" s="55"/>
      <c r="DU74" s="55"/>
      <c r="DV74" s="55"/>
      <c r="DW74" s="55"/>
      <c r="DX74" s="55"/>
      <c r="DY74" s="55"/>
      <c r="DZ74" s="55"/>
      <c r="EA74" s="55"/>
      <c r="EB74" s="55"/>
      <c r="EC74" s="55"/>
      <c r="ED74" s="55"/>
      <c r="EE74" s="55"/>
      <c r="EF74" s="55"/>
      <c r="EG74" s="55"/>
      <c r="EH74" s="55"/>
      <c r="EI74" s="55"/>
      <c r="EJ74" s="55"/>
      <c r="EK74" s="55"/>
      <c r="EL74" s="55"/>
      <c r="EM74" s="55"/>
      <c r="EN74" s="55"/>
      <c r="EO74" s="55"/>
      <c r="EP74" s="55"/>
      <c r="EQ74" s="55"/>
      <c r="ER74" s="55"/>
      <c r="ES74" s="55"/>
      <c r="ET74" s="55"/>
      <c r="EU74" s="55"/>
      <c r="EV74" s="55"/>
      <c r="EW74" s="55"/>
      <c r="EX74" s="55"/>
      <c r="EY74" s="55"/>
      <c r="EZ74" s="55"/>
      <c r="FA74" s="55"/>
      <c r="FB74" s="55"/>
      <c r="FC74" s="55"/>
      <c r="FD74" s="55"/>
      <c r="FE74" s="55"/>
      <c r="FF74" s="55"/>
      <c r="FG74" s="55"/>
      <c r="FH74" s="55"/>
      <c r="FI74" s="55"/>
      <c r="FJ74" s="55"/>
      <c r="FK74" s="55"/>
      <c r="FL74" s="55"/>
      <c r="FM74" s="55"/>
      <c r="FN74" s="55"/>
      <c r="FO74" s="55"/>
      <c r="FP74" s="55"/>
      <c r="FQ74" s="55"/>
      <c r="FR74" s="55"/>
      <c r="FS74" s="55"/>
      <c r="FT74" s="55"/>
      <c r="FU74" s="55"/>
      <c r="FV74" s="55"/>
      <c r="FW74" s="55"/>
      <c r="FX74" s="55"/>
      <c r="FY74" s="55"/>
      <c r="FZ74" s="55"/>
      <c r="GA74" s="55"/>
      <c r="GB74" s="55"/>
      <c r="GC74" s="55"/>
      <c r="GD74" s="55"/>
      <c r="GE74" s="55"/>
      <c r="GF74" s="55"/>
      <c r="GG74" s="55"/>
      <c r="GH74" s="55"/>
      <c r="GI74" s="55"/>
      <c r="GJ74" s="55"/>
      <c r="GK74" s="55"/>
      <c r="GL74" s="55"/>
      <c r="GM74" s="55"/>
      <c r="GN74" s="55"/>
      <c r="GO74" s="55"/>
      <c r="GP74" s="55"/>
      <c r="GQ74" s="55"/>
      <c r="GR74" s="55"/>
      <c r="GS74" s="55"/>
      <c r="GT74" s="55"/>
      <c r="GU74" s="55"/>
      <c r="GV74" s="55"/>
      <c r="GW74" s="55"/>
      <c r="GX74" s="55"/>
      <c r="GY74" s="55"/>
      <c r="GZ74" s="55"/>
      <c r="HA74" s="55"/>
      <c r="HB74" s="55"/>
      <c r="HC74" s="55"/>
      <c r="HD74" s="55"/>
      <c r="HE74" s="55"/>
      <c r="HF74" s="55"/>
      <c r="HG74" s="55"/>
      <c r="HH74" s="55"/>
      <c r="HI74" s="55"/>
      <c r="HJ74" s="55"/>
      <c r="HK74" s="55"/>
      <c r="HL74" s="55"/>
      <c r="HM74" s="55"/>
      <c r="HN74" s="55"/>
      <c r="HO74" s="55"/>
      <c r="HP74" s="55"/>
      <c r="HQ74" s="55"/>
      <c r="HR74" s="55"/>
      <c r="HS74" s="55"/>
      <c r="HT74" s="55"/>
      <c r="HU74" s="55"/>
      <c r="HV74" s="55"/>
      <c r="HW74" s="55"/>
      <c r="HX74" s="55"/>
      <c r="HY74" s="55"/>
      <c r="HZ74" s="55"/>
      <c r="IA74" s="55"/>
      <c r="IB74" s="55"/>
      <c r="IC74" s="55"/>
      <c r="ID74" s="55"/>
      <c r="IE74" s="55"/>
      <c r="IF74" s="55"/>
      <c r="IG74" s="55"/>
      <c r="IH74" s="55"/>
      <c r="II74" s="55"/>
      <c r="IJ74" s="55"/>
      <c r="IK74" s="55"/>
      <c r="IL74" s="55"/>
      <c r="IM74" s="55"/>
      <c r="IN74" s="55"/>
      <c r="IO74" s="55"/>
      <c r="IP74" s="55"/>
      <c r="IQ74" s="55"/>
      <c r="IR74" s="55"/>
      <c r="IS74" s="55"/>
      <c r="IT74" s="55"/>
      <c r="IU74" s="55"/>
      <c r="IV74" s="55"/>
    </row>
    <row r="75" spans="1:256" x14ac:dyDescent="0.25">
      <c r="A75" s="78"/>
      <c r="B75" s="81"/>
      <c r="C75" s="79"/>
      <c r="D75" s="81"/>
      <c r="E75" s="81"/>
      <c r="F75" s="81"/>
      <c r="G75" s="81"/>
      <c r="H75" s="81"/>
      <c r="I75" s="81"/>
      <c r="J75" s="81"/>
      <c r="K75" s="81"/>
      <c r="L75" s="81"/>
      <c r="M75" s="81"/>
      <c r="N75" s="78"/>
      <c r="O75" s="78"/>
      <c r="P75" s="78"/>
      <c r="Q75" s="78"/>
      <c r="R75" s="87"/>
      <c r="S75" s="87"/>
      <c r="T75" s="87"/>
      <c r="U75" s="87"/>
      <c r="V75" s="87"/>
      <c r="W75" s="87"/>
      <c r="X75" s="87"/>
      <c r="Y75" s="87"/>
      <c r="Z75" s="87"/>
      <c r="AA75" s="87"/>
      <c r="AB75" s="87"/>
      <c r="AC75" s="87"/>
      <c r="AD75" s="87"/>
      <c r="AE75" s="87"/>
      <c r="AF75" s="87"/>
      <c r="AG75" s="87"/>
      <c r="AH75" s="87"/>
      <c r="AI75" s="87"/>
      <c r="AJ75" s="87"/>
      <c r="AK75" s="87"/>
      <c r="AL75" s="87"/>
      <c r="AM75" s="87"/>
      <c r="AN75" s="87"/>
      <c r="AO75" s="87"/>
      <c r="AP75" s="87"/>
      <c r="AQ75" s="87"/>
      <c r="AR75" s="87"/>
      <c r="AS75" s="87"/>
      <c r="AT75" s="87"/>
      <c r="AU75" s="87"/>
      <c r="AV75" s="87"/>
      <c r="AW75" s="87"/>
      <c r="AX75" s="87"/>
      <c r="AY75" s="87"/>
      <c r="AZ75" s="87"/>
      <c r="BA75" s="87"/>
      <c r="BB75" s="87"/>
      <c r="BC75" s="87"/>
      <c r="BD75" s="87"/>
      <c r="BE75" s="87"/>
      <c r="BF75" s="87"/>
      <c r="BG75" s="87"/>
      <c r="BH75" s="87"/>
      <c r="BI75" s="87"/>
      <c r="BJ75" s="87"/>
      <c r="BK75" s="87"/>
      <c r="BL75" s="87"/>
      <c r="BM75" s="87"/>
      <c r="BN75" s="87"/>
      <c r="BO75" s="87"/>
      <c r="BP75" s="87"/>
      <c r="BQ75" s="87"/>
      <c r="BR75" s="87"/>
      <c r="BS75" s="87"/>
      <c r="BT75" s="87"/>
      <c r="BU75" s="87"/>
      <c r="BV75" s="87"/>
      <c r="BW75" s="87"/>
      <c r="BX75" s="87"/>
      <c r="BY75" s="87"/>
      <c r="BZ75" s="87"/>
      <c r="CA75" s="87"/>
      <c r="CB75" s="87"/>
      <c r="CC75" s="87"/>
      <c r="CD75" s="87"/>
      <c r="CE75" s="87"/>
      <c r="CF75" s="87"/>
      <c r="CG75" s="87"/>
      <c r="CH75" s="87"/>
      <c r="CI75" s="87"/>
      <c r="CJ75" s="87"/>
      <c r="CK75" s="87"/>
      <c r="CL75" s="87"/>
      <c r="CM75" s="87"/>
      <c r="CN75" s="87"/>
      <c r="CO75" s="87"/>
      <c r="CP75" s="87"/>
      <c r="CQ75" s="87"/>
      <c r="CR75" s="87"/>
      <c r="CS75" s="87"/>
      <c r="CT75" s="87"/>
      <c r="CU75" s="87"/>
      <c r="CV75" s="87"/>
      <c r="CW75" s="87"/>
      <c r="CX75" s="87"/>
      <c r="CY75" s="87"/>
      <c r="CZ75" s="87"/>
      <c r="DA75" s="87"/>
      <c r="DB75" s="87"/>
      <c r="DC75" s="87"/>
      <c r="DD75" s="87"/>
      <c r="DE75" s="87"/>
      <c r="DF75" s="87"/>
      <c r="DG75" s="87"/>
      <c r="DH75" s="87"/>
      <c r="DI75" s="87"/>
      <c r="DJ75" s="87"/>
      <c r="DK75" s="87"/>
      <c r="DL75" s="87"/>
      <c r="DM75" s="87"/>
      <c r="DN75" s="87"/>
      <c r="DO75" s="87"/>
      <c r="DP75" s="87"/>
      <c r="DQ75" s="87"/>
      <c r="DR75" s="87"/>
      <c r="DS75" s="87"/>
      <c r="DT75" s="87"/>
      <c r="DU75" s="87"/>
      <c r="DV75" s="87"/>
      <c r="DW75" s="87"/>
      <c r="DX75" s="87"/>
      <c r="DY75" s="87"/>
      <c r="DZ75" s="87"/>
      <c r="EA75" s="87"/>
      <c r="EB75" s="87"/>
      <c r="EC75" s="87"/>
      <c r="ED75" s="87"/>
      <c r="EE75" s="87"/>
      <c r="EF75" s="87"/>
      <c r="EG75" s="87"/>
      <c r="EH75" s="87"/>
      <c r="EI75" s="87"/>
      <c r="EJ75" s="87"/>
      <c r="EK75" s="87"/>
      <c r="EL75" s="87"/>
      <c r="EM75" s="87"/>
      <c r="EN75" s="87"/>
      <c r="EO75" s="87"/>
      <c r="EP75" s="87"/>
      <c r="EQ75" s="87"/>
      <c r="ER75" s="87"/>
      <c r="ES75" s="87"/>
      <c r="ET75" s="87"/>
      <c r="EU75" s="87"/>
      <c r="EV75" s="87"/>
      <c r="EW75" s="87"/>
      <c r="EX75" s="87"/>
      <c r="EY75" s="87"/>
      <c r="EZ75" s="87"/>
      <c r="FA75" s="87"/>
      <c r="FB75" s="87"/>
      <c r="FC75" s="87"/>
      <c r="FD75" s="87"/>
      <c r="FE75" s="87"/>
      <c r="FF75" s="87"/>
      <c r="FG75" s="87"/>
      <c r="FH75" s="87"/>
      <c r="FI75" s="87"/>
      <c r="FJ75" s="87"/>
      <c r="FK75" s="87"/>
      <c r="FL75" s="87"/>
      <c r="FM75" s="87"/>
      <c r="FN75" s="87"/>
      <c r="FO75" s="87"/>
      <c r="FP75" s="87"/>
      <c r="FQ75" s="87"/>
      <c r="FR75" s="87"/>
      <c r="FS75" s="87"/>
      <c r="FT75" s="87"/>
      <c r="FU75" s="87"/>
      <c r="FV75" s="87"/>
      <c r="FW75" s="87"/>
      <c r="FX75" s="87"/>
      <c r="FY75" s="87"/>
      <c r="FZ75" s="87"/>
      <c r="GA75" s="87"/>
      <c r="GB75" s="87"/>
      <c r="GC75" s="87"/>
      <c r="GD75" s="87"/>
      <c r="GE75" s="87"/>
      <c r="GF75" s="87"/>
      <c r="GG75" s="87"/>
      <c r="GH75" s="87"/>
      <c r="GI75" s="87"/>
      <c r="GJ75" s="87"/>
      <c r="GK75" s="87"/>
      <c r="GL75" s="87"/>
      <c r="GM75" s="87"/>
      <c r="GN75" s="87"/>
      <c r="GO75" s="87"/>
      <c r="GP75" s="87"/>
      <c r="GQ75" s="87"/>
      <c r="GR75" s="87"/>
      <c r="GS75" s="87"/>
      <c r="GT75" s="87"/>
      <c r="GU75" s="87"/>
      <c r="GV75" s="87"/>
      <c r="GW75" s="87"/>
      <c r="GX75" s="87"/>
      <c r="GY75" s="87"/>
      <c r="GZ75" s="87"/>
      <c r="HA75" s="87"/>
      <c r="HB75" s="87"/>
      <c r="HC75" s="87"/>
      <c r="HD75" s="87"/>
      <c r="HE75" s="87"/>
      <c r="HF75" s="87"/>
      <c r="HG75" s="87"/>
      <c r="HH75" s="87"/>
      <c r="HI75" s="87"/>
      <c r="HJ75" s="87"/>
      <c r="HK75" s="87"/>
      <c r="HL75" s="87"/>
      <c r="HM75" s="87"/>
      <c r="HN75" s="87"/>
      <c r="HO75" s="87"/>
      <c r="HP75" s="87"/>
      <c r="HQ75" s="87"/>
      <c r="HR75" s="87"/>
      <c r="HS75" s="87"/>
      <c r="HT75" s="87"/>
      <c r="HU75" s="87"/>
      <c r="HV75" s="87"/>
      <c r="HW75" s="87"/>
      <c r="HX75" s="87"/>
      <c r="HY75" s="87"/>
      <c r="HZ75" s="87"/>
      <c r="IA75" s="87"/>
      <c r="IB75" s="87"/>
      <c r="IC75" s="87"/>
      <c r="ID75" s="87"/>
      <c r="IE75" s="87"/>
      <c r="IF75" s="87"/>
      <c r="IG75" s="87"/>
      <c r="IH75" s="87"/>
      <c r="II75" s="87"/>
      <c r="IJ75" s="87"/>
      <c r="IK75" s="87"/>
      <c r="IL75" s="87"/>
      <c r="IM75" s="87"/>
      <c r="IN75" s="87"/>
      <c r="IO75" s="87"/>
      <c r="IP75" s="87"/>
      <c r="IQ75" s="87"/>
      <c r="IR75" s="87"/>
      <c r="IS75" s="87"/>
      <c r="IT75" s="87"/>
      <c r="IU75" s="87"/>
      <c r="IV75" s="87"/>
    </row>
    <row r="76" spans="1:256" s="18" customFormat="1" x14ac:dyDescent="0.25">
      <c r="A76" s="78"/>
      <c r="B76" s="81"/>
      <c r="C76" s="79"/>
      <c r="D76" s="81"/>
      <c r="E76" s="81"/>
      <c r="F76" s="81"/>
      <c r="G76" s="81"/>
      <c r="H76" s="81"/>
      <c r="I76" s="81"/>
      <c r="J76" s="81"/>
      <c r="K76" s="81"/>
      <c r="L76" s="81"/>
      <c r="M76" s="81"/>
      <c r="N76" s="78"/>
      <c r="O76" s="78"/>
      <c r="P76" s="78"/>
      <c r="Q76" s="78"/>
      <c r="R76" s="87"/>
      <c r="S76" s="87"/>
      <c r="T76" s="87"/>
      <c r="U76" s="87"/>
      <c r="V76" s="87"/>
      <c r="W76" s="87"/>
      <c r="X76" s="87"/>
      <c r="Y76" s="87"/>
      <c r="Z76" s="87"/>
      <c r="AA76" s="87"/>
      <c r="AB76" s="87"/>
      <c r="AC76" s="87"/>
      <c r="AD76" s="87"/>
      <c r="AE76" s="87"/>
      <c r="AF76" s="87"/>
      <c r="AG76" s="87"/>
      <c r="AH76" s="87"/>
      <c r="AI76" s="87"/>
      <c r="AJ76" s="87"/>
      <c r="AK76" s="87"/>
      <c r="AL76" s="87"/>
      <c r="AM76" s="87"/>
      <c r="AN76" s="87"/>
      <c r="AO76" s="87"/>
      <c r="AP76" s="87"/>
      <c r="AQ76" s="87"/>
      <c r="AR76" s="87"/>
      <c r="AS76" s="87"/>
      <c r="AT76" s="87"/>
      <c r="AU76" s="87"/>
      <c r="AV76" s="87"/>
      <c r="AW76" s="87"/>
      <c r="AX76" s="87"/>
      <c r="AY76" s="87"/>
      <c r="AZ76" s="87"/>
      <c r="BA76" s="87"/>
      <c r="BB76" s="87"/>
      <c r="BC76" s="87"/>
      <c r="BD76" s="87"/>
      <c r="BE76" s="87"/>
      <c r="BF76" s="87"/>
      <c r="BG76" s="87"/>
      <c r="BH76" s="87"/>
      <c r="BI76" s="87"/>
      <c r="BJ76" s="87"/>
      <c r="BK76" s="87"/>
      <c r="BL76" s="87"/>
      <c r="BM76" s="87"/>
      <c r="BN76" s="87"/>
      <c r="BO76" s="87"/>
      <c r="BP76" s="87"/>
      <c r="BQ76" s="87"/>
      <c r="BR76" s="87"/>
      <c r="BS76" s="87"/>
      <c r="BT76" s="87"/>
      <c r="BU76" s="87"/>
      <c r="BV76" s="87"/>
      <c r="BW76" s="87"/>
      <c r="BX76" s="87"/>
      <c r="BY76" s="87"/>
      <c r="BZ76" s="87"/>
      <c r="CA76" s="87"/>
      <c r="CB76" s="87"/>
      <c r="CC76" s="87"/>
      <c r="CD76" s="87"/>
      <c r="CE76" s="87"/>
      <c r="CF76" s="87"/>
      <c r="CG76" s="87"/>
      <c r="CH76" s="87"/>
      <c r="CI76" s="87"/>
      <c r="CJ76" s="87"/>
      <c r="CK76" s="87"/>
      <c r="CL76" s="87"/>
      <c r="CM76" s="87"/>
      <c r="CN76" s="87"/>
      <c r="CO76" s="87"/>
      <c r="CP76" s="87"/>
      <c r="CQ76" s="87"/>
      <c r="CR76" s="87"/>
      <c r="CS76" s="87"/>
      <c r="CT76" s="87"/>
      <c r="CU76" s="87"/>
      <c r="CV76" s="87"/>
      <c r="CW76" s="87"/>
      <c r="CX76" s="87"/>
      <c r="CY76" s="87"/>
      <c r="CZ76" s="87"/>
      <c r="DA76" s="87"/>
      <c r="DB76" s="87"/>
      <c r="DC76" s="87"/>
      <c r="DD76" s="87"/>
      <c r="DE76" s="87"/>
      <c r="DF76" s="87"/>
      <c r="DG76" s="87"/>
      <c r="DH76" s="87"/>
      <c r="DI76" s="87"/>
      <c r="DJ76" s="87"/>
      <c r="DK76" s="87"/>
      <c r="DL76" s="87"/>
      <c r="DM76" s="87"/>
      <c r="DN76" s="87"/>
      <c r="DO76" s="87"/>
      <c r="DP76" s="87"/>
      <c r="DQ76" s="87"/>
      <c r="DR76" s="87"/>
      <c r="DS76" s="87"/>
      <c r="DT76" s="87"/>
      <c r="DU76" s="87"/>
      <c r="DV76" s="87"/>
      <c r="DW76" s="87"/>
      <c r="DX76" s="87"/>
      <c r="DY76" s="87"/>
      <c r="DZ76" s="87"/>
      <c r="EA76" s="87"/>
      <c r="EB76" s="87"/>
      <c r="EC76" s="87"/>
      <c r="ED76" s="87"/>
      <c r="EE76" s="87"/>
      <c r="EF76" s="87"/>
      <c r="EG76" s="87"/>
      <c r="EH76" s="87"/>
      <c r="EI76" s="87"/>
      <c r="EJ76" s="87"/>
      <c r="EK76" s="87"/>
      <c r="EL76" s="87"/>
      <c r="EM76" s="87"/>
      <c r="EN76" s="87"/>
      <c r="EO76" s="87"/>
      <c r="EP76" s="87"/>
      <c r="EQ76" s="87"/>
      <c r="ER76" s="87"/>
      <c r="ES76" s="87"/>
      <c r="ET76" s="87"/>
      <c r="EU76" s="87"/>
      <c r="EV76" s="87"/>
      <c r="EW76" s="87"/>
      <c r="EX76" s="87"/>
      <c r="EY76" s="87"/>
      <c r="EZ76" s="87"/>
      <c r="FA76" s="87"/>
      <c r="FB76" s="87"/>
      <c r="FC76" s="87"/>
      <c r="FD76" s="87"/>
      <c r="FE76" s="87"/>
      <c r="FF76" s="87"/>
      <c r="FG76" s="87"/>
      <c r="FH76" s="87"/>
      <c r="FI76" s="87"/>
      <c r="FJ76" s="87"/>
      <c r="FK76" s="87"/>
      <c r="FL76" s="87"/>
      <c r="FM76" s="87"/>
      <c r="FN76" s="87"/>
      <c r="FO76" s="87"/>
      <c r="FP76" s="87"/>
      <c r="FQ76" s="87"/>
      <c r="FR76" s="87"/>
      <c r="FS76" s="87"/>
      <c r="FT76" s="87"/>
      <c r="FU76" s="87"/>
      <c r="FV76" s="87"/>
      <c r="FW76" s="87"/>
      <c r="FX76" s="87"/>
      <c r="FY76" s="87"/>
      <c r="FZ76" s="87"/>
      <c r="GA76" s="87"/>
      <c r="GB76" s="87"/>
      <c r="GC76" s="87"/>
      <c r="GD76" s="87"/>
      <c r="GE76" s="87"/>
      <c r="GF76" s="87"/>
      <c r="GG76" s="87"/>
      <c r="GH76" s="87"/>
      <c r="GI76" s="87"/>
      <c r="GJ76" s="87"/>
      <c r="GK76" s="87"/>
      <c r="GL76" s="87"/>
      <c r="GM76" s="87"/>
      <c r="GN76" s="87"/>
      <c r="GO76" s="87"/>
      <c r="GP76" s="87"/>
      <c r="GQ76" s="87"/>
      <c r="GR76" s="87"/>
      <c r="GS76" s="87"/>
      <c r="GT76" s="87"/>
      <c r="GU76" s="87"/>
      <c r="GV76" s="87"/>
      <c r="GW76" s="87"/>
      <c r="GX76" s="87"/>
      <c r="GY76" s="87"/>
      <c r="GZ76" s="87"/>
      <c r="HA76" s="87"/>
      <c r="HB76" s="87"/>
      <c r="HC76" s="87"/>
      <c r="HD76" s="87"/>
      <c r="HE76" s="87"/>
      <c r="HF76" s="87"/>
      <c r="HG76" s="87"/>
      <c r="HH76" s="87"/>
      <c r="HI76" s="87"/>
      <c r="HJ76" s="87"/>
      <c r="HK76" s="87"/>
      <c r="HL76" s="87"/>
      <c r="HM76" s="87"/>
      <c r="HN76" s="87"/>
      <c r="HO76" s="87"/>
      <c r="HP76" s="87"/>
      <c r="HQ76" s="87"/>
      <c r="HR76" s="87"/>
      <c r="HS76" s="87"/>
      <c r="HT76" s="87"/>
      <c r="HU76" s="87"/>
      <c r="HV76" s="87"/>
      <c r="HW76" s="87"/>
      <c r="HX76" s="87"/>
      <c r="HY76" s="87"/>
      <c r="HZ76" s="87"/>
      <c r="IA76" s="87"/>
      <c r="IB76" s="87"/>
      <c r="IC76" s="87"/>
      <c r="ID76" s="87"/>
      <c r="IE76" s="87"/>
      <c r="IF76" s="87"/>
      <c r="IG76" s="87"/>
      <c r="IH76" s="87"/>
      <c r="II76" s="87"/>
      <c r="IJ76" s="87"/>
      <c r="IK76" s="87"/>
      <c r="IL76" s="87"/>
      <c r="IM76" s="87"/>
      <c r="IN76" s="87"/>
      <c r="IO76" s="87"/>
      <c r="IP76" s="87"/>
      <c r="IQ76" s="87"/>
      <c r="IR76" s="87"/>
      <c r="IS76" s="87"/>
      <c r="IT76" s="87"/>
      <c r="IU76" s="87"/>
      <c r="IV76" s="87"/>
    </row>
    <row r="77" spans="1:256" s="18" customFormat="1" x14ac:dyDescent="0.25">
      <c r="A77" s="78"/>
      <c r="B77" s="81"/>
      <c r="C77" s="79"/>
      <c r="D77" s="81"/>
      <c r="E77" s="81"/>
      <c r="F77" s="81"/>
      <c r="G77" s="81"/>
      <c r="H77" s="81"/>
      <c r="I77" s="84"/>
      <c r="J77" s="81"/>
      <c r="K77" s="81"/>
      <c r="L77" s="81"/>
      <c r="M77" s="78"/>
      <c r="N77" s="78"/>
      <c r="O77" s="78"/>
      <c r="P77" s="78"/>
      <c r="Q77" s="78"/>
      <c r="R77" s="87"/>
      <c r="S77" s="87"/>
      <c r="T77" s="87"/>
      <c r="U77" s="87"/>
      <c r="V77" s="87"/>
      <c r="W77" s="87"/>
      <c r="X77" s="87"/>
      <c r="Y77" s="87"/>
      <c r="Z77" s="87"/>
      <c r="AA77" s="87"/>
      <c r="AB77" s="87"/>
      <c r="AC77" s="87"/>
      <c r="AD77" s="87"/>
      <c r="AE77" s="87"/>
      <c r="AF77" s="87"/>
      <c r="AG77" s="87"/>
      <c r="AH77" s="87"/>
      <c r="AI77" s="87"/>
      <c r="AJ77" s="87"/>
      <c r="AK77" s="87"/>
      <c r="AL77" s="87"/>
      <c r="AM77" s="87"/>
      <c r="AN77" s="87"/>
      <c r="AO77" s="87"/>
      <c r="AP77" s="87"/>
      <c r="AQ77" s="87"/>
      <c r="AR77" s="87"/>
      <c r="AS77" s="87"/>
      <c r="AT77" s="87"/>
      <c r="AU77" s="87"/>
      <c r="AV77" s="87"/>
      <c r="AW77" s="87"/>
      <c r="AX77" s="87"/>
      <c r="AY77" s="87"/>
      <c r="AZ77" s="87"/>
      <c r="BA77" s="87"/>
      <c r="BB77" s="87"/>
      <c r="BC77" s="87"/>
      <c r="BD77" s="87"/>
      <c r="BE77" s="87"/>
      <c r="BF77" s="87"/>
      <c r="BG77" s="87"/>
      <c r="BH77" s="87"/>
      <c r="BI77" s="87"/>
      <c r="BJ77" s="87"/>
      <c r="BK77" s="87"/>
      <c r="BL77" s="87"/>
      <c r="BM77" s="87"/>
      <c r="BN77" s="87"/>
      <c r="BO77" s="87"/>
      <c r="BP77" s="87"/>
      <c r="BQ77" s="87"/>
      <c r="BR77" s="87"/>
      <c r="BS77" s="87"/>
      <c r="BT77" s="87"/>
      <c r="BU77" s="87"/>
      <c r="BV77" s="87"/>
      <c r="BW77" s="87"/>
      <c r="BX77" s="87"/>
      <c r="BY77" s="87"/>
      <c r="BZ77" s="87"/>
      <c r="CA77" s="87"/>
      <c r="CB77" s="87"/>
      <c r="CC77" s="87"/>
      <c r="CD77" s="87"/>
      <c r="CE77" s="87"/>
      <c r="CF77" s="87"/>
      <c r="CG77" s="87"/>
      <c r="CH77" s="87"/>
      <c r="CI77" s="87"/>
      <c r="CJ77" s="87"/>
      <c r="CK77" s="87"/>
      <c r="CL77" s="87"/>
      <c r="CM77" s="87"/>
      <c r="CN77" s="87"/>
      <c r="CO77" s="87"/>
      <c r="CP77" s="87"/>
      <c r="CQ77" s="87"/>
      <c r="CR77" s="87"/>
      <c r="CS77" s="87"/>
      <c r="CT77" s="87"/>
      <c r="CU77" s="87"/>
      <c r="CV77" s="87"/>
      <c r="CW77" s="87"/>
      <c r="CX77" s="87"/>
      <c r="CY77" s="87"/>
      <c r="CZ77" s="87"/>
      <c r="DA77" s="87"/>
      <c r="DB77" s="87"/>
      <c r="DC77" s="87"/>
      <c r="DD77" s="87"/>
      <c r="DE77" s="87"/>
      <c r="DF77" s="87"/>
      <c r="DG77" s="87"/>
      <c r="DH77" s="87"/>
      <c r="DI77" s="87"/>
      <c r="DJ77" s="87"/>
      <c r="DK77" s="87"/>
      <c r="DL77" s="87"/>
      <c r="DM77" s="87"/>
      <c r="DN77" s="87"/>
      <c r="DO77" s="87"/>
      <c r="DP77" s="87"/>
      <c r="DQ77" s="87"/>
      <c r="DR77" s="87"/>
      <c r="DS77" s="87"/>
      <c r="DT77" s="87"/>
      <c r="DU77" s="87"/>
      <c r="DV77" s="87"/>
      <c r="DW77" s="87"/>
      <c r="DX77" s="87"/>
      <c r="DY77" s="87"/>
      <c r="DZ77" s="87"/>
      <c r="EA77" s="87"/>
      <c r="EB77" s="87"/>
      <c r="EC77" s="87"/>
      <c r="ED77" s="87"/>
      <c r="EE77" s="87"/>
      <c r="EF77" s="87"/>
      <c r="EG77" s="87"/>
      <c r="EH77" s="87"/>
      <c r="EI77" s="87"/>
      <c r="EJ77" s="87"/>
      <c r="EK77" s="87"/>
      <c r="EL77" s="87"/>
      <c r="EM77" s="87"/>
      <c r="EN77" s="87"/>
      <c r="EO77" s="87"/>
      <c r="EP77" s="87"/>
      <c r="EQ77" s="87"/>
      <c r="ER77" s="87"/>
      <c r="ES77" s="87"/>
      <c r="ET77" s="87"/>
      <c r="EU77" s="87"/>
      <c r="EV77" s="87"/>
      <c r="EW77" s="87"/>
      <c r="EX77" s="87"/>
      <c r="EY77" s="87"/>
      <c r="EZ77" s="87"/>
      <c r="FA77" s="87"/>
      <c r="FB77" s="87"/>
      <c r="FC77" s="87"/>
      <c r="FD77" s="87"/>
      <c r="FE77" s="87"/>
      <c r="FF77" s="87"/>
      <c r="FG77" s="87"/>
      <c r="FH77" s="87"/>
      <c r="FI77" s="87"/>
      <c r="FJ77" s="87"/>
      <c r="FK77" s="87"/>
      <c r="FL77" s="87"/>
      <c r="FM77" s="87"/>
      <c r="FN77" s="87"/>
      <c r="FO77" s="87"/>
      <c r="FP77" s="87"/>
      <c r="FQ77" s="87"/>
      <c r="FR77" s="87"/>
      <c r="FS77" s="87"/>
      <c r="FT77" s="87"/>
      <c r="FU77" s="87"/>
      <c r="FV77" s="87"/>
      <c r="FW77" s="87"/>
      <c r="FX77" s="87"/>
      <c r="FY77" s="87"/>
      <c r="FZ77" s="87"/>
      <c r="GA77" s="87"/>
      <c r="GB77" s="87"/>
      <c r="GC77" s="87"/>
      <c r="GD77" s="87"/>
      <c r="GE77" s="87"/>
      <c r="GF77" s="87"/>
      <c r="GG77" s="87"/>
      <c r="GH77" s="87"/>
      <c r="GI77" s="87"/>
      <c r="GJ77" s="87"/>
      <c r="GK77" s="87"/>
      <c r="GL77" s="87"/>
      <c r="GM77" s="87"/>
      <c r="GN77" s="87"/>
      <c r="GO77" s="87"/>
      <c r="GP77" s="87"/>
      <c r="GQ77" s="87"/>
      <c r="GR77" s="87"/>
      <c r="GS77" s="87"/>
      <c r="GT77" s="87"/>
      <c r="GU77" s="87"/>
      <c r="GV77" s="87"/>
      <c r="GW77" s="87"/>
      <c r="GX77" s="87"/>
      <c r="GY77" s="87"/>
      <c r="GZ77" s="87"/>
      <c r="HA77" s="87"/>
      <c r="HB77" s="87"/>
      <c r="HC77" s="87"/>
      <c r="HD77" s="87"/>
      <c r="HE77" s="87"/>
      <c r="HF77" s="87"/>
      <c r="HG77" s="87"/>
      <c r="HH77" s="87"/>
      <c r="HI77" s="87"/>
      <c r="HJ77" s="87"/>
      <c r="HK77" s="87"/>
      <c r="HL77" s="87"/>
      <c r="HM77" s="87"/>
      <c r="HN77" s="87"/>
      <c r="HO77" s="87"/>
      <c r="HP77" s="87"/>
      <c r="HQ77" s="87"/>
      <c r="HR77" s="87"/>
      <c r="HS77" s="87"/>
      <c r="HT77" s="87"/>
      <c r="HU77" s="87"/>
      <c r="HV77" s="87"/>
      <c r="HW77" s="87"/>
      <c r="HX77" s="87"/>
      <c r="HY77" s="87"/>
      <c r="HZ77" s="87"/>
      <c r="IA77" s="87"/>
      <c r="IB77" s="87"/>
      <c r="IC77" s="87"/>
      <c r="ID77" s="87"/>
      <c r="IE77" s="87"/>
      <c r="IF77" s="87"/>
      <c r="IG77" s="87"/>
      <c r="IH77" s="87"/>
      <c r="II77" s="87"/>
      <c r="IJ77" s="87"/>
      <c r="IK77" s="87"/>
      <c r="IL77" s="87"/>
      <c r="IM77" s="87"/>
      <c r="IN77" s="87"/>
      <c r="IO77" s="87"/>
      <c r="IP77" s="87"/>
      <c r="IQ77" s="87"/>
      <c r="IR77" s="87"/>
      <c r="IS77" s="87"/>
      <c r="IT77" s="87"/>
      <c r="IU77" s="87"/>
      <c r="IV77" s="87"/>
    </row>
    <row r="78" spans="1:256" x14ac:dyDescent="0.25">
      <c r="A78" s="53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  <c r="AF78" s="53"/>
      <c r="AG78" s="53"/>
      <c r="AH78" s="53"/>
      <c r="AI78" s="53"/>
      <c r="AJ78" s="53"/>
      <c r="AK78" s="53"/>
      <c r="AL78" s="53"/>
      <c r="AM78" s="53"/>
      <c r="AN78" s="53"/>
      <c r="AO78" s="53"/>
      <c r="AP78" s="53"/>
      <c r="AQ78" s="53"/>
      <c r="AR78" s="53"/>
      <c r="AS78" s="53"/>
      <c r="AT78" s="53"/>
      <c r="AU78" s="53"/>
      <c r="AV78" s="53"/>
      <c r="AW78" s="53"/>
      <c r="AX78" s="53"/>
      <c r="AY78" s="53"/>
      <c r="AZ78" s="53"/>
      <c r="BA78" s="53"/>
      <c r="BB78" s="53"/>
      <c r="BC78" s="53"/>
      <c r="BD78" s="53"/>
      <c r="BE78" s="53"/>
      <c r="BF78" s="53"/>
      <c r="BG78" s="53"/>
      <c r="BH78" s="53"/>
      <c r="BI78" s="53"/>
      <c r="BJ78" s="53"/>
      <c r="BK78" s="53"/>
      <c r="BL78" s="53"/>
      <c r="BM78" s="53"/>
      <c r="BN78" s="53"/>
      <c r="BO78" s="53"/>
      <c r="BP78" s="53"/>
      <c r="BQ78" s="53"/>
      <c r="BR78" s="53"/>
      <c r="BS78" s="53"/>
      <c r="BT78" s="53"/>
      <c r="BU78" s="53"/>
      <c r="BV78" s="53"/>
      <c r="BW78" s="53"/>
      <c r="BX78" s="53"/>
      <c r="BY78" s="53"/>
      <c r="BZ78" s="53"/>
      <c r="CA78" s="53"/>
      <c r="CB78" s="53"/>
      <c r="CC78" s="53"/>
      <c r="CD78" s="53"/>
      <c r="CE78" s="53"/>
      <c r="CF78" s="53"/>
      <c r="CG78" s="53"/>
      <c r="CH78" s="53"/>
      <c r="CI78" s="53"/>
      <c r="CJ78" s="53"/>
      <c r="CK78" s="53"/>
      <c r="CL78" s="53"/>
      <c r="CM78" s="53"/>
      <c r="CN78" s="53"/>
      <c r="CO78" s="53"/>
      <c r="CP78" s="53"/>
      <c r="CQ78" s="53"/>
      <c r="CR78" s="53"/>
      <c r="CS78" s="53"/>
      <c r="CT78" s="53"/>
      <c r="CU78" s="53"/>
      <c r="CV78" s="53"/>
      <c r="CW78" s="53"/>
      <c r="CX78" s="53"/>
      <c r="CY78" s="53"/>
      <c r="CZ78" s="53"/>
      <c r="DA78" s="53"/>
      <c r="DB78" s="53"/>
      <c r="DC78" s="53"/>
      <c r="DD78" s="53"/>
      <c r="DE78" s="53"/>
      <c r="DF78" s="53"/>
      <c r="DG78" s="53"/>
      <c r="DH78" s="53"/>
      <c r="DI78" s="53"/>
      <c r="DJ78" s="53"/>
      <c r="DK78" s="53"/>
      <c r="DL78" s="53"/>
      <c r="DM78" s="53"/>
      <c r="DN78" s="53"/>
      <c r="DO78" s="53"/>
      <c r="DP78" s="53"/>
      <c r="DQ78" s="53"/>
      <c r="DR78" s="53"/>
      <c r="DS78" s="53"/>
      <c r="DT78" s="53"/>
      <c r="DU78" s="53"/>
      <c r="DV78" s="53"/>
      <c r="DW78" s="53"/>
      <c r="DX78" s="53"/>
      <c r="DY78" s="53"/>
      <c r="DZ78" s="53"/>
      <c r="EA78" s="53"/>
      <c r="EB78" s="53"/>
      <c r="EC78" s="53"/>
      <c r="ED78" s="53"/>
      <c r="EE78" s="53"/>
      <c r="EF78" s="53"/>
      <c r="EG78" s="53"/>
      <c r="EH78" s="53"/>
      <c r="EI78" s="53"/>
      <c r="EJ78" s="53"/>
      <c r="EK78" s="53"/>
      <c r="EL78" s="53"/>
      <c r="EM78" s="53"/>
      <c r="EN78" s="53"/>
      <c r="EO78" s="53"/>
      <c r="EP78" s="53"/>
      <c r="EQ78" s="53"/>
      <c r="ER78" s="53"/>
      <c r="ES78" s="53"/>
      <c r="ET78" s="53"/>
      <c r="EU78" s="53"/>
      <c r="EV78" s="53"/>
      <c r="EW78" s="53"/>
      <c r="EX78" s="53"/>
      <c r="EY78" s="53"/>
      <c r="EZ78" s="53"/>
      <c r="FA78" s="53"/>
      <c r="FB78" s="53"/>
      <c r="FC78" s="53"/>
      <c r="FD78" s="53"/>
      <c r="FE78" s="53"/>
      <c r="FF78" s="53"/>
      <c r="FG78" s="53"/>
      <c r="FH78" s="53"/>
      <c r="FI78" s="53"/>
      <c r="FJ78" s="53"/>
      <c r="FK78" s="53"/>
      <c r="FL78" s="53"/>
      <c r="FM78" s="53"/>
      <c r="FN78" s="53"/>
      <c r="FO78" s="53"/>
      <c r="FP78" s="53"/>
      <c r="FQ78" s="53"/>
      <c r="FR78" s="53"/>
      <c r="FS78" s="53"/>
      <c r="FT78" s="53"/>
      <c r="FU78" s="53"/>
      <c r="FV78" s="53"/>
      <c r="FW78" s="53"/>
      <c r="FX78" s="53"/>
      <c r="FY78" s="53"/>
      <c r="FZ78" s="53"/>
      <c r="GA78" s="53"/>
      <c r="GB78" s="53"/>
      <c r="GC78" s="53"/>
      <c r="GD78" s="53"/>
      <c r="GE78" s="53"/>
      <c r="GF78" s="53"/>
      <c r="GG78" s="53"/>
      <c r="GH78" s="53"/>
      <c r="GI78" s="53"/>
      <c r="GJ78" s="53"/>
      <c r="GK78" s="53"/>
      <c r="GL78" s="53"/>
      <c r="GM78" s="53"/>
      <c r="GN78" s="53"/>
      <c r="GO78" s="53"/>
      <c r="GP78" s="53"/>
      <c r="GQ78" s="53"/>
      <c r="GR78" s="53"/>
      <c r="GS78" s="53"/>
      <c r="GT78" s="53"/>
      <c r="GU78" s="53"/>
      <c r="GV78" s="53"/>
      <c r="GW78" s="53"/>
      <c r="GX78" s="53"/>
      <c r="GY78" s="53"/>
      <c r="GZ78" s="53"/>
      <c r="HA78" s="53"/>
      <c r="HB78" s="53"/>
      <c r="HC78" s="53"/>
      <c r="HD78" s="53"/>
      <c r="HE78" s="53"/>
      <c r="HF78" s="53"/>
      <c r="HG78" s="53"/>
      <c r="HH78" s="53"/>
      <c r="HI78" s="53"/>
      <c r="HJ78" s="53"/>
      <c r="HK78" s="53"/>
      <c r="HL78" s="53"/>
      <c r="HM78" s="53"/>
      <c r="HN78" s="53"/>
      <c r="HO78" s="53"/>
      <c r="HP78" s="53"/>
      <c r="HQ78" s="53"/>
      <c r="HR78" s="53"/>
      <c r="HS78" s="53"/>
      <c r="HT78" s="53"/>
      <c r="HU78" s="53"/>
      <c r="HV78" s="53"/>
      <c r="HW78" s="53"/>
      <c r="HX78" s="53"/>
      <c r="HY78" s="53"/>
      <c r="HZ78" s="53"/>
      <c r="IA78" s="53"/>
      <c r="IB78" s="53"/>
      <c r="IC78" s="53"/>
      <c r="ID78" s="53"/>
      <c r="IE78" s="53"/>
      <c r="IF78" s="53"/>
      <c r="IG78" s="53"/>
      <c r="IH78" s="53"/>
      <c r="II78" s="53"/>
      <c r="IJ78" s="53"/>
      <c r="IK78" s="53"/>
      <c r="IL78" s="53"/>
      <c r="IM78" s="53"/>
      <c r="IN78" s="53"/>
      <c r="IO78" s="53"/>
      <c r="IP78" s="53"/>
      <c r="IQ78" s="53"/>
      <c r="IR78" s="53"/>
      <c r="IS78" s="53"/>
      <c r="IT78" s="53"/>
      <c r="IU78" s="53"/>
      <c r="IV78" s="53"/>
    </row>
    <row r="79" spans="1:256" s="18" customFormat="1" x14ac:dyDescent="0.25">
      <c r="A79" s="53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  <c r="AF79" s="53"/>
      <c r="AG79" s="53"/>
      <c r="AH79" s="53"/>
      <c r="AI79" s="53"/>
      <c r="AJ79" s="53"/>
      <c r="AK79" s="53"/>
      <c r="AL79" s="53"/>
      <c r="AM79" s="53"/>
      <c r="AN79" s="53"/>
      <c r="AO79" s="53"/>
      <c r="AP79" s="53"/>
      <c r="AQ79" s="53"/>
      <c r="AR79" s="53"/>
      <c r="AS79" s="53"/>
      <c r="AT79" s="53"/>
      <c r="AU79" s="53"/>
      <c r="AV79" s="53"/>
      <c r="AW79" s="53"/>
      <c r="AX79" s="53"/>
      <c r="AY79" s="53"/>
      <c r="AZ79" s="53"/>
      <c r="BA79" s="53"/>
      <c r="BB79" s="53"/>
      <c r="BC79" s="53"/>
      <c r="BD79" s="53"/>
      <c r="BE79" s="53"/>
      <c r="BF79" s="53"/>
      <c r="BG79" s="53"/>
      <c r="BH79" s="53"/>
      <c r="BI79" s="53"/>
      <c r="BJ79" s="53"/>
      <c r="BK79" s="53"/>
      <c r="BL79" s="53"/>
      <c r="BM79" s="53"/>
      <c r="BN79" s="53"/>
      <c r="BO79" s="53"/>
      <c r="BP79" s="53"/>
      <c r="BQ79" s="53"/>
      <c r="BR79" s="53"/>
      <c r="BS79" s="53"/>
      <c r="BT79" s="53"/>
      <c r="BU79" s="53"/>
      <c r="BV79" s="53"/>
      <c r="BW79" s="53"/>
      <c r="BX79" s="53"/>
      <c r="BY79" s="53"/>
      <c r="BZ79" s="53"/>
      <c r="CA79" s="53"/>
      <c r="CB79" s="53"/>
      <c r="CC79" s="53"/>
      <c r="CD79" s="53"/>
      <c r="CE79" s="53"/>
      <c r="CF79" s="53"/>
      <c r="CG79" s="53"/>
      <c r="CH79" s="53"/>
      <c r="CI79" s="53"/>
      <c r="CJ79" s="53"/>
      <c r="CK79" s="53"/>
      <c r="CL79" s="53"/>
      <c r="CM79" s="53"/>
      <c r="CN79" s="53"/>
      <c r="CO79" s="53"/>
      <c r="CP79" s="53"/>
      <c r="CQ79" s="53"/>
      <c r="CR79" s="53"/>
      <c r="CS79" s="53"/>
      <c r="CT79" s="53"/>
      <c r="CU79" s="53"/>
      <c r="CV79" s="53"/>
      <c r="CW79" s="53"/>
      <c r="CX79" s="53"/>
      <c r="CY79" s="53"/>
      <c r="CZ79" s="53"/>
      <c r="DA79" s="53"/>
      <c r="DB79" s="53"/>
      <c r="DC79" s="53"/>
      <c r="DD79" s="53"/>
      <c r="DE79" s="53"/>
      <c r="DF79" s="53"/>
      <c r="DG79" s="53"/>
      <c r="DH79" s="53"/>
      <c r="DI79" s="53"/>
      <c r="DJ79" s="53"/>
      <c r="DK79" s="53"/>
      <c r="DL79" s="53"/>
      <c r="DM79" s="53"/>
      <c r="DN79" s="53"/>
      <c r="DO79" s="53"/>
      <c r="DP79" s="53"/>
      <c r="DQ79" s="53"/>
      <c r="DR79" s="53"/>
      <c r="DS79" s="53"/>
      <c r="DT79" s="53"/>
      <c r="DU79" s="53"/>
      <c r="DV79" s="53"/>
      <c r="DW79" s="53"/>
      <c r="DX79" s="53"/>
      <c r="DY79" s="53"/>
      <c r="DZ79" s="53"/>
      <c r="EA79" s="53"/>
      <c r="EB79" s="53"/>
      <c r="EC79" s="53"/>
      <c r="ED79" s="53"/>
      <c r="EE79" s="53"/>
      <c r="EF79" s="53"/>
      <c r="EG79" s="53"/>
      <c r="EH79" s="53"/>
      <c r="EI79" s="53"/>
      <c r="EJ79" s="53"/>
      <c r="EK79" s="53"/>
      <c r="EL79" s="53"/>
      <c r="EM79" s="53"/>
      <c r="EN79" s="53"/>
      <c r="EO79" s="53"/>
      <c r="EP79" s="53"/>
      <c r="EQ79" s="53"/>
      <c r="ER79" s="53"/>
      <c r="ES79" s="53"/>
      <c r="ET79" s="53"/>
      <c r="EU79" s="53"/>
      <c r="EV79" s="53"/>
      <c r="EW79" s="53"/>
      <c r="EX79" s="53"/>
      <c r="EY79" s="53"/>
      <c r="EZ79" s="53"/>
      <c r="FA79" s="53"/>
      <c r="FB79" s="53"/>
      <c r="FC79" s="53"/>
      <c r="FD79" s="53"/>
      <c r="FE79" s="53"/>
      <c r="FF79" s="53"/>
      <c r="FG79" s="53"/>
      <c r="FH79" s="53"/>
      <c r="FI79" s="53"/>
      <c r="FJ79" s="53"/>
      <c r="FK79" s="53"/>
      <c r="FL79" s="53"/>
      <c r="FM79" s="53"/>
      <c r="FN79" s="53"/>
      <c r="FO79" s="53"/>
      <c r="FP79" s="53"/>
      <c r="FQ79" s="53"/>
      <c r="FR79" s="53"/>
      <c r="FS79" s="53"/>
      <c r="FT79" s="53"/>
      <c r="FU79" s="53"/>
      <c r="FV79" s="53"/>
      <c r="FW79" s="53"/>
      <c r="FX79" s="53"/>
      <c r="FY79" s="53"/>
      <c r="FZ79" s="53"/>
      <c r="GA79" s="53"/>
      <c r="GB79" s="53"/>
      <c r="GC79" s="53"/>
      <c r="GD79" s="53"/>
      <c r="GE79" s="53"/>
      <c r="GF79" s="53"/>
      <c r="GG79" s="53"/>
      <c r="GH79" s="53"/>
      <c r="GI79" s="53"/>
      <c r="GJ79" s="53"/>
      <c r="GK79" s="53"/>
      <c r="GL79" s="53"/>
      <c r="GM79" s="53"/>
      <c r="GN79" s="53"/>
      <c r="GO79" s="53"/>
      <c r="GP79" s="53"/>
      <c r="GQ79" s="53"/>
      <c r="GR79" s="53"/>
      <c r="GS79" s="53"/>
      <c r="GT79" s="53"/>
      <c r="GU79" s="53"/>
      <c r="GV79" s="53"/>
      <c r="GW79" s="53"/>
      <c r="GX79" s="53"/>
      <c r="GY79" s="53"/>
      <c r="GZ79" s="53"/>
      <c r="HA79" s="53"/>
      <c r="HB79" s="53"/>
      <c r="HC79" s="53"/>
      <c r="HD79" s="53"/>
      <c r="HE79" s="53"/>
      <c r="HF79" s="53"/>
      <c r="HG79" s="53"/>
      <c r="HH79" s="53"/>
      <c r="HI79" s="53"/>
      <c r="HJ79" s="53"/>
      <c r="HK79" s="53"/>
      <c r="HL79" s="53"/>
      <c r="HM79" s="53"/>
      <c r="HN79" s="53"/>
      <c r="HO79" s="53"/>
      <c r="HP79" s="53"/>
      <c r="HQ79" s="53"/>
      <c r="HR79" s="53"/>
      <c r="HS79" s="53"/>
      <c r="HT79" s="53"/>
      <c r="HU79" s="53"/>
      <c r="HV79" s="53"/>
      <c r="HW79" s="53"/>
      <c r="HX79" s="53"/>
      <c r="HY79" s="53"/>
      <c r="HZ79" s="53"/>
      <c r="IA79" s="53"/>
      <c r="IB79" s="53"/>
      <c r="IC79" s="53"/>
      <c r="ID79" s="53"/>
      <c r="IE79" s="53"/>
      <c r="IF79" s="53"/>
      <c r="IG79" s="53"/>
      <c r="IH79" s="53"/>
      <c r="II79" s="53"/>
      <c r="IJ79" s="53"/>
      <c r="IK79" s="53"/>
      <c r="IL79" s="53"/>
      <c r="IM79" s="53"/>
      <c r="IN79" s="53"/>
      <c r="IO79" s="53"/>
      <c r="IP79" s="53"/>
      <c r="IQ79" s="53"/>
      <c r="IR79" s="53"/>
      <c r="IS79" s="53"/>
      <c r="IT79" s="53"/>
      <c r="IU79" s="53"/>
      <c r="IV79" s="53"/>
    </row>
    <row r="80" spans="1:256" s="18" customFormat="1" x14ac:dyDescent="0.25">
      <c r="A80" s="53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53"/>
      <c r="AG80" s="53"/>
      <c r="AH80" s="53"/>
      <c r="AI80" s="53"/>
      <c r="AJ80" s="53"/>
      <c r="AK80" s="53"/>
      <c r="AL80" s="53"/>
      <c r="AM80" s="53"/>
      <c r="AN80" s="53"/>
      <c r="AO80" s="53"/>
      <c r="AP80" s="53"/>
      <c r="AQ80" s="53"/>
      <c r="AR80" s="53"/>
      <c r="AS80" s="53"/>
      <c r="AT80" s="53"/>
      <c r="AU80" s="53"/>
      <c r="AV80" s="53"/>
      <c r="AW80" s="53"/>
      <c r="AX80" s="53"/>
      <c r="AY80" s="53"/>
      <c r="AZ80" s="53"/>
      <c r="BA80" s="53"/>
      <c r="BB80" s="53"/>
      <c r="BC80" s="53"/>
      <c r="BD80" s="53"/>
      <c r="BE80" s="53"/>
      <c r="BF80" s="53"/>
      <c r="BG80" s="53"/>
      <c r="BH80" s="53"/>
      <c r="BI80" s="53"/>
      <c r="BJ80" s="53"/>
      <c r="BK80" s="53"/>
      <c r="BL80" s="53"/>
      <c r="BM80" s="53"/>
      <c r="BN80" s="53"/>
      <c r="BO80" s="53"/>
      <c r="BP80" s="53"/>
      <c r="BQ80" s="53"/>
      <c r="BR80" s="53"/>
      <c r="BS80" s="53"/>
      <c r="BT80" s="53"/>
      <c r="BU80" s="53"/>
      <c r="BV80" s="53"/>
      <c r="BW80" s="53"/>
      <c r="BX80" s="53"/>
      <c r="BY80" s="53"/>
      <c r="BZ80" s="53"/>
      <c r="CA80" s="53"/>
      <c r="CB80" s="53"/>
      <c r="CC80" s="53"/>
      <c r="CD80" s="53"/>
      <c r="CE80" s="53"/>
      <c r="CF80" s="53"/>
      <c r="CG80" s="53"/>
      <c r="CH80" s="53"/>
      <c r="CI80" s="53"/>
      <c r="CJ80" s="53"/>
      <c r="CK80" s="53"/>
      <c r="CL80" s="53"/>
      <c r="CM80" s="53"/>
      <c r="CN80" s="53"/>
      <c r="CO80" s="53"/>
      <c r="CP80" s="53"/>
      <c r="CQ80" s="53"/>
      <c r="CR80" s="53"/>
      <c r="CS80" s="53"/>
      <c r="CT80" s="53"/>
      <c r="CU80" s="53"/>
      <c r="CV80" s="53"/>
      <c r="CW80" s="53"/>
      <c r="CX80" s="53"/>
      <c r="CY80" s="53"/>
      <c r="CZ80" s="53"/>
      <c r="DA80" s="53"/>
      <c r="DB80" s="53"/>
      <c r="DC80" s="53"/>
      <c r="DD80" s="53"/>
      <c r="DE80" s="53"/>
      <c r="DF80" s="53"/>
      <c r="DG80" s="53"/>
      <c r="DH80" s="53"/>
      <c r="DI80" s="53"/>
      <c r="DJ80" s="53"/>
      <c r="DK80" s="53"/>
      <c r="DL80" s="53"/>
      <c r="DM80" s="53"/>
      <c r="DN80" s="53"/>
      <c r="DO80" s="53"/>
      <c r="DP80" s="53"/>
      <c r="DQ80" s="53"/>
      <c r="DR80" s="53"/>
      <c r="DS80" s="53"/>
      <c r="DT80" s="53"/>
      <c r="DU80" s="53"/>
      <c r="DV80" s="53"/>
      <c r="DW80" s="53"/>
      <c r="DX80" s="53"/>
      <c r="DY80" s="53"/>
      <c r="DZ80" s="53"/>
      <c r="EA80" s="53"/>
      <c r="EB80" s="53"/>
      <c r="EC80" s="53"/>
      <c r="ED80" s="53"/>
      <c r="EE80" s="53"/>
      <c r="EF80" s="53"/>
      <c r="EG80" s="53"/>
      <c r="EH80" s="53"/>
      <c r="EI80" s="53"/>
      <c r="EJ80" s="53"/>
      <c r="EK80" s="53"/>
      <c r="EL80" s="53"/>
      <c r="EM80" s="53"/>
      <c r="EN80" s="53"/>
      <c r="EO80" s="53"/>
      <c r="EP80" s="53"/>
      <c r="EQ80" s="53"/>
      <c r="ER80" s="53"/>
      <c r="ES80" s="53"/>
      <c r="ET80" s="53"/>
      <c r="EU80" s="53"/>
      <c r="EV80" s="53"/>
      <c r="EW80" s="53"/>
      <c r="EX80" s="53"/>
      <c r="EY80" s="53"/>
      <c r="EZ80" s="53"/>
      <c r="FA80" s="53"/>
      <c r="FB80" s="53"/>
      <c r="FC80" s="53"/>
      <c r="FD80" s="53"/>
      <c r="FE80" s="53"/>
      <c r="FF80" s="53"/>
      <c r="FG80" s="53"/>
      <c r="FH80" s="53"/>
      <c r="FI80" s="53"/>
      <c r="FJ80" s="53"/>
      <c r="FK80" s="53"/>
      <c r="FL80" s="53"/>
      <c r="FM80" s="53"/>
      <c r="FN80" s="53"/>
      <c r="FO80" s="53"/>
      <c r="FP80" s="53"/>
      <c r="FQ80" s="53"/>
      <c r="FR80" s="53"/>
      <c r="FS80" s="53"/>
      <c r="FT80" s="53"/>
      <c r="FU80" s="53"/>
      <c r="FV80" s="53"/>
      <c r="FW80" s="53"/>
      <c r="FX80" s="53"/>
      <c r="FY80" s="53"/>
      <c r="FZ80" s="53"/>
      <c r="GA80" s="53"/>
      <c r="GB80" s="53"/>
      <c r="GC80" s="53"/>
      <c r="GD80" s="53"/>
      <c r="GE80" s="53"/>
      <c r="GF80" s="53"/>
      <c r="GG80" s="53"/>
      <c r="GH80" s="53"/>
      <c r="GI80" s="53"/>
      <c r="GJ80" s="53"/>
      <c r="GK80" s="53"/>
      <c r="GL80" s="53"/>
      <c r="GM80" s="53"/>
      <c r="GN80" s="53"/>
      <c r="GO80" s="53"/>
      <c r="GP80" s="53"/>
      <c r="GQ80" s="53"/>
      <c r="GR80" s="53"/>
      <c r="GS80" s="53"/>
      <c r="GT80" s="53"/>
      <c r="GU80" s="53"/>
      <c r="GV80" s="53"/>
      <c r="GW80" s="53"/>
      <c r="GX80" s="53"/>
      <c r="GY80" s="53"/>
      <c r="GZ80" s="53"/>
      <c r="HA80" s="53"/>
      <c r="HB80" s="53"/>
      <c r="HC80" s="53"/>
      <c r="HD80" s="53"/>
      <c r="HE80" s="53"/>
      <c r="HF80" s="53"/>
      <c r="HG80" s="53"/>
      <c r="HH80" s="53"/>
      <c r="HI80" s="53"/>
      <c r="HJ80" s="53"/>
      <c r="HK80" s="53"/>
      <c r="HL80" s="53"/>
      <c r="HM80" s="53"/>
      <c r="HN80" s="53"/>
      <c r="HO80" s="53"/>
      <c r="HP80" s="53"/>
      <c r="HQ80" s="53"/>
      <c r="HR80" s="53"/>
      <c r="HS80" s="53"/>
      <c r="HT80" s="53"/>
      <c r="HU80" s="53"/>
      <c r="HV80" s="53"/>
      <c r="HW80" s="53"/>
      <c r="HX80" s="53"/>
      <c r="HY80" s="53"/>
      <c r="HZ80" s="53"/>
      <c r="IA80" s="53"/>
      <c r="IB80" s="53"/>
      <c r="IC80" s="53"/>
      <c r="ID80" s="53"/>
      <c r="IE80" s="53"/>
      <c r="IF80" s="53"/>
      <c r="IG80" s="53"/>
      <c r="IH80" s="53"/>
      <c r="II80" s="53"/>
      <c r="IJ80" s="53"/>
      <c r="IK80" s="53"/>
      <c r="IL80" s="53"/>
      <c r="IM80" s="53"/>
      <c r="IN80" s="53"/>
      <c r="IO80" s="53"/>
      <c r="IP80" s="53"/>
      <c r="IQ80" s="53"/>
      <c r="IR80" s="53"/>
      <c r="IS80" s="53"/>
      <c r="IT80" s="53"/>
      <c r="IU80" s="53"/>
      <c r="IV80" s="53"/>
    </row>
    <row r="81" spans="1:256" x14ac:dyDescent="0.25">
      <c r="A81" s="53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  <c r="AF81" s="53"/>
      <c r="AG81" s="53"/>
      <c r="AH81" s="53"/>
      <c r="AI81" s="53"/>
      <c r="AJ81" s="53"/>
      <c r="AK81" s="53"/>
      <c r="AL81" s="53"/>
      <c r="AM81" s="53"/>
      <c r="AN81" s="53"/>
      <c r="AO81" s="53"/>
      <c r="AP81" s="53"/>
      <c r="AQ81" s="53"/>
      <c r="AR81" s="53"/>
      <c r="AS81" s="53"/>
      <c r="AT81" s="53"/>
      <c r="AU81" s="53"/>
      <c r="AV81" s="53"/>
      <c r="AW81" s="53"/>
      <c r="AX81" s="53"/>
      <c r="AY81" s="53"/>
      <c r="AZ81" s="53"/>
      <c r="BA81" s="53"/>
      <c r="BB81" s="53"/>
      <c r="BC81" s="53"/>
      <c r="BD81" s="53"/>
      <c r="BE81" s="53"/>
      <c r="BF81" s="53"/>
      <c r="BG81" s="53"/>
      <c r="BH81" s="53"/>
      <c r="BI81" s="53"/>
      <c r="BJ81" s="53"/>
      <c r="BK81" s="53"/>
      <c r="BL81" s="53"/>
      <c r="BM81" s="53"/>
      <c r="BN81" s="53"/>
      <c r="BO81" s="53"/>
      <c r="BP81" s="53"/>
      <c r="BQ81" s="53"/>
      <c r="BR81" s="53"/>
      <c r="BS81" s="53"/>
      <c r="BT81" s="53"/>
      <c r="BU81" s="53"/>
      <c r="BV81" s="53"/>
      <c r="BW81" s="53"/>
      <c r="BX81" s="53"/>
      <c r="BY81" s="53"/>
      <c r="BZ81" s="53"/>
      <c r="CA81" s="53"/>
      <c r="CB81" s="53"/>
      <c r="CC81" s="53"/>
      <c r="CD81" s="53"/>
      <c r="CE81" s="53"/>
      <c r="CF81" s="53"/>
      <c r="CG81" s="53"/>
      <c r="CH81" s="53"/>
      <c r="CI81" s="53"/>
      <c r="CJ81" s="53"/>
      <c r="CK81" s="53"/>
      <c r="CL81" s="53"/>
      <c r="CM81" s="53"/>
      <c r="CN81" s="53"/>
      <c r="CO81" s="53"/>
      <c r="CP81" s="53"/>
      <c r="CQ81" s="53"/>
      <c r="CR81" s="53"/>
      <c r="CS81" s="53"/>
      <c r="CT81" s="53"/>
      <c r="CU81" s="53"/>
      <c r="CV81" s="53"/>
      <c r="CW81" s="53"/>
      <c r="CX81" s="53"/>
      <c r="CY81" s="53"/>
      <c r="CZ81" s="53"/>
      <c r="DA81" s="53"/>
      <c r="DB81" s="53"/>
      <c r="DC81" s="53"/>
      <c r="DD81" s="53"/>
      <c r="DE81" s="53"/>
      <c r="DF81" s="53"/>
      <c r="DG81" s="53"/>
      <c r="DH81" s="53"/>
      <c r="DI81" s="53"/>
      <c r="DJ81" s="53"/>
      <c r="DK81" s="53"/>
      <c r="DL81" s="53"/>
      <c r="DM81" s="53"/>
      <c r="DN81" s="53"/>
      <c r="DO81" s="53"/>
      <c r="DP81" s="53"/>
      <c r="DQ81" s="53"/>
      <c r="DR81" s="53"/>
      <c r="DS81" s="53"/>
      <c r="DT81" s="53"/>
      <c r="DU81" s="53"/>
      <c r="DV81" s="53"/>
      <c r="DW81" s="53"/>
      <c r="DX81" s="53"/>
      <c r="DY81" s="53"/>
      <c r="DZ81" s="53"/>
      <c r="EA81" s="53"/>
      <c r="EB81" s="53"/>
      <c r="EC81" s="53"/>
      <c r="ED81" s="53"/>
      <c r="EE81" s="53"/>
      <c r="EF81" s="53"/>
      <c r="EG81" s="53"/>
      <c r="EH81" s="53"/>
      <c r="EI81" s="53"/>
      <c r="EJ81" s="53"/>
      <c r="EK81" s="53"/>
      <c r="EL81" s="53"/>
      <c r="EM81" s="53"/>
      <c r="EN81" s="53"/>
      <c r="EO81" s="53"/>
      <c r="EP81" s="53"/>
      <c r="EQ81" s="53"/>
      <c r="ER81" s="53"/>
      <c r="ES81" s="53"/>
      <c r="ET81" s="53"/>
      <c r="EU81" s="53"/>
      <c r="EV81" s="53"/>
      <c r="EW81" s="53"/>
      <c r="EX81" s="53"/>
      <c r="EY81" s="53"/>
      <c r="EZ81" s="53"/>
      <c r="FA81" s="53"/>
      <c r="FB81" s="53"/>
      <c r="FC81" s="53"/>
      <c r="FD81" s="53"/>
      <c r="FE81" s="53"/>
      <c r="FF81" s="53"/>
      <c r="FG81" s="53"/>
      <c r="FH81" s="53"/>
      <c r="FI81" s="53"/>
      <c r="FJ81" s="53"/>
      <c r="FK81" s="53"/>
      <c r="FL81" s="53"/>
      <c r="FM81" s="53"/>
      <c r="FN81" s="53"/>
      <c r="FO81" s="53"/>
      <c r="FP81" s="53"/>
      <c r="FQ81" s="53"/>
      <c r="FR81" s="53"/>
      <c r="FS81" s="53"/>
      <c r="FT81" s="53"/>
      <c r="FU81" s="53"/>
      <c r="FV81" s="53"/>
      <c r="FW81" s="53"/>
      <c r="FX81" s="53"/>
      <c r="FY81" s="53"/>
      <c r="FZ81" s="53"/>
      <c r="GA81" s="53"/>
      <c r="GB81" s="53"/>
      <c r="GC81" s="53"/>
      <c r="GD81" s="53"/>
      <c r="GE81" s="53"/>
      <c r="GF81" s="53"/>
      <c r="GG81" s="53"/>
      <c r="GH81" s="53"/>
      <c r="GI81" s="53"/>
      <c r="GJ81" s="53"/>
      <c r="GK81" s="53"/>
      <c r="GL81" s="53"/>
      <c r="GM81" s="53"/>
      <c r="GN81" s="53"/>
      <c r="GO81" s="53"/>
      <c r="GP81" s="53"/>
      <c r="GQ81" s="53"/>
      <c r="GR81" s="53"/>
      <c r="GS81" s="53"/>
      <c r="GT81" s="53"/>
      <c r="GU81" s="53"/>
      <c r="GV81" s="53"/>
      <c r="GW81" s="53"/>
      <c r="GX81" s="53"/>
      <c r="GY81" s="53"/>
      <c r="GZ81" s="53"/>
      <c r="HA81" s="53"/>
      <c r="HB81" s="53"/>
      <c r="HC81" s="53"/>
      <c r="HD81" s="53"/>
      <c r="HE81" s="53"/>
      <c r="HF81" s="53"/>
      <c r="HG81" s="53"/>
      <c r="HH81" s="53"/>
      <c r="HI81" s="53"/>
      <c r="HJ81" s="53"/>
      <c r="HK81" s="53"/>
      <c r="HL81" s="53"/>
      <c r="HM81" s="53"/>
      <c r="HN81" s="53"/>
      <c r="HO81" s="53"/>
      <c r="HP81" s="53"/>
      <c r="HQ81" s="53"/>
      <c r="HR81" s="53"/>
      <c r="HS81" s="53"/>
      <c r="HT81" s="53"/>
      <c r="HU81" s="53"/>
      <c r="HV81" s="53"/>
      <c r="HW81" s="53"/>
      <c r="HX81" s="53"/>
      <c r="HY81" s="53"/>
      <c r="HZ81" s="53"/>
      <c r="IA81" s="53"/>
      <c r="IB81" s="53"/>
      <c r="IC81" s="53"/>
      <c r="ID81" s="53"/>
      <c r="IE81" s="53"/>
      <c r="IF81" s="53"/>
      <c r="IG81" s="53"/>
      <c r="IH81" s="53"/>
      <c r="II81" s="53"/>
      <c r="IJ81" s="53"/>
      <c r="IK81" s="53"/>
      <c r="IL81" s="53"/>
      <c r="IM81" s="53"/>
      <c r="IN81" s="53"/>
      <c r="IO81" s="53"/>
      <c r="IP81" s="53"/>
      <c r="IQ81" s="53"/>
      <c r="IR81" s="53"/>
      <c r="IS81" s="53"/>
      <c r="IT81" s="53"/>
      <c r="IU81" s="53"/>
      <c r="IV81" s="53"/>
    </row>
    <row r="82" spans="1:256" s="31" customFormat="1" ht="15" customHeight="1" x14ac:dyDescent="0.25">
      <c r="A82" s="53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53"/>
      <c r="AG82" s="53"/>
      <c r="AH82" s="53"/>
      <c r="AI82" s="53"/>
      <c r="AJ82" s="53"/>
      <c r="AK82" s="53"/>
      <c r="AL82" s="53"/>
      <c r="AM82" s="53"/>
      <c r="AN82" s="53"/>
      <c r="AO82" s="53"/>
      <c r="AP82" s="53"/>
      <c r="AQ82" s="53"/>
      <c r="AR82" s="53"/>
      <c r="AS82" s="53"/>
      <c r="AT82" s="53"/>
      <c r="AU82" s="53"/>
      <c r="AV82" s="53"/>
      <c r="AW82" s="53"/>
      <c r="AX82" s="53"/>
      <c r="AY82" s="53"/>
      <c r="AZ82" s="53"/>
      <c r="BA82" s="53"/>
      <c r="BB82" s="53"/>
      <c r="BC82" s="53"/>
      <c r="BD82" s="53"/>
      <c r="BE82" s="53"/>
      <c r="BF82" s="53"/>
      <c r="BG82" s="53"/>
      <c r="BH82" s="53"/>
      <c r="BI82" s="53"/>
      <c r="BJ82" s="53"/>
      <c r="BK82" s="53"/>
      <c r="BL82" s="53"/>
      <c r="BM82" s="53"/>
      <c r="BN82" s="53"/>
      <c r="BO82" s="53"/>
      <c r="BP82" s="53"/>
      <c r="BQ82" s="53"/>
      <c r="BR82" s="53"/>
      <c r="BS82" s="53"/>
      <c r="BT82" s="53"/>
      <c r="BU82" s="53"/>
      <c r="BV82" s="53"/>
      <c r="BW82" s="53"/>
      <c r="BX82" s="53"/>
      <c r="BY82" s="53"/>
      <c r="BZ82" s="53"/>
      <c r="CA82" s="53"/>
      <c r="CB82" s="53"/>
      <c r="CC82" s="53"/>
      <c r="CD82" s="53"/>
      <c r="CE82" s="53"/>
      <c r="CF82" s="53"/>
      <c r="CG82" s="53"/>
      <c r="CH82" s="53"/>
      <c r="CI82" s="53"/>
      <c r="CJ82" s="53"/>
      <c r="CK82" s="53"/>
      <c r="CL82" s="53"/>
      <c r="CM82" s="53"/>
      <c r="CN82" s="53"/>
      <c r="CO82" s="53"/>
      <c r="CP82" s="53"/>
      <c r="CQ82" s="53"/>
      <c r="CR82" s="53"/>
      <c r="CS82" s="53"/>
      <c r="CT82" s="53"/>
      <c r="CU82" s="53"/>
      <c r="CV82" s="53"/>
      <c r="CW82" s="53"/>
      <c r="CX82" s="53"/>
      <c r="CY82" s="53"/>
      <c r="CZ82" s="53"/>
      <c r="DA82" s="53"/>
      <c r="DB82" s="53"/>
      <c r="DC82" s="53"/>
      <c r="DD82" s="53"/>
      <c r="DE82" s="53"/>
      <c r="DF82" s="53"/>
      <c r="DG82" s="53"/>
      <c r="DH82" s="53"/>
      <c r="DI82" s="53"/>
      <c r="DJ82" s="53"/>
      <c r="DK82" s="53"/>
      <c r="DL82" s="53"/>
      <c r="DM82" s="53"/>
      <c r="DN82" s="53"/>
      <c r="DO82" s="53"/>
      <c r="DP82" s="53"/>
      <c r="DQ82" s="53"/>
      <c r="DR82" s="53"/>
      <c r="DS82" s="53"/>
      <c r="DT82" s="53"/>
      <c r="DU82" s="53"/>
      <c r="DV82" s="53"/>
      <c r="DW82" s="53"/>
      <c r="DX82" s="53"/>
      <c r="DY82" s="53"/>
      <c r="DZ82" s="53"/>
      <c r="EA82" s="53"/>
      <c r="EB82" s="53"/>
      <c r="EC82" s="53"/>
      <c r="ED82" s="53"/>
      <c r="EE82" s="53"/>
      <c r="EF82" s="53"/>
      <c r="EG82" s="53"/>
      <c r="EH82" s="53"/>
      <c r="EI82" s="53"/>
      <c r="EJ82" s="53"/>
      <c r="EK82" s="53"/>
      <c r="EL82" s="53"/>
      <c r="EM82" s="53"/>
      <c r="EN82" s="53"/>
      <c r="EO82" s="53"/>
      <c r="EP82" s="53"/>
      <c r="EQ82" s="53"/>
      <c r="ER82" s="53"/>
      <c r="ES82" s="53"/>
      <c r="ET82" s="53"/>
      <c r="EU82" s="53"/>
      <c r="EV82" s="53"/>
      <c r="EW82" s="53"/>
      <c r="EX82" s="53"/>
      <c r="EY82" s="53"/>
      <c r="EZ82" s="53"/>
      <c r="FA82" s="53"/>
      <c r="FB82" s="53"/>
      <c r="FC82" s="53"/>
      <c r="FD82" s="53"/>
      <c r="FE82" s="53"/>
      <c r="FF82" s="53"/>
      <c r="FG82" s="53"/>
      <c r="FH82" s="53"/>
      <c r="FI82" s="53"/>
      <c r="FJ82" s="53"/>
      <c r="FK82" s="53"/>
      <c r="FL82" s="53"/>
      <c r="FM82" s="53"/>
      <c r="FN82" s="53"/>
      <c r="FO82" s="53"/>
      <c r="FP82" s="53"/>
      <c r="FQ82" s="53"/>
      <c r="FR82" s="53"/>
      <c r="FS82" s="53"/>
      <c r="FT82" s="53"/>
      <c r="FU82" s="53"/>
      <c r="FV82" s="53"/>
      <c r="FW82" s="53"/>
      <c r="FX82" s="53"/>
      <c r="FY82" s="53"/>
      <c r="FZ82" s="53"/>
      <c r="GA82" s="53"/>
      <c r="GB82" s="53"/>
      <c r="GC82" s="53"/>
      <c r="GD82" s="53"/>
      <c r="GE82" s="53"/>
      <c r="GF82" s="53"/>
      <c r="GG82" s="53"/>
      <c r="GH82" s="53"/>
      <c r="GI82" s="53"/>
      <c r="GJ82" s="53"/>
      <c r="GK82" s="53"/>
      <c r="GL82" s="53"/>
      <c r="GM82" s="53"/>
      <c r="GN82" s="53"/>
      <c r="GO82" s="53"/>
      <c r="GP82" s="53"/>
      <c r="GQ82" s="53"/>
      <c r="GR82" s="53"/>
      <c r="GS82" s="53"/>
      <c r="GT82" s="53"/>
      <c r="GU82" s="53"/>
      <c r="GV82" s="53"/>
      <c r="GW82" s="53"/>
      <c r="GX82" s="53"/>
      <c r="GY82" s="53"/>
      <c r="GZ82" s="53"/>
      <c r="HA82" s="53"/>
      <c r="HB82" s="53"/>
      <c r="HC82" s="53"/>
      <c r="HD82" s="53"/>
      <c r="HE82" s="53"/>
      <c r="HF82" s="53"/>
      <c r="HG82" s="53"/>
      <c r="HH82" s="53"/>
      <c r="HI82" s="53"/>
      <c r="HJ82" s="53"/>
      <c r="HK82" s="53"/>
      <c r="HL82" s="53"/>
      <c r="HM82" s="53"/>
      <c r="HN82" s="53"/>
      <c r="HO82" s="53"/>
      <c r="HP82" s="53"/>
      <c r="HQ82" s="53"/>
      <c r="HR82" s="53"/>
      <c r="HS82" s="53"/>
      <c r="HT82" s="53"/>
      <c r="HU82" s="53"/>
      <c r="HV82" s="53"/>
      <c r="HW82" s="53"/>
      <c r="HX82" s="53"/>
      <c r="HY82" s="53"/>
      <c r="HZ82" s="53"/>
      <c r="IA82" s="53"/>
      <c r="IB82" s="53"/>
      <c r="IC82" s="53"/>
      <c r="ID82" s="53"/>
      <c r="IE82" s="53"/>
      <c r="IF82" s="53"/>
      <c r="IG82" s="53"/>
      <c r="IH82" s="53"/>
      <c r="II82" s="53"/>
      <c r="IJ82" s="53"/>
      <c r="IK82" s="53"/>
      <c r="IL82" s="53"/>
      <c r="IM82" s="53"/>
      <c r="IN82" s="53"/>
      <c r="IO82" s="53"/>
      <c r="IP82" s="53"/>
      <c r="IQ82" s="53"/>
      <c r="IR82" s="53"/>
      <c r="IS82" s="53"/>
      <c r="IT82" s="53"/>
      <c r="IU82" s="53"/>
      <c r="IV82" s="53"/>
    </row>
    <row r="83" spans="1:256" x14ac:dyDescent="0.25">
      <c r="A83" s="53"/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  <c r="AF83" s="53"/>
      <c r="AG83" s="53"/>
      <c r="AH83" s="53"/>
      <c r="AI83" s="53"/>
      <c r="AJ83" s="53"/>
      <c r="AK83" s="53"/>
      <c r="AL83" s="53"/>
      <c r="AM83" s="53"/>
      <c r="AN83" s="53"/>
      <c r="AO83" s="53"/>
      <c r="AP83" s="53"/>
      <c r="AQ83" s="53"/>
      <c r="AR83" s="53"/>
      <c r="AS83" s="53"/>
      <c r="AT83" s="53"/>
      <c r="AU83" s="53"/>
      <c r="AV83" s="53"/>
      <c r="AW83" s="53"/>
      <c r="AX83" s="53"/>
      <c r="AY83" s="53"/>
      <c r="AZ83" s="53"/>
      <c r="BA83" s="53"/>
      <c r="BB83" s="53"/>
      <c r="BC83" s="53"/>
      <c r="BD83" s="53"/>
      <c r="BE83" s="53"/>
      <c r="BF83" s="53"/>
      <c r="BG83" s="53"/>
      <c r="BH83" s="53"/>
      <c r="BI83" s="53"/>
      <c r="BJ83" s="53"/>
      <c r="BK83" s="53"/>
      <c r="BL83" s="53"/>
      <c r="BM83" s="53"/>
      <c r="BN83" s="53"/>
      <c r="BO83" s="53"/>
      <c r="BP83" s="53"/>
      <c r="BQ83" s="53"/>
      <c r="BR83" s="53"/>
      <c r="BS83" s="53"/>
      <c r="BT83" s="53"/>
      <c r="BU83" s="53"/>
      <c r="BV83" s="53"/>
      <c r="BW83" s="53"/>
      <c r="BX83" s="53"/>
      <c r="BY83" s="53"/>
      <c r="BZ83" s="53"/>
      <c r="CA83" s="53"/>
      <c r="CB83" s="53"/>
      <c r="CC83" s="53"/>
      <c r="CD83" s="53"/>
      <c r="CE83" s="53"/>
      <c r="CF83" s="53"/>
      <c r="CG83" s="53"/>
      <c r="CH83" s="53"/>
      <c r="CI83" s="53"/>
      <c r="CJ83" s="53"/>
      <c r="CK83" s="53"/>
      <c r="CL83" s="53"/>
      <c r="CM83" s="53"/>
      <c r="CN83" s="53"/>
      <c r="CO83" s="53"/>
      <c r="CP83" s="53"/>
      <c r="CQ83" s="53"/>
      <c r="CR83" s="53"/>
      <c r="CS83" s="53"/>
      <c r="CT83" s="53"/>
      <c r="CU83" s="53"/>
      <c r="CV83" s="53"/>
      <c r="CW83" s="53"/>
      <c r="CX83" s="53"/>
      <c r="CY83" s="53"/>
      <c r="CZ83" s="53"/>
      <c r="DA83" s="53"/>
      <c r="DB83" s="53"/>
      <c r="DC83" s="53"/>
      <c r="DD83" s="53"/>
      <c r="DE83" s="53"/>
      <c r="DF83" s="53"/>
      <c r="DG83" s="53"/>
      <c r="DH83" s="53"/>
      <c r="DI83" s="53"/>
      <c r="DJ83" s="53"/>
      <c r="DK83" s="53"/>
      <c r="DL83" s="53"/>
      <c r="DM83" s="53"/>
      <c r="DN83" s="53"/>
      <c r="DO83" s="53"/>
      <c r="DP83" s="53"/>
      <c r="DQ83" s="53"/>
      <c r="DR83" s="53"/>
      <c r="DS83" s="53"/>
      <c r="DT83" s="53"/>
      <c r="DU83" s="53"/>
      <c r="DV83" s="53"/>
      <c r="DW83" s="53"/>
      <c r="DX83" s="53"/>
      <c r="DY83" s="53"/>
      <c r="DZ83" s="53"/>
      <c r="EA83" s="53"/>
      <c r="EB83" s="53"/>
      <c r="EC83" s="53"/>
      <c r="ED83" s="53"/>
      <c r="EE83" s="53"/>
      <c r="EF83" s="53"/>
      <c r="EG83" s="53"/>
      <c r="EH83" s="53"/>
      <c r="EI83" s="53"/>
      <c r="EJ83" s="53"/>
      <c r="EK83" s="53"/>
      <c r="EL83" s="53"/>
      <c r="EM83" s="53"/>
      <c r="EN83" s="53"/>
      <c r="EO83" s="53"/>
      <c r="EP83" s="53"/>
      <c r="EQ83" s="53"/>
      <c r="ER83" s="53"/>
      <c r="ES83" s="53"/>
      <c r="ET83" s="53"/>
      <c r="EU83" s="53"/>
      <c r="EV83" s="53"/>
      <c r="EW83" s="53"/>
      <c r="EX83" s="53"/>
      <c r="EY83" s="53"/>
      <c r="EZ83" s="53"/>
      <c r="FA83" s="53"/>
      <c r="FB83" s="53"/>
      <c r="FC83" s="53"/>
      <c r="FD83" s="53"/>
      <c r="FE83" s="53"/>
      <c r="FF83" s="53"/>
      <c r="FG83" s="53"/>
      <c r="FH83" s="53"/>
      <c r="FI83" s="53"/>
      <c r="FJ83" s="53"/>
      <c r="FK83" s="53"/>
      <c r="FL83" s="53"/>
      <c r="FM83" s="53"/>
      <c r="FN83" s="53"/>
      <c r="FO83" s="53"/>
      <c r="FP83" s="53"/>
      <c r="FQ83" s="53"/>
      <c r="FR83" s="53"/>
      <c r="FS83" s="53"/>
      <c r="FT83" s="53"/>
      <c r="FU83" s="53"/>
      <c r="FV83" s="53"/>
      <c r="FW83" s="53"/>
      <c r="FX83" s="53"/>
      <c r="FY83" s="53"/>
      <c r="FZ83" s="53"/>
      <c r="GA83" s="53"/>
      <c r="GB83" s="53"/>
      <c r="GC83" s="53"/>
      <c r="GD83" s="53"/>
      <c r="GE83" s="53"/>
      <c r="GF83" s="53"/>
      <c r="GG83" s="53"/>
      <c r="GH83" s="53"/>
      <c r="GI83" s="53"/>
      <c r="GJ83" s="53"/>
      <c r="GK83" s="53"/>
      <c r="GL83" s="53"/>
      <c r="GM83" s="53"/>
      <c r="GN83" s="53"/>
      <c r="GO83" s="53"/>
      <c r="GP83" s="53"/>
      <c r="GQ83" s="53"/>
      <c r="GR83" s="53"/>
      <c r="GS83" s="53"/>
      <c r="GT83" s="53"/>
      <c r="GU83" s="53"/>
      <c r="GV83" s="53"/>
      <c r="GW83" s="53"/>
      <c r="GX83" s="53"/>
      <c r="GY83" s="53"/>
      <c r="GZ83" s="53"/>
      <c r="HA83" s="53"/>
      <c r="HB83" s="53"/>
      <c r="HC83" s="53"/>
      <c r="HD83" s="53"/>
      <c r="HE83" s="53"/>
      <c r="HF83" s="53"/>
      <c r="HG83" s="53"/>
      <c r="HH83" s="53"/>
      <c r="HI83" s="53"/>
      <c r="HJ83" s="53"/>
      <c r="HK83" s="53"/>
      <c r="HL83" s="53"/>
      <c r="HM83" s="53"/>
      <c r="HN83" s="53"/>
      <c r="HO83" s="53"/>
      <c r="HP83" s="53"/>
      <c r="HQ83" s="53"/>
      <c r="HR83" s="53"/>
      <c r="HS83" s="53"/>
      <c r="HT83" s="53"/>
      <c r="HU83" s="53"/>
      <c r="HV83" s="53"/>
      <c r="HW83" s="53"/>
      <c r="HX83" s="53"/>
      <c r="HY83" s="53"/>
      <c r="HZ83" s="53"/>
      <c r="IA83" s="53"/>
      <c r="IB83" s="53"/>
      <c r="IC83" s="53"/>
      <c r="ID83" s="53"/>
      <c r="IE83" s="53"/>
      <c r="IF83" s="53"/>
      <c r="IG83" s="53"/>
      <c r="IH83" s="53"/>
      <c r="II83" s="53"/>
      <c r="IJ83" s="53"/>
      <c r="IK83" s="53"/>
      <c r="IL83" s="53"/>
      <c r="IM83" s="53"/>
      <c r="IN83" s="53"/>
      <c r="IO83" s="53"/>
      <c r="IP83" s="53"/>
      <c r="IQ83" s="53"/>
      <c r="IR83" s="53"/>
      <c r="IS83" s="53"/>
      <c r="IT83" s="53"/>
      <c r="IU83" s="53"/>
      <c r="IV83" s="53"/>
    </row>
    <row r="84" spans="1:256" x14ac:dyDescent="0.25">
      <c r="A84" s="53"/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3"/>
      <c r="O84" s="53"/>
      <c r="P84" s="53"/>
      <c r="Q84" s="53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2"/>
      <c r="AY84" s="42"/>
      <c r="AZ84" s="42"/>
      <c r="BA84" s="42"/>
      <c r="BB84" s="42"/>
      <c r="BC84" s="42"/>
      <c r="BD84" s="42"/>
      <c r="BE84" s="42"/>
      <c r="BF84" s="42"/>
      <c r="BG84" s="42"/>
      <c r="BH84" s="42"/>
      <c r="BI84" s="42"/>
      <c r="BJ84" s="42"/>
      <c r="BK84" s="42"/>
      <c r="BL84" s="42"/>
      <c r="BM84" s="42"/>
      <c r="BN84" s="42"/>
      <c r="BO84" s="42"/>
      <c r="BP84" s="42"/>
      <c r="BQ84" s="42"/>
      <c r="BR84" s="42"/>
      <c r="BS84" s="42"/>
      <c r="BT84" s="42"/>
      <c r="BU84" s="42"/>
      <c r="BV84" s="42"/>
      <c r="BW84" s="42"/>
      <c r="BX84" s="42"/>
      <c r="BY84" s="42"/>
      <c r="BZ84" s="42"/>
      <c r="CA84" s="42"/>
      <c r="CB84" s="42"/>
      <c r="CC84" s="42"/>
      <c r="CD84" s="42"/>
      <c r="CE84" s="42"/>
      <c r="CF84" s="42"/>
      <c r="CG84" s="42"/>
      <c r="CH84" s="42"/>
      <c r="CI84" s="42"/>
      <c r="CJ84" s="42"/>
      <c r="CK84" s="42"/>
      <c r="CL84" s="42"/>
      <c r="CM84" s="42"/>
      <c r="CN84" s="42"/>
      <c r="CO84" s="42"/>
      <c r="CP84" s="42"/>
      <c r="CQ84" s="42"/>
      <c r="CR84" s="42"/>
      <c r="CS84" s="42"/>
      <c r="CT84" s="42"/>
      <c r="CU84" s="42"/>
      <c r="CV84" s="42"/>
      <c r="CW84" s="42"/>
      <c r="CX84" s="42"/>
      <c r="CY84" s="42"/>
      <c r="CZ84" s="42"/>
      <c r="DA84" s="42"/>
      <c r="DB84" s="42"/>
      <c r="DC84" s="42"/>
      <c r="DD84" s="42"/>
      <c r="DE84" s="42"/>
      <c r="DF84" s="42"/>
      <c r="DG84" s="42"/>
      <c r="DH84" s="42"/>
      <c r="DI84" s="42"/>
      <c r="DJ84" s="42"/>
      <c r="DK84" s="42"/>
      <c r="DL84" s="42"/>
      <c r="DM84" s="42"/>
      <c r="DN84" s="42"/>
      <c r="DO84" s="42"/>
      <c r="DP84" s="42"/>
      <c r="DQ84" s="42"/>
      <c r="DR84" s="42"/>
      <c r="DS84" s="42"/>
      <c r="DT84" s="42"/>
      <c r="DU84" s="42"/>
      <c r="DV84" s="42"/>
      <c r="DW84" s="42"/>
      <c r="DX84" s="42"/>
      <c r="DY84" s="42"/>
      <c r="DZ84" s="42"/>
      <c r="EA84" s="42"/>
      <c r="EB84" s="42"/>
      <c r="EC84" s="42"/>
      <c r="ED84" s="42"/>
      <c r="EE84" s="42"/>
      <c r="EF84" s="42"/>
      <c r="EG84" s="42"/>
      <c r="EH84" s="42"/>
      <c r="EI84" s="42"/>
      <c r="EJ84" s="42"/>
      <c r="EK84" s="42"/>
      <c r="EL84" s="42"/>
      <c r="EM84" s="42"/>
      <c r="EN84" s="42"/>
      <c r="EO84" s="42"/>
      <c r="EP84" s="42"/>
      <c r="EQ84" s="42"/>
      <c r="ER84" s="42"/>
      <c r="ES84" s="42"/>
      <c r="ET84" s="42"/>
      <c r="EU84" s="42"/>
      <c r="EV84" s="42"/>
      <c r="EW84" s="42"/>
      <c r="EX84" s="42"/>
      <c r="EY84" s="42"/>
      <c r="EZ84" s="42"/>
      <c r="FA84" s="42"/>
      <c r="FB84" s="42"/>
      <c r="FC84" s="42"/>
      <c r="FD84" s="42"/>
      <c r="FE84" s="42"/>
      <c r="FF84" s="42"/>
      <c r="FG84" s="42"/>
      <c r="FH84" s="42"/>
      <c r="FI84" s="42"/>
      <c r="FJ84" s="42"/>
      <c r="FK84" s="42"/>
      <c r="FL84" s="42"/>
      <c r="FM84" s="42"/>
      <c r="FN84" s="42"/>
      <c r="FO84" s="42"/>
      <c r="FP84" s="42"/>
      <c r="FQ84" s="42"/>
      <c r="FR84" s="42"/>
      <c r="FS84" s="42"/>
      <c r="FT84" s="42"/>
      <c r="FU84" s="42"/>
      <c r="FV84" s="42"/>
      <c r="FW84" s="42"/>
      <c r="FX84" s="42"/>
      <c r="FY84" s="42"/>
      <c r="FZ84" s="42"/>
      <c r="GA84" s="42"/>
      <c r="GB84" s="42"/>
      <c r="GC84" s="42"/>
      <c r="GD84" s="42"/>
      <c r="GE84" s="42"/>
      <c r="GF84" s="42"/>
      <c r="GG84" s="42"/>
      <c r="GH84" s="42"/>
      <c r="GI84" s="42"/>
      <c r="GJ84" s="42"/>
      <c r="GK84" s="42"/>
      <c r="GL84" s="42"/>
      <c r="GM84" s="42"/>
      <c r="GN84" s="42"/>
      <c r="GO84" s="42"/>
      <c r="GP84" s="42"/>
      <c r="GQ84" s="42"/>
      <c r="GR84" s="42"/>
      <c r="GS84" s="42"/>
      <c r="GT84" s="42"/>
      <c r="GU84" s="42"/>
      <c r="GV84" s="42"/>
      <c r="GW84" s="42"/>
      <c r="GX84" s="42"/>
      <c r="GY84" s="42"/>
      <c r="GZ84" s="42"/>
      <c r="HA84" s="42"/>
      <c r="HB84" s="42"/>
      <c r="HC84" s="42"/>
      <c r="HD84" s="42"/>
      <c r="HE84" s="42"/>
      <c r="HF84" s="42"/>
      <c r="HG84" s="42"/>
      <c r="HH84" s="42"/>
      <c r="HI84" s="42"/>
      <c r="HJ84" s="42"/>
      <c r="HK84" s="42"/>
      <c r="HL84" s="42"/>
      <c r="HM84" s="42"/>
      <c r="HN84" s="42"/>
      <c r="HO84" s="42"/>
      <c r="HP84" s="42"/>
      <c r="HQ84" s="42"/>
      <c r="HR84" s="42"/>
      <c r="HS84" s="42"/>
      <c r="HT84" s="42"/>
      <c r="HU84" s="42"/>
      <c r="HV84" s="42"/>
      <c r="HW84" s="42"/>
      <c r="HX84" s="42"/>
      <c r="HY84" s="42"/>
      <c r="HZ84" s="42"/>
      <c r="IA84" s="42"/>
      <c r="IB84" s="42"/>
      <c r="IC84" s="42"/>
      <c r="ID84" s="42"/>
      <c r="IE84" s="42"/>
      <c r="IF84" s="42"/>
      <c r="IG84" s="42"/>
      <c r="IH84" s="42"/>
      <c r="II84" s="42"/>
      <c r="IJ84" s="42"/>
      <c r="IK84" s="42"/>
      <c r="IL84" s="42"/>
      <c r="IM84" s="42"/>
      <c r="IN84" s="42"/>
      <c r="IO84" s="42"/>
      <c r="IP84" s="42"/>
      <c r="IQ84" s="42"/>
      <c r="IR84" s="42"/>
      <c r="IS84" s="42"/>
      <c r="IT84" s="42"/>
      <c r="IU84" s="42"/>
      <c r="IV84" s="42"/>
    </row>
    <row r="85" spans="1:256" x14ac:dyDescent="0.25">
      <c r="A85" s="53"/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3"/>
      <c r="O85" s="53"/>
      <c r="P85" s="53"/>
      <c r="Q85" s="53"/>
    </row>
    <row r="86" spans="1:256" x14ac:dyDescent="0.25">
      <c r="A86" s="53"/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3"/>
      <c r="O86" s="53"/>
      <c r="P86" s="53"/>
      <c r="Q86" s="53"/>
    </row>
    <row r="87" spans="1:256" s="31" customFormat="1" ht="15" customHeight="1" x14ac:dyDescent="0.25">
      <c r="A87" s="56"/>
      <c r="B87" s="55"/>
      <c r="C87" s="55"/>
      <c r="D87" s="54"/>
      <c r="E87" s="54"/>
      <c r="F87" s="54"/>
      <c r="G87" s="54"/>
      <c r="H87" s="54"/>
      <c r="I87" s="54"/>
      <c r="J87" s="54"/>
      <c r="K87" s="54"/>
      <c r="L87" s="54"/>
      <c r="M87" s="57"/>
      <c r="N87" s="53"/>
      <c r="O87" s="54"/>
      <c r="P87" s="58"/>
      <c r="Q87" s="5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</row>
    <row r="88" spans="1:256" x14ac:dyDescent="0.25">
      <c r="A88" s="86"/>
      <c r="B88" s="87"/>
      <c r="C88" s="87"/>
      <c r="D88" s="89"/>
      <c r="E88" s="89"/>
      <c r="F88" s="89"/>
      <c r="G88" s="89"/>
      <c r="H88" s="89"/>
      <c r="I88" s="89"/>
      <c r="J88" s="89"/>
      <c r="K88" s="89"/>
      <c r="L88" s="89"/>
      <c r="M88" s="90"/>
      <c r="N88" s="88"/>
      <c r="O88" s="89"/>
      <c r="P88" s="91"/>
      <c r="Q88" s="90"/>
    </row>
    <row r="89" spans="1:256" x14ac:dyDescent="0.25">
      <c r="A89" s="86"/>
      <c r="B89" s="87"/>
      <c r="C89" s="87"/>
      <c r="D89" s="89"/>
      <c r="E89" s="89"/>
      <c r="F89" s="89"/>
      <c r="G89" s="89"/>
      <c r="H89" s="89"/>
      <c r="I89" s="89"/>
      <c r="J89" s="89"/>
      <c r="K89" s="89"/>
      <c r="L89" s="89"/>
      <c r="M89" s="90"/>
      <c r="N89" s="88"/>
      <c r="O89" s="89"/>
      <c r="P89" s="91"/>
      <c r="Q89" s="90"/>
      <c r="R89" s="55"/>
      <c r="S89" s="55"/>
      <c r="T89" s="55"/>
      <c r="U89" s="55"/>
      <c r="V89" s="55"/>
      <c r="W89" s="55"/>
      <c r="X89" s="55"/>
      <c r="Y89" s="55"/>
      <c r="Z89" s="55"/>
      <c r="AA89" s="55"/>
      <c r="AB89" s="55"/>
      <c r="AC89" s="55"/>
      <c r="AD89" s="55"/>
      <c r="AE89" s="55"/>
      <c r="AF89" s="55"/>
      <c r="AG89" s="55"/>
      <c r="AH89" s="55"/>
      <c r="AI89" s="55"/>
      <c r="AJ89" s="55"/>
      <c r="AK89" s="55"/>
      <c r="AL89" s="55"/>
      <c r="AM89" s="55"/>
      <c r="AN89" s="55"/>
      <c r="AO89" s="55"/>
      <c r="AP89" s="55"/>
      <c r="AQ89" s="55"/>
      <c r="AR89" s="55"/>
      <c r="AS89" s="55"/>
      <c r="AT89" s="55"/>
      <c r="AU89" s="55"/>
      <c r="AV89" s="55"/>
      <c r="AW89" s="55"/>
      <c r="AX89" s="55"/>
      <c r="AY89" s="55"/>
      <c r="AZ89" s="55"/>
      <c r="BA89" s="55"/>
      <c r="BB89" s="55"/>
      <c r="BC89" s="55"/>
      <c r="BD89" s="55"/>
      <c r="BE89" s="55"/>
      <c r="BF89" s="55"/>
      <c r="BG89" s="55"/>
      <c r="BH89" s="55"/>
      <c r="BI89" s="55"/>
      <c r="BJ89" s="55"/>
      <c r="BK89" s="55"/>
      <c r="BL89" s="55"/>
      <c r="BM89" s="55"/>
      <c r="BN89" s="55"/>
      <c r="BO89" s="55"/>
      <c r="BP89" s="55"/>
      <c r="BQ89" s="55"/>
      <c r="BR89" s="55"/>
      <c r="BS89" s="55"/>
      <c r="BT89" s="55"/>
      <c r="BU89" s="55"/>
      <c r="BV89" s="55"/>
      <c r="BW89" s="55"/>
      <c r="BX89" s="55"/>
      <c r="BY89" s="55"/>
      <c r="BZ89" s="55"/>
      <c r="CA89" s="55"/>
      <c r="CB89" s="55"/>
      <c r="CC89" s="55"/>
      <c r="CD89" s="55"/>
      <c r="CE89" s="55"/>
      <c r="CF89" s="55"/>
      <c r="CG89" s="55"/>
      <c r="CH89" s="55"/>
      <c r="CI89" s="55"/>
      <c r="CJ89" s="55"/>
      <c r="CK89" s="55"/>
      <c r="CL89" s="55"/>
      <c r="CM89" s="55"/>
      <c r="CN89" s="55"/>
      <c r="CO89" s="55"/>
      <c r="CP89" s="55"/>
      <c r="CQ89" s="55"/>
      <c r="CR89" s="55"/>
      <c r="CS89" s="55"/>
      <c r="CT89" s="55"/>
      <c r="CU89" s="55"/>
      <c r="CV89" s="55"/>
      <c r="CW89" s="55"/>
      <c r="CX89" s="55"/>
      <c r="CY89" s="55"/>
      <c r="CZ89" s="55"/>
      <c r="DA89" s="55"/>
      <c r="DB89" s="55"/>
      <c r="DC89" s="55"/>
      <c r="DD89" s="55"/>
      <c r="DE89" s="55"/>
      <c r="DF89" s="55"/>
      <c r="DG89" s="55"/>
      <c r="DH89" s="55"/>
      <c r="DI89" s="55"/>
      <c r="DJ89" s="55"/>
      <c r="DK89" s="55"/>
      <c r="DL89" s="55"/>
      <c r="DM89" s="55"/>
      <c r="DN89" s="55"/>
      <c r="DO89" s="55"/>
      <c r="DP89" s="55"/>
      <c r="DQ89" s="55"/>
      <c r="DR89" s="55"/>
      <c r="DS89" s="55"/>
      <c r="DT89" s="55"/>
      <c r="DU89" s="55"/>
      <c r="DV89" s="55"/>
      <c r="DW89" s="55"/>
      <c r="DX89" s="55"/>
      <c r="DY89" s="55"/>
      <c r="DZ89" s="55"/>
      <c r="EA89" s="55"/>
      <c r="EB89" s="55"/>
      <c r="EC89" s="55"/>
      <c r="ED89" s="55"/>
      <c r="EE89" s="55"/>
      <c r="EF89" s="55"/>
      <c r="EG89" s="55"/>
      <c r="EH89" s="55"/>
      <c r="EI89" s="55"/>
      <c r="EJ89" s="55"/>
      <c r="EK89" s="55"/>
      <c r="EL89" s="55"/>
      <c r="EM89" s="55"/>
      <c r="EN89" s="55"/>
      <c r="EO89" s="55"/>
      <c r="EP89" s="55"/>
      <c r="EQ89" s="55"/>
      <c r="ER89" s="55"/>
      <c r="ES89" s="55"/>
      <c r="ET89" s="55"/>
      <c r="EU89" s="55"/>
      <c r="EV89" s="55"/>
      <c r="EW89" s="55"/>
      <c r="EX89" s="55"/>
      <c r="EY89" s="55"/>
      <c r="EZ89" s="55"/>
      <c r="FA89" s="55"/>
      <c r="FB89" s="55"/>
      <c r="FC89" s="55"/>
      <c r="FD89" s="55"/>
      <c r="FE89" s="55"/>
      <c r="FF89" s="55"/>
      <c r="FG89" s="55"/>
      <c r="FH89" s="55"/>
      <c r="FI89" s="55"/>
      <c r="FJ89" s="55"/>
      <c r="FK89" s="55"/>
      <c r="FL89" s="55"/>
      <c r="FM89" s="55"/>
      <c r="FN89" s="55"/>
      <c r="FO89" s="55"/>
      <c r="FP89" s="55"/>
      <c r="FQ89" s="55"/>
      <c r="FR89" s="55"/>
      <c r="FS89" s="55"/>
      <c r="FT89" s="55"/>
      <c r="FU89" s="55"/>
      <c r="FV89" s="55"/>
      <c r="FW89" s="55"/>
      <c r="FX89" s="55"/>
      <c r="FY89" s="55"/>
      <c r="FZ89" s="55"/>
      <c r="GA89" s="55"/>
      <c r="GB89" s="55"/>
      <c r="GC89" s="55"/>
      <c r="GD89" s="55"/>
      <c r="GE89" s="55"/>
      <c r="GF89" s="55"/>
      <c r="GG89" s="55"/>
      <c r="GH89" s="55"/>
      <c r="GI89" s="55"/>
      <c r="GJ89" s="55"/>
      <c r="GK89" s="55"/>
      <c r="GL89" s="55"/>
      <c r="GM89" s="55"/>
      <c r="GN89" s="55"/>
      <c r="GO89" s="55"/>
      <c r="GP89" s="55"/>
      <c r="GQ89" s="55"/>
      <c r="GR89" s="55"/>
      <c r="GS89" s="55"/>
      <c r="GT89" s="55"/>
      <c r="GU89" s="55"/>
      <c r="GV89" s="55"/>
      <c r="GW89" s="55"/>
      <c r="GX89" s="55"/>
      <c r="GY89" s="55"/>
      <c r="GZ89" s="55"/>
      <c r="HA89" s="55"/>
      <c r="HB89" s="55"/>
      <c r="HC89" s="55"/>
      <c r="HD89" s="55"/>
      <c r="HE89" s="55"/>
      <c r="HF89" s="55"/>
      <c r="HG89" s="55"/>
      <c r="HH89" s="55"/>
      <c r="HI89" s="55"/>
      <c r="HJ89" s="55"/>
      <c r="HK89" s="55"/>
      <c r="HL89" s="55"/>
      <c r="HM89" s="55"/>
      <c r="HN89" s="55"/>
      <c r="HO89" s="55"/>
      <c r="HP89" s="55"/>
      <c r="HQ89" s="55"/>
      <c r="HR89" s="55"/>
      <c r="HS89" s="55"/>
      <c r="HT89" s="55"/>
      <c r="HU89" s="55"/>
      <c r="HV89" s="55"/>
      <c r="HW89" s="55"/>
      <c r="HX89" s="55"/>
      <c r="HY89" s="55"/>
      <c r="HZ89" s="55"/>
      <c r="IA89" s="55"/>
      <c r="IB89" s="55"/>
      <c r="IC89" s="55"/>
      <c r="ID89" s="55"/>
      <c r="IE89" s="55"/>
      <c r="IF89" s="55"/>
      <c r="IG89" s="55"/>
      <c r="IH89" s="55"/>
      <c r="II89" s="55"/>
      <c r="IJ89" s="55"/>
      <c r="IK89" s="55"/>
      <c r="IL89" s="55"/>
      <c r="IM89" s="55"/>
      <c r="IN89" s="55"/>
      <c r="IO89" s="55"/>
      <c r="IP89" s="55"/>
      <c r="IQ89" s="55"/>
      <c r="IR89" s="55"/>
      <c r="IS89" s="55"/>
      <c r="IT89" s="55"/>
      <c r="IU89" s="55"/>
      <c r="IV89" s="55"/>
    </row>
    <row r="90" spans="1:256" x14ac:dyDescent="0.25">
      <c r="A90" s="86"/>
      <c r="B90" s="87"/>
      <c r="C90" s="87"/>
      <c r="D90" s="89"/>
      <c r="E90" s="89"/>
      <c r="F90" s="89"/>
      <c r="G90" s="89"/>
      <c r="H90" s="89"/>
      <c r="I90" s="89"/>
      <c r="J90" s="89"/>
      <c r="K90" s="89"/>
      <c r="L90" s="89"/>
      <c r="M90" s="90"/>
      <c r="N90" s="88"/>
      <c r="O90" s="89"/>
      <c r="P90" s="91"/>
      <c r="Q90" s="90"/>
    </row>
    <row r="91" spans="1:256" s="18" customFormat="1" x14ac:dyDescent="0.25">
      <c r="A91" s="53"/>
      <c r="B91" s="54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3"/>
      <c r="O91" s="53"/>
      <c r="P91" s="53"/>
      <c r="Q91" s="53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</row>
    <row r="92" spans="1:256" s="31" customFormat="1" ht="15" customHeight="1" x14ac:dyDescent="0.25">
      <c r="A92" s="53"/>
      <c r="B92" s="54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3"/>
      <c r="O92" s="53"/>
      <c r="P92" s="53"/>
      <c r="Q92" s="53"/>
      <c r="R92" s="18"/>
      <c r="S92" s="18"/>
      <c r="T92" s="18"/>
      <c r="U92" s="18"/>
      <c r="V92" s="18"/>
      <c r="W92" s="18"/>
      <c r="X92" s="18"/>
      <c r="Y92" s="18"/>
      <c r="Z92" s="18"/>
      <c r="AA92" s="18"/>
      <c r="AB92" s="18"/>
      <c r="AC92" s="18"/>
      <c r="AD92" s="18"/>
      <c r="AE92" s="18"/>
      <c r="AF92" s="18"/>
      <c r="AG92" s="18"/>
      <c r="AH92" s="18"/>
      <c r="AI92" s="18"/>
      <c r="AJ92" s="18"/>
      <c r="AK92" s="18"/>
      <c r="AL92" s="18"/>
      <c r="AM92" s="18"/>
      <c r="AN92" s="18"/>
      <c r="AO92" s="18"/>
      <c r="AP92" s="18"/>
      <c r="AQ92" s="18"/>
      <c r="AR92" s="18"/>
      <c r="AS92" s="18"/>
      <c r="AT92" s="18"/>
      <c r="AU92" s="18"/>
      <c r="AV92" s="18"/>
      <c r="AW92" s="18"/>
      <c r="AX92" s="18"/>
      <c r="AY92" s="18"/>
      <c r="AZ92" s="18"/>
      <c r="BA92" s="18"/>
      <c r="BB92" s="18"/>
      <c r="BC92" s="18"/>
      <c r="BD92" s="18"/>
      <c r="BE92" s="18"/>
      <c r="BF92" s="18"/>
      <c r="BG92" s="18"/>
      <c r="BH92" s="18"/>
      <c r="BI92" s="18"/>
      <c r="BJ92" s="18"/>
      <c r="BK92" s="18"/>
      <c r="BL92" s="18"/>
      <c r="BM92" s="18"/>
      <c r="BN92" s="18"/>
      <c r="BO92" s="18"/>
      <c r="BP92" s="18"/>
      <c r="BQ92" s="18"/>
      <c r="BR92" s="18"/>
      <c r="BS92" s="18"/>
      <c r="BT92" s="18"/>
      <c r="BU92" s="18"/>
      <c r="BV92" s="18"/>
      <c r="BW92" s="18"/>
      <c r="BX92" s="18"/>
      <c r="BY92" s="18"/>
      <c r="BZ92" s="18"/>
      <c r="CA92" s="18"/>
      <c r="CB92" s="18"/>
      <c r="CC92" s="18"/>
      <c r="CD92" s="18"/>
      <c r="CE92" s="18"/>
      <c r="CF92" s="18"/>
      <c r="CG92" s="18"/>
      <c r="CH92" s="18"/>
      <c r="CI92" s="18"/>
      <c r="CJ92" s="18"/>
      <c r="CK92" s="18"/>
      <c r="CL92" s="18"/>
      <c r="CM92" s="18"/>
      <c r="CN92" s="18"/>
      <c r="CO92" s="18"/>
      <c r="CP92" s="18"/>
      <c r="CQ92" s="18"/>
      <c r="CR92" s="18"/>
      <c r="CS92" s="18"/>
      <c r="CT92" s="18"/>
      <c r="CU92" s="18"/>
      <c r="CV92" s="18"/>
      <c r="CW92" s="18"/>
      <c r="CX92" s="18"/>
      <c r="CY92" s="18"/>
      <c r="CZ92" s="18"/>
      <c r="DA92" s="18"/>
      <c r="DB92" s="18"/>
      <c r="DC92" s="18"/>
      <c r="DD92" s="18"/>
      <c r="DE92" s="18"/>
      <c r="DF92" s="18"/>
      <c r="DG92" s="18"/>
      <c r="DH92" s="18"/>
      <c r="DI92" s="18"/>
      <c r="DJ92" s="18"/>
      <c r="DK92" s="18"/>
      <c r="DL92" s="18"/>
      <c r="DM92" s="18"/>
      <c r="DN92" s="18"/>
      <c r="DO92" s="18"/>
      <c r="DP92" s="18"/>
      <c r="DQ92" s="18"/>
      <c r="DR92" s="18"/>
      <c r="DS92" s="18"/>
      <c r="DT92" s="18"/>
      <c r="DU92" s="18"/>
      <c r="DV92" s="18"/>
      <c r="DW92" s="18"/>
      <c r="DX92" s="18"/>
      <c r="DY92" s="18"/>
      <c r="DZ92" s="18"/>
      <c r="EA92" s="18"/>
      <c r="EB92" s="18"/>
      <c r="EC92" s="18"/>
      <c r="ED92" s="18"/>
      <c r="EE92" s="18"/>
      <c r="EF92" s="18"/>
      <c r="EG92" s="18"/>
      <c r="EH92" s="18"/>
      <c r="EI92" s="18"/>
      <c r="EJ92" s="18"/>
      <c r="EK92" s="18"/>
      <c r="EL92" s="18"/>
      <c r="EM92" s="18"/>
      <c r="EN92" s="18"/>
      <c r="EO92" s="18"/>
      <c r="EP92" s="18"/>
      <c r="EQ92" s="18"/>
      <c r="ER92" s="18"/>
      <c r="ES92" s="18"/>
      <c r="ET92" s="18"/>
      <c r="EU92" s="18"/>
      <c r="EV92" s="18"/>
      <c r="EW92" s="18"/>
      <c r="EX92" s="18"/>
      <c r="EY92" s="18"/>
      <c r="EZ92" s="18"/>
      <c r="FA92" s="18"/>
      <c r="FB92" s="18"/>
      <c r="FC92" s="18"/>
      <c r="FD92" s="18"/>
      <c r="FE92" s="18"/>
      <c r="FF92" s="18"/>
      <c r="FG92" s="18"/>
      <c r="FH92" s="18"/>
      <c r="FI92" s="18"/>
      <c r="FJ92" s="18"/>
      <c r="FK92" s="18"/>
      <c r="FL92" s="18"/>
      <c r="FM92" s="18"/>
      <c r="FN92" s="18"/>
      <c r="FO92" s="18"/>
      <c r="FP92" s="18"/>
      <c r="FQ92" s="18"/>
      <c r="FR92" s="18"/>
      <c r="FS92" s="18"/>
      <c r="FT92" s="18"/>
      <c r="FU92" s="18"/>
      <c r="FV92" s="18"/>
      <c r="FW92" s="18"/>
      <c r="FX92" s="18"/>
      <c r="FY92" s="18"/>
      <c r="FZ92" s="18"/>
      <c r="GA92" s="18"/>
      <c r="GB92" s="18"/>
      <c r="GC92" s="18"/>
      <c r="GD92" s="18"/>
      <c r="GE92" s="18"/>
      <c r="GF92" s="18"/>
      <c r="GG92" s="18"/>
      <c r="GH92" s="18"/>
      <c r="GI92" s="18"/>
      <c r="GJ92" s="18"/>
      <c r="GK92" s="18"/>
      <c r="GL92" s="18"/>
      <c r="GM92" s="18"/>
      <c r="GN92" s="18"/>
      <c r="GO92" s="18"/>
      <c r="GP92" s="18"/>
      <c r="GQ92" s="18"/>
      <c r="GR92" s="18"/>
      <c r="GS92" s="18"/>
      <c r="GT92" s="18"/>
      <c r="GU92" s="18"/>
      <c r="GV92" s="18"/>
      <c r="GW92" s="18"/>
      <c r="GX92" s="18"/>
      <c r="GY92" s="18"/>
      <c r="GZ92" s="18"/>
      <c r="HA92" s="18"/>
      <c r="HB92" s="18"/>
      <c r="HC92" s="18"/>
      <c r="HD92" s="18"/>
      <c r="HE92" s="18"/>
      <c r="HF92" s="18"/>
      <c r="HG92" s="18"/>
      <c r="HH92" s="18"/>
      <c r="HI92" s="18"/>
      <c r="HJ92" s="18"/>
      <c r="HK92" s="18"/>
      <c r="HL92" s="18"/>
      <c r="HM92" s="18"/>
      <c r="HN92" s="18"/>
      <c r="HO92" s="18"/>
      <c r="HP92" s="18"/>
      <c r="HQ92" s="18"/>
      <c r="HR92" s="18"/>
      <c r="HS92" s="18"/>
      <c r="HT92" s="18"/>
      <c r="HU92" s="18"/>
      <c r="HV92" s="18"/>
      <c r="HW92" s="18"/>
      <c r="HX92" s="18"/>
      <c r="HY92" s="18"/>
      <c r="HZ92" s="18"/>
      <c r="IA92" s="18"/>
      <c r="IB92" s="18"/>
      <c r="IC92" s="18"/>
      <c r="ID92" s="18"/>
      <c r="IE92" s="18"/>
      <c r="IF92" s="18"/>
      <c r="IG92" s="18"/>
      <c r="IH92" s="18"/>
      <c r="II92" s="18"/>
      <c r="IJ92" s="18"/>
      <c r="IK92" s="18"/>
      <c r="IL92" s="18"/>
      <c r="IM92" s="18"/>
      <c r="IN92" s="18"/>
      <c r="IO92" s="18"/>
      <c r="IP92" s="18"/>
      <c r="IQ92" s="18"/>
      <c r="IR92" s="18"/>
      <c r="IS92" s="18"/>
      <c r="IT92" s="18"/>
      <c r="IU92" s="18"/>
      <c r="IV92" s="18"/>
    </row>
    <row r="93" spans="1:256" s="31" customFormat="1" ht="15" customHeight="1" x14ac:dyDescent="0.25">
      <c r="A93" s="53"/>
      <c r="B93" s="54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3"/>
      <c r="O93" s="53"/>
      <c r="P93" s="53"/>
      <c r="Q93" s="53"/>
      <c r="R93" s="18"/>
      <c r="S93" s="18"/>
      <c r="T93" s="18"/>
      <c r="U93" s="18"/>
      <c r="V93" s="18"/>
      <c r="W93" s="18"/>
      <c r="X93" s="18"/>
      <c r="Y93" s="18"/>
      <c r="Z93" s="18"/>
      <c r="AA93" s="18"/>
      <c r="AB93" s="18"/>
      <c r="AC93" s="18"/>
      <c r="AD93" s="18"/>
      <c r="AE93" s="18"/>
      <c r="AF93" s="18"/>
      <c r="AG93" s="18"/>
      <c r="AH93" s="18"/>
      <c r="AI93" s="18"/>
      <c r="AJ93" s="18"/>
      <c r="AK93" s="18"/>
      <c r="AL93" s="18"/>
      <c r="AM93" s="18"/>
      <c r="AN93" s="18"/>
      <c r="AO93" s="18"/>
      <c r="AP93" s="18"/>
      <c r="AQ93" s="18"/>
      <c r="AR93" s="18"/>
      <c r="AS93" s="18"/>
      <c r="AT93" s="18"/>
      <c r="AU93" s="18"/>
      <c r="AV93" s="18"/>
      <c r="AW93" s="18"/>
      <c r="AX93" s="18"/>
      <c r="AY93" s="18"/>
      <c r="AZ93" s="18"/>
      <c r="BA93" s="18"/>
      <c r="BB93" s="18"/>
      <c r="BC93" s="18"/>
      <c r="BD93" s="18"/>
      <c r="BE93" s="18"/>
      <c r="BF93" s="18"/>
      <c r="BG93" s="18"/>
      <c r="BH93" s="18"/>
      <c r="BI93" s="18"/>
      <c r="BJ93" s="18"/>
      <c r="BK93" s="18"/>
      <c r="BL93" s="18"/>
      <c r="BM93" s="18"/>
      <c r="BN93" s="18"/>
      <c r="BO93" s="18"/>
      <c r="BP93" s="18"/>
      <c r="BQ93" s="18"/>
      <c r="BR93" s="18"/>
      <c r="BS93" s="18"/>
      <c r="BT93" s="18"/>
      <c r="BU93" s="18"/>
      <c r="BV93" s="18"/>
      <c r="BW93" s="18"/>
      <c r="BX93" s="18"/>
      <c r="BY93" s="18"/>
      <c r="BZ93" s="18"/>
      <c r="CA93" s="18"/>
      <c r="CB93" s="18"/>
      <c r="CC93" s="18"/>
      <c r="CD93" s="18"/>
      <c r="CE93" s="18"/>
      <c r="CF93" s="18"/>
      <c r="CG93" s="18"/>
      <c r="CH93" s="18"/>
      <c r="CI93" s="18"/>
      <c r="CJ93" s="18"/>
      <c r="CK93" s="18"/>
      <c r="CL93" s="18"/>
      <c r="CM93" s="18"/>
      <c r="CN93" s="18"/>
      <c r="CO93" s="18"/>
      <c r="CP93" s="18"/>
      <c r="CQ93" s="18"/>
      <c r="CR93" s="18"/>
      <c r="CS93" s="18"/>
      <c r="CT93" s="18"/>
      <c r="CU93" s="18"/>
      <c r="CV93" s="18"/>
      <c r="CW93" s="18"/>
      <c r="CX93" s="18"/>
      <c r="CY93" s="18"/>
      <c r="CZ93" s="18"/>
      <c r="DA93" s="18"/>
      <c r="DB93" s="18"/>
      <c r="DC93" s="18"/>
      <c r="DD93" s="18"/>
      <c r="DE93" s="18"/>
      <c r="DF93" s="18"/>
      <c r="DG93" s="18"/>
      <c r="DH93" s="18"/>
      <c r="DI93" s="18"/>
      <c r="DJ93" s="18"/>
      <c r="DK93" s="18"/>
      <c r="DL93" s="18"/>
      <c r="DM93" s="18"/>
      <c r="DN93" s="18"/>
      <c r="DO93" s="18"/>
      <c r="DP93" s="18"/>
      <c r="DQ93" s="18"/>
      <c r="DR93" s="18"/>
      <c r="DS93" s="18"/>
      <c r="DT93" s="18"/>
      <c r="DU93" s="18"/>
      <c r="DV93" s="18"/>
      <c r="DW93" s="18"/>
      <c r="DX93" s="18"/>
      <c r="DY93" s="18"/>
      <c r="DZ93" s="18"/>
      <c r="EA93" s="18"/>
      <c r="EB93" s="18"/>
      <c r="EC93" s="18"/>
      <c r="ED93" s="18"/>
      <c r="EE93" s="18"/>
      <c r="EF93" s="18"/>
      <c r="EG93" s="18"/>
      <c r="EH93" s="18"/>
      <c r="EI93" s="18"/>
      <c r="EJ93" s="18"/>
      <c r="EK93" s="18"/>
      <c r="EL93" s="18"/>
      <c r="EM93" s="18"/>
      <c r="EN93" s="18"/>
      <c r="EO93" s="18"/>
      <c r="EP93" s="18"/>
      <c r="EQ93" s="18"/>
      <c r="ER93" s="18"/>
      <c r="ES93" s="18"/>
      <c r="ET93" s="18"/>
      <c r="EU93" s="18"/>
      <c r="EV93" s="18"/>
      <c r="EW93" s="18"/>
      <c r="EX93" s="18"/>
      <c r="EY93" s="18"/>
      <c r="EZ93" s="18"/>
      <c r="FA93" s="18"/>
      <c r="FB93" s="18"/>
      <c r="FC93" s="18"/>
      <c r="FD93" s="18"/>
      <c r="FE93" s="18"/>
      <c r="FF93" s="18"/>
      <c r="FG93" s="18"/>
      <c r="FH93" s="18"/>
      <c r="FI93" s="18"/>
      <c r="FJ93" s="18"/>
      <c r="FK93" s="18"/>
      <c r="FL93" s="18"/>
      <c r="FM93" s="18"/>
      <c r="FN93" s="18"/>
      <c r="FO93" s="18"/>
      <c r="FP93" s="18"/>
      <c r="FQ93" s="18"/>
      <c r="FR93" s="18"/>
      <c r="FS93" s="18"/>
      <c r="FT93" s="18"/>
      <c r="FU93" s="18"/>
      <c r="FV93" s="18"/>
      <c r="FW93" s="18"/>
      <c r="FX93" s="18"/>
      <c r="FY93" s="18"/>
      <c r="FZ93" s="18"/>
      <c r="GA93" s="18"/>
      <c r="GB93" s="18"/>
      <c r="GC93" s="18"/>
      <c r="GD93" s="18"/>
      <c r="GE93" s="18"/>
      <c r="GF93" s="18"/>
      <c r="GG93" s="18"/>
      <c r="GH93" s="18"/>
      <c r="GI93" s="18"/>
      <c r="GJ93" s="18"/>
      <c r="GK93" s="18"/>
      <c r="GL93" s="18"/>
      <c r="GM93" s="18"/>
      <c r="GN93" s="18"/>
      <c r="GO93" s="18"/>
      <c r="GP93" s="18"/>
      <c r="GQ93" s="18"/>
      <c r="GR93" s="18"/>
      <c r="GS93" s="18"/>
      <c r="GT93" s="18"/>
      <c r="GU93" s="18"/>
      <c r="GV93" s="18"/>
      <c r="GW93" s="18"/>
      <c r="GX93" s="18"/>
      <c r="GY93" s="18"/>
      <c r="GZ93" s="18"/>
      <c r="HA93" s="18"/>
      <c r="HB93" s="18"/>
      <c r="HC93" s="18"/>
      <c r="HD93" s="18"/>
      <c r="HE93" s="18"/>
      <c r="HF93" s="18"/>
      <c r="HG93" s="18"/>
      <c r="HH93" s="18"/>
      <c r="HI93" s="18"/>
      <c r="HJ93" s="18"/>
      <c r="HK93" s="18"/>
      <c r="HL93" s="18"/>
      <c r="HM93" s="18"/>
      <c r="HN93" s="18"/>
      <c r="HO93" s="18"/>
      <c r="HP93" s="18"/>
      <c r="HQ93" s="18"/>
      <c r="HR93" s="18"/>
      <c r="HS93" s="18"/>
      <c r="HT93" s="18"/>
      <c r="HU93" s="18"/>
      <c r="HV93" s="18"/>
      <c r="HW93" s="18"/>
      <c r="HX93" s="18"/>
      <c r="HY93" s="18"/>
      <c r="HZ93" s="18"/>
      <c r="IA93" s="18"/>
      <c r="IB93" s="18"/>
      <c r="IC93" s="18"/>
      <c r="ID93" s="18"/>
      <c r="IE93" s="18"/>
      <c r="IF93" s="18"/>
      <c r="IG93" s="18"/>
      <c r="IH93" s="18"/>
      <c r="II93" s="18"/>
      <c r="IJ93" s="18"/>
      <c r="IK93" s="18"/>
      <c r="IL93" s="18"/>
      <c r="IM93" s="18"/>
      <c r="IN93" s="18"/>
      <c r="IO93" s="18"/>
      <c r="IP93" s="18"/>
      <c r="IQ93" s="18"/>
      <c r="IR93" s="18"/>
      <c r="IS93" s="18"/>
      <c r="IT93" s="18"/>
      <c r="IU93" s="18"/>
      <c r="IV93" s="18"/>
    </row>
    <row r="94" spans="1:256" x14ac:dyDescent="0.25">
      <c r="A94" s="53"/>
      <c r="B94" s="54"/>
      <c r="C94" s="54"/>
      <c r="D94" s="54"/>
      <c r="E94" s="54"/>
      <c r="F94" s="54"/>
      <c r="G94" s="54"/>
      <c r="H94" s="54"/>
      <c r="I94" s="54"/>
      <c r="J94" s="54"/>
      <c r="K94" s="53"/>
      <c r="L94" s="54"/>
      <c r="M94" s="53"/>
      <c r="N94" s="53"/>
      <c r="O94" s="53"/>
      <c r="P94" s="53"/>
      <c r="Q94" s="53"/>
    </row>
    <row r="95" spans="1:256" s="31" customFormat="1" ht="15" customHeight="1" x14ac:dyDescent="0.25">
      <c r="A95" s="53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3"/>
      <c r="O95" s="53"/>
      <c r="P95" s="53"/>
      <c r="Q95" s="53"/>
      <c r="R95" s="18"/>
      <c r="S95" s="18"/>
      <c r="T95" s="18"/>
      <c r="U95" s="18"/>
      <c r="V95" s="18"/>
      <c r="W95" s="18"/>
      <c r="X95" s="18"/>
      <c r="Y95" s="18"/>
      <c r="Z95" s="18"/>
      <c r="AA95" s="18"/>
      <c r="AB95" s="18"/>
      <c r="AC95" s="18"/>
      <c r="AD95" s="18"/>
      <c r="AE95" s="18"/>
      <c r="AF95" s="18"/>
      <c r="AG95" s="18"/>
      <c r="AH95" s="18"/>
      <c r="AI95" s="18"/>
      <c r="AJ95" s="18"/>
      <c r="AK95" s="18"/>
      <c r="AL95" s="18"/>
      <c r="AM95" s="18"/>
      <c r="AN95" s="18"/>
      <c r="AO95" s="18"/>
      <c r="AP95" s="18"/>
      <c r="AQ95" s="18"/>
      <c r="AR95" s="18"/>
      <c r="AS95" s="18"/>
      <c r="AT95" s="18"/>
      <c r="AU95" s="18"/>
      <c r="AV95" s="18"/>
      <c r="AW95" s="18"/>
      <c r="AX95" s="18"/>
      <c r="AY95" s="18"/>
      <c r="AZ95" s="18"/>
      <c r="BA95" s="18"/>
      <c r="BB95" s="18"/>
      <c r="BC95" s="18"/>
      <c r="BD95" s="18"/>
      <c r="BE95" s="18"/>
      <c r="BF95" s="18"/>
      <c r="BG95" s="18"/>
      <c r="BH95" s="18"/>
      <c r="BI95" s="18"/>
      <c r="BJ95" s="18"/>
      <c r="BK95" s="18"/>
      <c r="BL95" s="18"/>
      <c r="BM95" s="18"/>
      <c r="BN95" s="18"/>
      <c r="BO95" s="18"/>
      <c r="BP95" s="18"/>
      <c r="BQ95" s="18"/>
      <c r="BR95" s="18"/>
      <c r="BS95" s="18"/>
      <c r="BT95" s="18"/>
      <c r="BU95" s="18"/>
      <c r="BV95" s="18"/>
      <c r="BW95" s="18"/>
      <c r="BX95" s="18"/>
      <c r="BY95" s="18"/>
      <c r="BZ95" s="18"/>
      <c r="CA95" s="18"/>
      <c r="CB95" s="18"/>
      <c r="CC95" s="18"/>
      <c r="CD95" s="18"/>
      <c r="CE95" s="18"/>
      <c r="CF95" s="18"/>
      <c r="CG95" s="18"/>
      <c r="CH95" s="18"/>
      <c r="CI95" s="18"/>
      <c r="CJ95" s="18"/>
      <c r="CK95" s="18"/>
      <c r="CL95" s="18"/>
      <c r="CM95" s="18"/>
      <c r="CN95" s="18"/>
      <c r="CO95" s="18"/>
      <c r="CP95" s="18"/>
      <c r="CQ95" s="18"/>
      <c r="CR95" s="18"/>
      <c r="CS95" s="18"/>
      <c r="CT95" s="18"/>
      <c r="CU95" s="18"/>
      <c r="CV95" s="18"/>
      <c r="CW95" s="18"/>
      <c r="CX95" s="18"/>
      <c r="CY95" s="18"/>
      <c r="CZ95" s="18"/>
      <c r="DA95" s="18"/>
      <c r="DB95" s="18"/>
      <c r="DC95" s="18"/>
      <c r="DD95" s="18"/>
      <c r="DE95" s="18"/>
      <c r="DF95" s="18"/>
      <c r="DG95" s="18"/>
      <c r="DH95" s="18"/>
      <c r="DI95" s="18"/>
      <c r="DJ95" s="18"/>
      <c r="DK95" s="18"/>
      <c r="DL95" s="18"/>
      <c r="DM95" s="18"/>
      <c r="DN95" s="18"/>
      <c r="DO95" s="18"/>
      <c r="DP95" s="18"/>
      <c r="DQ95" s="18"/>
      <c r="DR95" s="18"/>
      <c r="DS95" s="18"/>
      <c r="DT95" s="18"/>
      <c r="DU95" s="18"/>
      <c r="DV95" s="18"/>
      <c r="DW95" s="18"/>
      <c r="DX95" s="18"/>
      <c r="DY95" s="18"/>
      <c r="DZ95" s="18"/>
      <c r="EA95" s="18"/>
      <c r="EB95" s="18"/>
      <c r="EC95" s="18"/>
      <c r="ED95" s="18"/>
      <c r="EE95" s="18"/>
      <c r="EF95" s="18"/>
      <c r="EG95" s="18"/>
      <c r="EH95" s="18"/>
      <c r="EI95" s="18"/>
      <c r="EJ95" s="18"/>
      <c r="EK95" s="18"/>
      <c r="EL95" s="18"/>
      <c r="EM95" s="18"/>
      <c r="EN95" s="18"/>
      <c r="EO95" s="18"/>
      <c r="EP95" s="18"/>
      <c r="EQ95" s="18"/>
      <c r="ER95" s="18"/>
      <c r="ES95" s="18"/>
      <c r="ET95" s="18"/>
      <c r="EU95" s="18"/>
      <c r="EV95" s="18"/>
      <c r="EW95" s="18"/>
      <c r="EX95" s="18"/>
      <c r="EY95" s="18"/>
      <c r="EZ95" s="18"/>
      <c r="FA95" s="18"/>
      <c r="FB95" s="18"/>
      <c r="FC95" s="18"/>
      <c r="FD95" s="18"/>
      <c r="FE95" s="18"/>
      <c r="FF95" s="18"/>
      <c r="FG95" s="18"/>
      <c r="FH95" s="18"/>
      <c r="FI95" s="18"/>
      <c r="FJ95" s="18"/>
      <c r="FK95" s="18"/>
      <c r="FL95" s="18"/>
      <c r="FM95" s="18"/>
      <c r="FN95" s="18"/>
      <c r="FO95" s="18"/>
      <c r="FP95" s="18"/>
      <c r="FQ95" s="18"/>
      <c r="FR95" s="18"/>
      <c r="FS95" s="18"/>
      <c r="FT95" s="18"/>
      <c r="FU95" s="18"/>
      <c r="FV95" s="18"/>
      <c r="FW95" s="18"/>
      <c r="FX95" s="18"/>
      <c r="FY95" s="18"/>
      <c r="FZ95" s="18"/>
      <c r="GA95" s="18"/>
      <c r="GB95" s="18"/>
      <c r="GC95" s="18"/>
      <c r="GD95" s="18"/>
      <c r="GE95" s="18"/>
      <c r="GF95" s="18"/>
      <c r="GG95" s="18"/>
      <c r="GH95" s="18"/>
      <c r="GI95" s="18"/>
      <c r="GJ95" s="18"/>
      <c r="GK95" s="18"/>
      <c r="GL95" s="18"/>
      <c r="GM95" s="18"/>
      <c r="GN95" s="18"/>
      <c r="GO95" s="18"/>
      <c r="GP95" s="18"/>
      <c r="GQ95" s="18"/>
      <c r="GR95" s="18"/>
      <c r="GS95" s="18"/>
      <c r="GT95" s="18"/>
      <c r="GU95" s="18"/>
      <c r="GV95" s="18"/>
      <c r="GW95" s="18"/>
      <c r="GX95" s="18"/>
      <c r="GY95" s="18"/>
      <c r="GZ95" s="18"/>
      <c r="HA95" s="18"/>
      <c r="HB95" s="18"/>
      <c r="HC95" s="18"/>
      <c r="HD95" s="18"/>
      <c r="HE95" s="18"/>
      <c r="HF95" s="18"/>
      <c r="HG95" s="18"/>
      <c r="HH95" s="18"/>
      <c r="HI95" s="18"/>
      <c r="HJ95" s="18"/>
      <c r="HK95" s="18"/>
      <c r="HL95" s="18"/>
      <c r="HM95" s="18"/>
      <c r="HN95" s="18"/>
      <c r="HO95" s="18"/>
      <c r="HP95" s="18"/>
      <c r="HQ95" s="18"/>
      <c r="HR95" s="18"/>
      <c r="HS95" s="18"/>
      <c r="HT95" s="18"/>
      <c r="HU95" s="18"/>
      <c r="HV95" s="18"/>
      <c r="HW95" s="18"/>
      <c r="HX95" s="18"/>
      <c r="HY95" s="18"/>
      <c r="HZ95" s="18"/>
      <c r="IA95" s="18"/>
      <c r="IB95" s="18"/>
      <c r="IC95" s="18"/>
      <c r="ID95" s="18"/>
      <c r="IE95" s="18"/>
      <c r="IF95" s="18"/>
      <c r="IG95" s="18"/>
      <c r="IH95" s="18"/>
      <c r="II95" s="18"/>
      <c r="IJ95" s="18"/>
      <c r="IK95" s="18"/>
      <c r="IL95" s="18"/>
      <c r="IM95" s="18"/>
      <c r="IN95" s="18"/>
      <c r="IO95" s="18"/>
      <c r="IP95" s="18"/>
      <c r="IQ95" s="18"/>
      <c r="IR95" s="18"/>
      <c r="IS95" s="18"/>
      <c r="IT95" s="18"/>
      <c r="IU95" s="18"/>
      <c r="IV95" s="18"/>
    </row>
    <row r="96" spans="1:256" s="18" customFormat="1" ht="15" customHeight="1" x14ac:dyDescent="0.25">
      <c r="A96" s="53"/>
      <c r="B96" s="54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3"/>
      <c r="O96" s="53"/>
      <c r="P96" s="53"/>
      <c r="Q96" s="53"/>
    </row>
    <row r="97" spans="1:256" s="29" customFormat="1" x14ac:dyDescent="0.25">
      <c r="A97" s="42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2"/>
      <c r="N97" s="42"/>
      <c r="O97" s="42"/>
      <c r="P97" s="42"/>
      <c r="Q97" s="42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</row>
    <row r="98" spans="1:256" x14ac:dyDescent="0.25"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  <c r="AZ98" s="31"/>
      <c r="BA98" s="31"/>
      <c r="BB98" s="31"/>
      <c r="BC98" s="31"/>
      <c r="BD98" s="31"/>
      <c r="BE98" s="31"/>
      <c r="BF98" s="31"/>
      <c r="BG98" s="31"/>
      <c r="BH98" s="31"/>
      <c r="BI98" s="31"/>
      <c r="BJ98" s="31"/>
      <c r="BK98" s="31"/>
      <c r="BL98" s="31"/>
      <c r="BM98" s="31"/>
      <c r="BN98" s="31"/>
      <c r="BO98" s="31"/>
      <c r="BP98" s="31"/>
      <c r="BQ98" s="31"/>
      <c r="BR98" s="31"/>
      <c r="BS98" s="31"/>
      <c r="BT98" s="31"/>
      <c r="BU98" s="31"/>
      <c r="BV98" s="31"/>
      <c r="BW98" s="31"/>
      <c r="BX98" s="31"/>
      <c r="BY98" s="31"/>
      <c r="BZ98" s="31"/>
      <c r="CA98" s="31"/>
      <c r="CB98" s="31"/>
      <c r="CC98" s="31"/>
      <c r="CD98" s="31"/>
      <c r="CE98" s="31"/>
      <c r="CF98" s="31"/>
      <c r="CG98" s="31"/>
      <c r="CH98" s="31"/>
      <c r="CI98" s="31"/>
      <c r="CJ98" s="31"/>
      <c r="CK98" s="31"/>
      <c r="CL98" s="31"/>
      <c r="CM98" s="31"/>
      <c r="CN98" s="31"/>
      <c r="CO98" s="31"/>
      <c r="CP98" s="31"/>
      <c r="CQ98" s="31"/>
      <c r="CR98" s="31"/>
      <c r="CS98" s="31"/>
      <c r="CT98" s="31"/>
      <c r="CU98" s="31"/>
      <c r="CV98" s="31"/>
      <c r="CW98" s="31"/>
      <c r="CX98" s="31"/>
      <c r="CY98" s="31"/>
      <c r="CZ98" s="31"/>
      <c r="DA98" s="31"/>
      <c r="DB98" s="31"/>
      <c r="DC98" s="31"/>
      <c r="DD98" s="31"/>
      <c r="DE98" s="31"/>
      <c r="DF98" s="31"/>
      <c r="DG98" s="31"/>
      <c r="DH98" s="31"/>
      <c r="DI98" s="31"/>
      <c r="DJ98" s="31"/>
      <c r="DK98" s="31"/>
      <c r="DL98" s="31"/>
      <c r="DM98" s="31"/>
      <c r="DN98" s="31"/>
      <c r="DO98" s="31"/>
      <c r="DP98" s="31"/>
      <c r="DQ98" s="31"/>
      <c r="DR98" s="31"/>
      <c r="DS98" s="31"/>
      <c r="DT98" s="31"/>
      <c r="DU98" s="31"/>
      <c r="DV98" s="31"/>
      <c r="DW98" s="31"/>
      <c r="DX98" s="31"/>
      <c r="DY98" s="31"/>
      <c r="DZ98" s="31"/>
      <c r="EA98" s="31"/>
      <c r="EB98" s="31"/>
      <c r="EC98" s="31"/>
      <c r="ED98" s="31"/>
      <c r="EE98" s="31"/>
      <c r="EF98" s="31"/>
      <c r="EG98" s="31"/>
      <c r="EH98" s="31"/>
      <c r="EI98" s="31"/>
      <c r="EJ98" s="31"/>
      <c r="EK98" s="31"/>
      <c r="EL98" s="31"/>
      <c r="EM98" s="31"/>
      <c r="EN98" s="31"/>
      <c r="EO98" s="31"/>
      <c r="EP98" s="31"/>
      <c r="EQ98" s="31"/>
      <c r="ER98" s="31"/>
      <c r="ES98" s="31"/>
      <c r="ET98" s="31"/>
      <c r="EU98" s="31"/>
      <c r="EV98" s="31"/>
      <c r="EW98" s="31"/>
      <c r="EX98" s="31"/>
      <c r="EY98" s="31"/>
      <c r="EZ98" s="31"/>
      <c r="FA98" s="31"/>
      <c r="FB98" s="31"/>
      <c r="FC98" s="31"/>
      <c r="FD98" s="31"/>
      <c r="FE98" s="31"/>
      <c r="FF98" s="31"/>
      <c r="FG98" s="31"/>
      <c r="FH98" s="31"/>
      <c r="FI98" s="31"/>
      <c r="FJ98" s="31"/>
      <c r="FK98" s="31"/>
      <c r="FL98" s="31"/>
      <c r="FM98" s="31"/>
      <c r="FN98" s="31"/>
      <c r="FO98" s="31"/>
      <c r="FP98" s="31"/>
      <c r="FQ98" s="31"/>
      <c r="FR98" s="31"/>
      <c r="FS98" s="31"/>
      <c r="FT98" s="31"/>
      <c r="FU98" s="31"/>
      <c r="FV98" s="31"/>
      <c r="FW98" s="31"/>
      <c r="FX98" s="31"/>
      <c r="FY98" s="31"/>
      <c r="FZ98" s="31"/>
      <c r="GA98" s="31"/>
      <c r="GB98" s="31"/>
      <c r="GC98" s="31"/>
      <c r="GD98" s="31"/>
      <c r="GE98" s="31"/>
      <c r="GF98" s="31"/>
      <c r="GG98" s="31"/>
      <c r="GH98" s="31"/>
      <c r="GI98" s="31"/>
      <c r="GJ98" s="31"/>
      <c r="GK98" s="31"/>
      <c r="GL98" s="31"/>
      <c r="GM98" s="31"/>
      <c r="GN98" s="31"/>
      <c r="GO98" s="31"/>
      <c r="GP98" s="31"/>
      <c r="GQ98" s="31"/>
      <c r="GR98" s="31"/>
      <c r="GS98" s="31"/>
      <c r="GT98" s="31"/>
      <c r="GU98" s="31"/>
      <c r="GV98" s="31"/>
      <c r="GW98" s="31"/>
      <c r="GX98" s="31"/>
      <c r="GY98" s="31"/>
      <c r="GZ98" s="31"/>
      <c r="HA98" s="31"/>
      <c r="HB98" s="31"/>
      <c r="HC98" s="31"/>
      <c r="HD98" s="31"/>
      <c r="HE98" s="31"/>
      <c r="HF98" s="31"/>
      <c r="HG98" s="31"/>
      <c r="HH98" s="31"/>
      <c r="HI98" s="31"/>
      <c r="HJ98" s="31"/>
      <c r="HK98" s="31"/>
      <c r="HL98" s="31"/>
      <c r="HM98" s="31"/>
      <c r="HN98" s="31"/>
      <c r="HO98" s="31"/>
      <c r="HP98" s="31"/>
      <c r="HQ98" s="31"/>
      <c r="HR98" s="31"/>
      <c r="HS98" s="31"/>
      <c r="HT98" s="31"/>
      <c r="HU98" s="31"/>
      <c r="HV98" s="31"/>
      <c r="HW98" s="31"/>
      <c r="HX98" s="31"/>
      <c r="HY98" s="31"/>
      <c r="HZ98" s="31"/>
      <c r="IA98" s="31"/>
      <c r="IB98" s="31"/>
      <c r="IC98" s="31"/>
      <c r="ID98" s="31"/>
      <c r="IE98" s="31"/>
      <c r="IF98" s="31"/>
      <c r="IG98" s="31"/>
      <c r="IH98" s="31"/>
      <c r="II98" s="31"/>
      <c r="IJ98" s="31"/>
      <c r="IK98" s="31"/>
      <c r="IL98" s="31"/>
      <c r="IM98" s="31"/>
      <c r="IN98" s="31"/>
      <c r="IO98" s="31"/>
      <c r="IP98" s="31"/>
      <c r="IQ98" s="31"/>
      <c r="IR98" s="31"/>
      <c r="IS98" s="31"/>
      <c r="IT98" s="31"/>
      <c r="IU98" s="31"/>
      <c r="IV98" s="31"/>
    </row>
    <row r="99" spans="1:256" x14ac:dyDescent="0.25">
      <c r="K99" s="41"/>
    </row>
    <row r="100" spans="1:256" x14ac:dyDescent="0.25">
      <c r="K100" s="41"/>
    </row>
    <row r="101" spans="1:256" x14ac:dyDescent="0.25">
      <c r="K101" s="41"/>
    </row>
    <row r="102" spans="1:256" x14ac:dyDescent="0.25">
      <c r="A102" s="56"/>
      <c r="B102" s="55"/>
      <c r="C102" s="55"/>
      <c r="D102" s="54"/>
      <c r="E102" s="54"/>
      <c r="F102" s="54"/>
      <c r="G102" s="54"/>
      <c r="H102" s="54"/>
      <c r="I102" s="54"/>
      <c r="J102" s="54"/>
      <c r="K102" s="54"/>
      <c r="L102" s="54"/>
      <c r="M102" s="57"/>
      <c r="N102" s="53"/>
      <c r="O102" s="54"/>
      <c r="P102" s="58"/>
      <c r="Q102" s="57"/>
    </row>
    <row r="103" spans="1:256" x14ac:dyDescent="0.25">
      <c r="K103" s="41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  <c r="AZ103" s="31"/>
      <c r="BA103" s="31"/>
      <c r="BB103" s="31"/>
      <c r="BC103" s="31"/>
      <c r="BD103" s="31"/>
      <c r="BE103" s="31"/>
      <c r="BF103" s="31"/>
      <c r="BG103" s="31"/>
      <c r="BH103" s="31"/>
      <c r="BI103" s="31"/>
      <c r="BJ103" s="31"/>
      <c r="BK103" s="31"/>
      <c r="BL103" s="31"/>
      <c r="BM103" s="31"/>
      <c r="BN103" s="31"/>
      <c r="BO103" s="31"/>
      <c r="BP103" s="31"/>
      <c r="BQ103" s="31"/>
      <c r="BR103" s="31"/>
      <c r="BS103" s="31"/>
      <c r="BT103" s="31"/>
      <c r="BU103" s="31"/>
      <c r="BV103" s="31"/>
      <c r="BW103" s="31"/>
      <c r="BX103" s="31"/>
      <c r="BY103" s="31"/>
      <c r="BZ103" s="31"/>
      <c r="CA103" s="31"/>
      <c r="CB103" s="31"/>
      <c r="CC103" s="31"/>
      <c r="CD103" s="31"/>
      <c r="CE103" s="31"/>
      <c r="CF103" s="31"/>
      <c r="CG103" s="31"/>
      <c r="CH103" s="31"/>
      <c r="CI103" s="31"/>
      <c r="CJ103" s="31"/>
      <c r="CK103" s="31"/>
      <c r="CL103" s="31"/>
      <c r="CM103" s="31"/>
      <c r="CN103" s="31"/>
      <c r="CO103" s="31"/>
      <c r="CP103" s="31"/>
      <c r="CQ103" s="31"/>
      <c r="CR103" s="31"/>
      <c r="CS103" s="31"/>
      <c r="CT103" s="31"/>
      <c r="CU103" s="31"/>
      <c r="CV103" s="31"/>
      <c r="CW103" s="31"/>
      <c r="CX103" s="31"/>
      <c r="CY103" s="31"/>
      <c r="CZ103" s="31"/>
      <c r="DA103" s="31"/>
      <c r="DB103" s="31"/>
      <c r="DC103" s="31"/>
      <c r="DD103" s="31"/>
      <c r="DE103" s="31"/>
      <c r="DF103" s="31"/>
      <c r="DG103" s="31"/>
      <c r="DH103" s="31"/>
      <c r="DI103" s="31"/>
      <c r="DJ103" s="31"/>
      <c r="DK103" s="31"/>
      <c r="DL103" s="31"/>
      <c r="DM103" s="31"/>
      <c r="DN103" s="31"/>
      <c r="DO103" s="31"/>
      <c r="DP103" s="31"/>
      <c r="DQ103" s="31"/>
      <c r="DR103" s="31"/>
      <c r="DS103" s="31"/>
      <c r="DT103" s="31"/>
      <c r="DU103" s="31"/>
      <c r="DV103" s="31"/>
      <c r="DW103" s="31"/>
      <c r="DX103" s="31"/>
      <c r="DY103" s="31"/>
      <c r="DZ103" s="31"/>
      <c r="EA103" s="31"/>
      <c r="EB103" s="31"/>
      <c r="EC103" s="31"/>
      <c r="ED103" s="31"/>
      <c r="EE103" s="31"/>
      <c r="EF103" s="31"/>
      <c r="EG103" s="31"/>
      <c r="EH103" s="31"/>
      <c r="EI103" s="31"/>
      <c r="EJ103" s="31"/>
      <c r="EK103" s="31"/>
      <c r="EL103" s="31"/>
      <c r="EM103" s="31"/>
      <c r="EN103" s="31"/>
      <c r="EO103" s="31"/>
      <c r="EP103" s="31"/>
      <c r="EQ103" s="31"/>
      <c r="ER103" s="31"/>
      <c r="ES103" s="31"/>
      <c r="ET103" s="31"/>
      <c r="EU103" s="31"/>
      <c r="EV103" s="31"/>
      <c r="EW103" s="31"/>
      <c r="EX103" s="31"/>
      <c r="EY103" s="31"/>
      <c r="EZ103" s="31"/>
      <c r="FA103" s="31"/>
      <c r="FB103" s="31"/>
      <c r="FC103" s="31"/>
      <c r="FD103" s="31"/>
      <c r="FE103" s="31"/>
      <c r="FF103" s="31"/>
      <c r="FG103" s="31"/>
      <c r="FH103" s="31"/>
      <c r="FI103" s="31"/>
      <c r="FJ103" s="31"/>
      <c r="FK103" s="31"/>
      <c r="FL103" s="31"/>
      <c r="FM103" s="31"/>
      <c r="FN103" s="31"/>
      <c r="FO103" s="31"/>
      <c r="FP103" s="31"/>
      <c r="FQ103" s="31"/>
      <c r="FR103" s="31"/>
      <c r="FS103" s="31"/>
      <c r="FT103" s="31"/>
      <c r="FU103" s="31"/>
      <c r="FV103" s="31"/>
      <c r="FW103" s="31"/>
      <c r="FX103" s="31"/>
      <c r="FY103" s="31"/>
      <c r="FZ103" s="31"/>
      <c r="GA103" s="31"/>
      <c r="GB103" s="31"/>
      <c r="GC103" s="31"/>
      <c r="GD103" s="31"/>
      <c r="GE103" s="31"/>
      <c r="GF103" s="31"/>
      <c r="GG103" s="31"/>
      <c r="GH103" s="31"/>
      <c r="GI103" s="31"/>
      <c r="GJ103" s="31"/>
      <c r="GK103" s="31"/>
      <c r="GL103" s="31"/>
      <c r="GM103" s="31"/>
      <c r="GN103" s="31"/>
      <c r="GO103" s="31"/>
      <c r="GP103" s="31"/>
      <c r="GQ103" s="31"/>
      <c r="GR103" s="31"/>
      <c r="GS103" s="31"/>
      <c r="GT103" s="31"/>
      <c r="GU103" s="31"/>
      <c r="GV103" s="31"/>
      <c r="GW103" s="31"/>
      <c r="GX103" s="31"/>
      <c r="GY103" s="31"/>
      <c r="GZ103" s="31"/>
      <c r="HA103" s="31"/>
      <c r="HB103" s="31"/>
      <c r="HC103" s="31"/>
      <c r="HD103" s="31"/>
      <c r="HE103" s="31"/>
      <c r="HF103" s="31"/>
      <c r="HG103" s="31"/>
      <c r="HH103" s="31"/>
      <c r="HI103" s="31"/>
      <c r="HJ103" s="31"/>
      <c r="HK103" s="31"/>
      <c r="HL103" s="31"/>
      <c r="HM103" s="31"/>
      <c r="HN103" s="31"/>
      <c r="HO103" s="31"/>
      <c r="HP103" s="31"/>
      <c r="HQ103" s="31"/>
      <c r="HR103" s="31"/>
      <c r="HS103" s="31"/>
      <c r="HT103" s="31"/>
      <c r="HU103" s="31"/>
      <c r="HV103" s="31"/>
      <c r="HW103" s="31"/>
      <c r="HX103" s="31"/>
      <c r="HY103" s="31"/>
      <c r="HZ103" s="31"/>
      <c r="IA103" s="31"/>
      <c r="IB103" s="31"/>
      <c r="IC103" s="31"/>
      <c r="ID103" s="31"/>
      <c r="IE103" s="31"/>
      <c r="IF103" s="31"/>
      <c r="IG103" s="31"/>
      <c r="IH103" s="31"/>
      <c r="II103" s="31"/>
      <c r="IJ103" s="31"/>
      <c r="IK103" s="31"/>
      <c r="IL103" s="31"/>
      <c r="IM103" s="31"/>
      <c r="IN103" s="31"/>
      <c r="IO103" s="31"/>
      <c r="IP103" s="31"/>
      <c r="IQ103" s="31"/>
      <c r="IR103" s="31"/>
      <c r="IS103" s="31"/>
      <c r="IT103" s="31"/>
      <c r="IU103" s="31"/>
      <c r="IV103" s="31"/>
    </row>
    <row r="104" spans="1:256" x14ac:dyDescent="0.25">
      <c r="K104" s="41"/>
    </row>
    <row r="105" spans="1:256" x14ac:dyDescent="0.25">
      <c r="A105" s="18"/>
      <c r="B105" s="19"/>
      <c r="C105" s="19"/>
      <c r="D105" s="19"/>
      <c r="E105" s="19"/>
      <c r="F105" s="39"/>
      <c r="G105" s="19"/>
      <c r="H105" s="19"/>
      <c r="I105" s="19"/>
      <c r="J105" s="19"/>
      <c r="K105" s="19"/>
      <c r="L105" s="19"/>
      <c r="M105" s="18"/>
      <c r="N105" s="18"/>
      <c r="O105" s="18"/>
      <c r="P105" s="18"/>
      <c r="Q105" s="18"/>
    </row>
    <row r="106" spans="1:256" x14ac:dyDescent="0.25">
      <c r="A106" s="18"/>
      <c r="B106" s="19"/>
      <c r="C106" s="19"/>
      <c r="D106" s="19"/>
      <c r="E106" s="19"/>
      <c r="F106" s="39"/>
      <c r="G106" s="19"/>
      <c r="H106" s="19"/>
      <c r="I106" s="19"/>
      <c r="J106" s="19"/>
      <c r="K106" s="19"/>
      <c r="L106" s="19"/>
      <c r="M106" s="18"/>
      <c r="N106" s="18"/>
      <c r="O106" s="18"/>
      <c r="P106" s="18"/>
      <c r="Q106" s="18"/>
    </row>
    <row r="107" spans="1:256" x14ac:dyDescent="0.25">
      <c r="R107" s="18"/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  <c r="AH107" s="18"/>
      <c r="AI107" s="18"/>
      <c r="AJ107" s="18"/>
      <c r="AK107" s="18"/>
      <c r="AL107" s="18"/>
      <c r="AM107" s="18"/>
      <c r="AN107" s="18"/>
      <c r="AO107" s="18"/>
      <c r="AP107" s="18"/>
      <c r="AQ107" s="18"/>
      <c r="AR107" s="18"/>
      <c r="AS107" s="18"/>
      <c r="AT107" s="18"/>
      <c r="AU107" s="18"/>
      <c r="AV107" s="18"/>
      <c r="AW107" s="18"/>
      <c r="AX107" s="18"/>
      <c r="AY107" s="18"/>
      <c r="AZ107" s="18"/>
      <c r="BA107" s="18"/>
      <c r="BB107" s="18"/>
      <c r="BC107" s="18"/>
      <c r="BD107" s="18"/>
      <c r="BE107" s="18"/>
      <c r="BF107" s="18"/>
      <c r="BG107" s="18"/>
      <c r="BH107" s="18"/>
      <c r="BI107" s="18"/>
      <c r="BJ107" s="18"/>
      <c r="BK107" s="18"/>
      <c r="BL107" s="18"/>
      <c r="BM107" s="18"/>
      <c r="BN107" s="18"/>
      <c r="BO107" s="18"/>
      <c r="BP107" s="18"/>
      <c r="BQ107" s="18"/>
      <c r="BR107" s="18"/>
      <c r="BS107" s="18"/>
      <c r="BT107" s="18"/>
      <c r="BU107" s="18"/>
      <c r="BV107" s="18"/>
      <c r="BW107" s="18"/>
      <c r="BX107" s="18"/>
      <c r="BY107" s="18"/>
      <c r="BZ107" s="18"/>
      <c r="CA107" s="18"/>
      <c r="CB107" s="18"/>
      <c r="CC107" s="18"/>
      <c r="CD107" s="18"/>
      <c r="CE107" s="18"/>
      <c r="CF107" s="18"/>
      <c r="CG107" s="18"/>
      <c r="CH107" s="18"/>
      <c r="CI107" s="18"/>
      <c r="CJ107" s="18"/>
      <c r="CK107" s="18"/>
      <c r="CL107" s="18"/>
      <c r="CM107" s="18"/>
      <c r="CN107" s="18"/>
      <c r="CO107" s="18"/>
      <c r="CP107" s="18"/>
      <c r="CQ107" s="18"/>
      <c r="CR107" s="18"/>
      <c r="CS107" s="18"/>
      <c r="CT107" s="18"/>
      <c r="CU107" s="18"/>
      <c r="CV107" s="18"/>
      <c r="CW107" s="18"/>
      <c r="CX107" s="18"/>
      <c r="CY107" s="18"/>
      <c r="CZ107" s="18"/>
      <c r="DA107" s="18"/>
      <c r="DB107" s="18"/>
      <c r="DC107" s="18"/>
      <c r="DD107" s="18"/>
      <c r="DE107" s="18"/>
      <c r="DF107" s="18"/>
      <c r="DG107" s="18"/>
      <c r="DH107" s="18"/>
      <c r="DI107" s="18"/>
      <c r="DJ107" s="18"/>
      <c r="DK107" s="18"/>
      <c r="DL107" s="18"/>
      <c r="DM107" s="18"/>
      <c r="DN107" s="18"/>
      <c r="DO107" s="18"/>
      <c r="DP107" s="18"/>
      <c r="DQ107" s="18"/>
      <c r="DR107" s="18"/>
      <c r="DS107" s="18"/>
      <c r="DT107" s="18"/>
      <c r="DU107" s="18"/>
      <c r="DV107" s="18"/>
      <c r="DW107" s="18"/>
      <c r="DX107" s="18"/>
      <c r="DY107" s="18"/>
      <c r="DZ107" s="18"/>
      <c r="EA107" s="18"/>
      <c r="EB107" s="18"/>
      <c r="EC107" s="18"/>
      <c r="ED107" s="18"/>
      <c r="EE107" s="18"/>
      <c r="EF107" s="18"/>
      <c r="EG107" s="18"/>
      <c r="EH107" s="18"/>
      <c r="EI107" s="18"/>
      <c r="EJ107" s="18"/>
      <c r="EK107" s="18"/>
      <c r="EL107" s="18"/>
      <c r="EM107" s="18"/>
      <c r="EN107" s="18"/>
      <c r="EO107" s="18"/>
      <c r="EP107" s="18"/>
      <c r="EQ107" s="18"/>
      <c r="ER107" s="18"/>
      <c r="ES107" s="18"/>
      <c r="ET107" s="18"/>
      <c r="EU107" s="18"/>
      <c r="EV107" s="18"/>
      <c r="EW107" s="18"/>
      <c r="EX107" s="18"/>
      <c r="EY107" s="18"/>
      <c r="EZ107" s="18"/>
      <c r="FA107" s="18"/>
      <c r="FB107" s="18"/>
      <c r="FC107" s="18"/>
      <c r="FD107" s="18"/>
      <c r="FE107" s="18"/>
      <c r="FF107" s="18"/>
      <c r="FG107" s="18"/>
      <c r="FH107" s="18"/>
      <c r="FI107" s="18"/>
      <c r="FJ107" s="18"/>
      <c r="FK107" s="18"/>
      <c r="FL107" s="18"/>
      <c r="FM107" s="18"/>
      <c r="FN107" s="18"/>
      <c r="FO107" s="18"/>
      <c r="FP107" s="18"/>
      <c r="FQ107" s="18"/>
      <c r="FR107" s="18"/>
      <c r="FS107" s="18"/>
      <c r="FT107" s="18"/>
      <c r="FU107" s="18"/>
      <c r="FV107" s="18"/>
      <c r="FW107" s="18"/>
      <c r="FX107" s="18"/>
      <c r="FY107" s="18"/>
      <c r="FZ107" s="18"/>
      <c r="GA107" s="18"/>
      <c r="GB107" s="18"/>
      <c r="GC107" s="18"/>
      <c r="GD107" s="18"/>
      <c r="GE107" s="18"/>
      <c r="GF107" s="18"/>
      <c r="GG107" s="18"/>
      <c r="GH107" s="18"/>
      <c r="GI107" s="18"/>
      <c r="GJ107" s="18"/>
      <c r="GK107" s="18"/>
      <c r="GL107" s="18"/>
      <c r="GM107" s="18"/>
      <c r="GN107" s="18"/>
      <c r="GO107" s="18"/>
      <c r="GP107" s="18"/>
      <c r="GQ107" s="18"/>
      <c r="GR107" s="18"/>
      <c r="GS107" s="18"/>
      <c r="GT107" s="18"/>
      <c r="GU107" s="18"/>
      <c r="GV107" s="18"/>
      <c r="GW107" s="18"/>
      <c r="GX107" s="18"/>
      <c r="GY107" s="18"/>
      <c r="GZ107" s="18"/>
      <c r="HA107" s="18"/>
      <c r="HB107" s="18"/>
      <c r="HC107" s="18"/>
      <c r="HD107" s="18"/>
      <c r="HE107" s="18"/>
      <c r="HF107" s="18"/>
      <c r="HG107" s="18"/>
      <c r="HH107" s="18"/>
      <c r="HI107" s="18"/>
      <c r="HJ107" s="18"/>
      <c r="HK107" s="18"/>
      <c r="HL107" s="18"/>
      <c r="HM107" s="18"/>
      <c r="HN107" s="18"/>
      <c r="HO107" s="18"/>
      <c r="HP107" s="18"/>
      <c r="HQ107" s="18"/>
      <c r="HR107" s="18"/>
      <c r="HS107" s="18"/>
      <c r="HT107" s="18"/>
      <c r="HU107" s="18"/>
      <c r="HV107" s="18"/>
      <c r="HW107" s="18"/>
      <c r="HX107" s="18"/>
      <c r="HY107" s="18"/>
      <c r="HZ107" s="18"/>
      <c r="IA107" s="18"/>
      <c r="IB107" s="18"/>
      <c r="IC107" s="18"/>
      <c r="ID107" s="18"/>
      <c r="IE107" s="18"/>
      <c r="IF107" s="18"/>
      <c r="IG107" s="18"/>
      <c r="IH107" s="18"/>
      <c r="II107" s="18"/>
      <c r="IJ107" s="18"/>
      <c r="IK107" s="18"/>
      <c r="IL107" s="18"/>
      <c r="IM107" s="18"/>
      <c r="IN107" s="18"/>
      <c r="IO107" s="18"/>
      <c r="IP107" s="18"/>
      <c r="IQ107" s="18"/>
      <c r="IR107" s="18"/>
      <c r="IS107" s="18"/>
      <c r="IT107" s="18"/>
      <c r="IU107" s="18"/>
      <c r="IV107" s="18"/>
    </row>
    <row r="108" spans="1:256" x14ac:dyDescent="0.25">
      <c r="A108" s="18"/>
      <c r="B108" s="36"/>
      <c r="C108" s="36"/>
      <c r="D108" s="36"/>
      <c r="E108" s="36"/>
      <c r="F108" s="36"/>
      <c r="G108" s="36"/>
      <c r="H108" s="36"/>
      <c r="I108" s="36"/>
      <c r="J108" s="36"/>
      <c r="K108" s="19"/>
      <c r="L108" s="19"/>
      <c r="M108" s="19"/>
      <c r="N108" s="18"/>
      <c r="O108" s="18"/>
      <c r="P108" s="18"/>
      <c r="Q108" s="18"/>
      <c r="R108" s="31"/>
      <c r="S108" s="31"/>
      <c r="T108" s="31"/>
      <c r="U108" s="31"/>
      <c r="V108" s="31"/>
      <c r="W108" s="31"/>
      <c r="X108" s="31"/>
      <c r="Y108" s="31"/>
      <c r="Z108" s="31"/>
      <c r="AA108" s="31"/>
      <c r="AB108" s="31"/>
      <c r="AC108" s="31"/>
      <c r="AD108" s="31"/>
      <c r="AE108" s="31"/>
      <c r="AF108" s="31"/>
      <c r="AG108" s="31"/>
      <c r="AH108" s="31"/>
      <c r="AI108" s="31"/>
      <c r="AJ108" s="31"/>
      <c r="AK108" s="31"/>
      <c r="AL108" s="31"/>
      <c r="AM108" s="31"/>
      <c r="AN108" s="31"/>
      <c r="AO108" s="31"/>
      <c r="AP108" s="31"/>
      <c r="AQ108" s="31"/>
      <c r="AR108" s="31"/>
      <c r="AS108" s="31"/>
      <c r="AT108" s="31"/>
      <c r="AU108" s="31"/>
      <c r="AV108" s="31"/>
      <c r="AW108" s="31"/>
      <c r="AX108" s="31"/>
      <c r="AY108" s="31"/>
      <c r="AZ108" s="31"/>
      <c r="BA108" s="31"/>
      <c r="BB108" s="31"/>
      <c r="BC108" s="31"/>
      <c r="BD108" s="31"/>
      <c r="BE108" s="31"/>
      <c r="BF108" s="31"/>
      <c r="BG108" s="31"/>
      <c r="BH108" s="31"/>
      <c r="BI108" s="31"/>
      <c r="BJ108" s="31"/>
      <c r="BK108" s="31"/>
      <c r="BL108" s="31"/>
      <c r="BM108" s="31"/>
      <c r="BN108" s="31"/>
      <c r="BO108" s="31"/>
      <c r="BP108" s="31"/>
      <c r="BQ108" s="31"/>
      <c r="BR108" s="31"/>
      <c r="BS108" s="31"/>
      <c r="BT108" s="31"/>
      <c r="BU108" s="31"/>
      <c r="BV108" s="31"/>
      <c r="BW108" s="31"/>
      <c r="BX108" s="31"/>
      <c r="BY108" s="31"/>
      <c r="BZ108" s="31"/>
      <c r="CA108" s="31"/>
      <c r="CB108" s="31"/>
      <c r="CC108" s="31"/>
      <c r="CD108" s="31"/>
      <c r="CE108" s="31"/>
      <c r="CF108" s="31"/>
      <c r="CG108" s="31"/>
      <c r="CH108" s="31"/>
      <c r="CI108" s="31"/>
      <c r="CJ108" s="31"/>
      <c r="CK108" s="31"/>
      <c r="CL108" s="31"/>
      <c r="CM108" s="31"/>
      <c r="CN108" s="31"/>
      <c r="CO108" s="31"/>
      <c r="CP108" s="31"/>
      <c r="CQ108" s="31"/>
      <c r="CR108" s="31"/>
      <c r="CS108" s="31"/>
      <c r="CT108" s="31"/>
      <c r="CU108" s="31"/>
      <c r="CV108" s="31"/>
      <c r="CW108" s="31"/>
      <c r="CX108" s="31"/>
      <c r="CY108" s="31"/>
      <c r="CZ108" s="31"/>
      <c r="DA108" s="31"/>
      <c r="DB108" s="31"/>
      <c r="DC108" s="31"/>
      <c r="DD108" s="31"/>
      <c r="DE108" s="31"/>
      <c r="DF108" s="31"/>
      <c r="DG108" s="31"/>
      <c r="DH108" s="31"/>
      <c r="DI108" s="31"/>
      <c r="DJ108" s="31"/>
      <c r="DK108" s="31"/>
      <c r="DL108" s="31"/>
      <c r="DM108" s="31"/>
      <c r="DN108" s="31"/>
      <c r="DO108" s="31"/>
      <c r="DP108" s="31"/>
      <c r="DQ108" s="31"/>
      <c r="DR108" s="31"/>
      <c r="DS108" s="31"/>
      <c r="DT108" s="31"/>
      <c r="DU108" s="31"/>
      <c r="DV108" s="31"/>
      <c r="DW108" s="31"/>
      <c r="DX108" s="31"/>
      <c r="DY108" s="31"/>
      <c r="DZ108" s="31"/>
      <c r="EA108" s="31"/>
      <c r="EB108" s="31"/>
      <c r="EC108" s="31"/>
      <c r="ED108" s="31"/>
      <c r="EE108" s="31"/>
      <c r="EF108" s="31"/>
      <c r="EG108" s="31"/>
      <c r="EH108" s="31"/>
      <c r="EI108" s="31"/>
      <c r="EJ108" s="31"/>
      <c r="EK108" s="31"/>
      <c r="EL108" s="31"/>
      <c r="EM108" s="31"/>
      <c r="EN108" s="31"/>
      <c r="EO108" s="31"/>
      <c r="EP108" s="31"/>
      <c r="EQ108" s="31"/>
      <c r="ER108" s="31"/>
      <c r="ES108" s="31"/>
      <c r="ET108" s="31"/>
      <c r="EU108" s="31"/>
      <c r="EV108" s="31"/>
      <c r="EW108" s="31"/>
      <c r="EX108" s="31"/>
      <c r="EY108" s="31"/>
      <c r="EZ108" s="31"/>
      <c r="FA108" s="31"/>
      <c r="FB108" s="31"/>
      <c r="FC108" s="31"/>
      <c r="FD108" s="31"/>
      <c r="FE108" s="31"/>
      <c r="FF108" s="31"/>
      <c r="FG108" s="31"/>
      <c r="FH108" s="31"/>
      <c r="FI108" s="31"/>
      <c r="FJ108" s="31"/>
      <c r="FK108" s="31"/>
      <c r="FL108" s="31"/>
      <c r="FM108" s="31"/>
      <c r="FN108" s="31"/>
      <c r="FO108" s="31"/>
      <c r="FP108" s="31"/>
      <c r="FQ108" s="31"/>
      <c r="FR108" s="31"/>
      <c r="FS108" s="31"/>
      <c r="FT108" s="31"/>
      <c r="FU108" s="31"/>
      <c r="FV108" s="31"/>
      <c r="FW108" s="31"/>
      <c r="FX108" s="31"/>
      <c r="FY108" s="31"/>
      <c r="FZ108" s="31"/>
      <c r="GA108" s="31"/>
      <c r="GB108" s="31"/>
      <c r="GC108" s="31"/>
      <c r="GD108" s="31"/>
      <c r="GE108" s="31"/>
      <c r="GF108" s="31"/>
      <c r="GG108" s="31"/>
      <c r="GH108" s="31"/>
      <c r="GI108" s="31"/>
      <c r="GJ108" s="31"/>
      <c r="GK108" s="31"/>
      <c r="GL108" s="31"/>
      <c r="GM108" s="31"/>
      <c r="GN108" s="31"/>
      <c r="GO108" s="31"/>
      <c r="GP108" s="31"/>
      <c r="GQ108" s="31"/>
      <c r="GR108" s="31"/>
      <c r="GS108" s="31"/>
      <c r="GT108" s="31"/>
      <c r="GU108" s="31"/>
      <c r="GV108" s="31"/>
      <c r="GW108" s="31"/>
      <c r="GX108" s="31"/>
      <c r="GY108" s="31"/>
      <c r="GZ108" s="31"/>
      <c r="HA108" s="31"/>
      <c r="HB108" s="31"/>
      <c r="HC108" s="31"/>
      <c r="HD108" s="31"/>
      <c r="HE108" s="31"/>
      <c r="HF108" s="31"/>
      <c r="HG108" s="31"/>
      <c r="HH108" s="31"/>
      <c r="HI108" s="31"/>
      <c r="HJ108" s="31"/>
      <c r="HK108" s="31"/>
      <c r="HL108" s="31"/>
      <c r="HM108" s="31"/>
      <c r="HN108" s="31"/>
      <c r="HO108" s="31"/>
      <c r="HP108" s="31"/>
      <c r="HQ108" s="31"/>
      <c r="HR108" s="31"/>
      <c r="HS108" s="31"/>
      <c r="HT108" s="31"/>
      <c r="HU108" s="31"/>
      <c r="HV108" s="31"/>
      <c r="HW108" s="31"/>
      <c r="HX108" s="31"/>
      <c r="HY108" s="31"/>
      <c r="HZ108" s="31"/>
      <c r="IA108" s="31"/>
      <c r="IB108" s="31"/>
      <c r="IC108" s="31"/>
      <c r="ID108" s="31"/>
      <c r="IE108" s="31"/>
      <c r="IF108" s="31"/>
      <c r="IG108" s="31"/>
      <c r="IH108" s="31"/>
      <c r="II108" s="31"/>
      <c r="IJ108" s="31"/>
      <c r="IK108" s="31"/>
      <c r="IL108" s="31"/>
      <c r="IM108" s="31"/>
      <c r="IN108" s="31"/>
      <c r="IO108" s="31"/>
      <c r="IP108" s="31"/>
      <c r="IQ108" s="31"/>
      <c r="IR108" s="31"/>
      <c r="IS108" s="31"/>
      <c r="IT108" s="31"/>
      <c r="IU108" s="31"/>
      <c r="IV108" s="31"/>
    </row>
    <row r="109" spans="1:256" x14ac:dyDescent="0.25">
      <c r="A109" s="18"/>
      <c r="B109" s="36"/>
      <c r="C109" s="36"/>
      <c r="D109" s="36"/>
      <c r="E109" s="36"/>
      <c r="F109" s="36"/>
      <c r="G109" s="36"/>
      <c r="H109" s="36"/>
      <c r="I109" s="36"/>
      <c r="J109" s="36"/>
      <c r="K109" s="19"/>
      <c r="L109" s="19"/>
      <c r="M109" s="19"/>
      <c r="N109" s="18"/>
      <c r="O109" s="18"/>
      <c r="P109" s="18"/>
      <c r="Q109" s="18"/>
      <c r="R109" s="31"/>
      <c r="S109" s="31"/>
      <c r="T109" s="31"/>
      <c r="U109" s="31"/>
      <c r="V109" s="31"/>
      <c r="W109" s="31"/>
      <c r="X109" s="31"/>
      <c r="Y109" s="31"/>
      <c r="Z109" s="31"/>
      <c r="AA109" s="31"/>
      <c r="AB109" s="31"/>
      <c r="AC109" s="31"/>
      <c r="AD109" s="31"/>
      <c r="AE109" s="31"/>
      <c r="AF109" s="31"/>
      <c r="AG109" s="31"/>
      <c r="AH109" s="31"/>
      <c r="AI109" s="31"/>
      <c r="AJ109" s="31"/>
      <c r="AK109" s="31"/>
      <c r="AL109" s="31"/>
      <c r="AM109" s="31"/>
      <c r="AN109" s="31"/>
      <c r="AO109" s="31"/>
      <c r="AP109" s="31"/>
      <c r="AQ109" s="31"/>
      <c r="AR109" s="31"/>
      <c r="AS109" s="31"/>
      <c r="AT109" s="31"/>
      <c r="AU109" s="31"/>
      <c r="AV109" s="31"/>
      <c r="AW109" s="31"/>
      <c r="AX109" s="31"/>
      <c r="AY109" s="31"/>
      <c r="AZ109" s="31"/>
      <c r="BA109" s="31"/>
      <c r="BB109" s="31"/>
      <c r="BC109" s="31"/>
      <c r="BD109" s="31"/>
      <c r="BE109" s="31"/>
      <c r="BF109" s="31"/>
      <c r="BG109" s="31"/>
      <c r="BH109" s="31"/>
      <c r="BI109" s="31"/>
      <c r="BJ109" s="31"/>
      <c r="BK109" s="31"/>
      <c r="BL109" s="31"/>
      <c r="BM109" s="31"/>
      <c r="BN109" s="31"/>
      <c r="BO109" s="31"/>
      <c r="BP109" s="31"/>
      <c r="BQ109" s="31"/>
      <c r="BR109" s="31"/>
      <c r="BS109" s="31"/>
      <c r="BT109" s="31"/>
      <c r="BU109" s="31"/>
      <c r="BV109" s="31"/>
      <c r="BW109" s="31"/>
      <c r="BX109" s="31"/>
      <c r="BY109" s="31"/>
      <c r="BZ109" s="31"/>
      <c r="CA109" s="31"/>
      <c r="CB109" s="31"/>
      <c r="CC109" s="31"/>
      <c r="CD109" s="31"/>
      <c r="CE109" s="31"/>
      <c r="CF109" s="31"/>
      <c r="CG109" s="31"/>
      <c r="CH109" s="31"/>
      <c r="CI109" s="31"/>
      <c r="CJ109" s="31"/>
      <c r="CK109" s="31"/>
      <c r="CL109" s="31"/>
      <c r="CM109" s="31"/>
      <c r="CN109" s="31"/>
      <c r="CO109" s="31"/>
      <c r="CP109" s="31"/>
      <c r="CQ109" s="31"/>
      <c r="CR109" s="31"/>
      <c r="CS109" s="31"/>
      <c r="CT109" s="31"/>
      <c r="CU109" s="31"/>
      <c r="CV109" s="31"/>
      <c r="CW109" s="31"/>
      <c r="CX109" s="31"/>
      <c r="CY109" s="31"/>
      <c r="CZ109" s="31"/>
      <c r="DA109" s="31"/>
      <c r="DB109" s="31"/>
      <c r="DC109" s="31"/>
      <c r="DD109" s="31"/>
      <c r="DE109" s="31"/>
      <c r="DF109" s="31"/>
      <c r="DG109" s="31"/>
      <c r="DH109" s="31"/>
      <c r="DI109" s="31"/>
      <c r="DJ109" s="31"/>
      <c r="DK109" s="31"/>
      <c r="DL109" s="31"/>
      <c r="DM109" s="31"/>
      <c r="DN109" s="31"/>
      <c r="DO109" s="31"/>
      <c r="DP109" s="31"/>
      <c r="DQ109" s="31"/>
      <c r="DR109" s="31"/>
      <c r="DS109" s="31"/>
      <c r="DT109" s="31"/>
      <c r="DU109" s="31"/>
      <c r="DV109" s="31"/>
      <c r="DW109" s="31"/>
      <c r="DX109" s="31"/>
      <c r="DY109" s="31"/>
      <c r="DZ109" s="31"/>
      <c r="EA109" s="31"/>
      <c r="EB109" s="31"/>
      <c r="EC109" s="31"/>
      <c r="ED109" s="31"/>
      <c r="EE109" s="31"/>
      <c r="EF109" s="31"/>
      <c r="EG109" s="31"/>
      <c r="EH109" s="31"/>
      <c r="EI109" s="31"/>
      <c r="EJ109" s="31"/>
      <c r="EK109" s="31"/>
      <c r="EL109" s="31"/>
      <c r="EM109" s="31"/>
      <c r="EN109" s="31"/>
      <c r="EO109" s="31"/>
      <c r="EP109" s="31"/>
      <c r="EQ109" s="31"/>
      <c r="ER109" s="31"/>
      <c r="ES109" s="31"/>
      <c r="ET109" s="31"/>
      <c r="EU109" s="31"/>
      <c r="EV109" s="31"/>
      <c r="EW109" s="31"/>
      <c r="EX109" s="31"/>
      <c r="EY109" s="31"/>
      <c r="EZ109" s="31"/>
      <c r="FA109" s="31"/>
      <c r="FB109" s="31"/>
      <c r="FC109" s="31"/>
      <c r="FD109" s="31"/>
      <c r="FE109" s="31"/>
      <c r="FF109" s="31"/>
      <c r="FG109" s="31"/>
      <c r="FH109" s="31"/>
      <c r="FI109" s="31"/>
      <c r="FJ109" s="31"/>
      <c r="FK109" s="31"/>
      <c r="FL109" s="31"/>
      <c r="FM109" s="31"/>
      <c r="FN109" s="31"/>
      <c r="FO109" s="31"/>
      <c r="FP109" s="31"/>
      <c r="FQ109" s="31"/>
      <c r="FR109" s="31"/>
      <c r="FS109" s="31"/>
      <c r="FT109" s="31"/>
      <c r="FU109" s="31"/>
      <c r="FV109" s="31"/>
      <c r="FW109" s="31"/>
      <c r="FX109" s="31"/>
      <c r="FY109" s="31"/>
      <c r="FZ109" s="31"/>
      <c r="GA109" s="31"/>
      <c r="GB109" s="31"/>
      <c r="GC109" s="31"/>
      <c r="GD109" s="31"/>
      <c r="GE109" s="31"/>
      <c r="GF109" s="31"/>
      <c r="GG109" s="31"/>
      <c r="GH109" s="31"/>
      <c r="GI109" s="31"/>
      <c r="GJ109" s="31"/>
      <c r="GK109" s="31"/>
      <c r="GL109" s="31"/>
      <c r="GM109" s="31"/>
      <c r="GN109" s="31"/>
      <c r="GO109" s="31"/>
      <c r="GP109" s="31"/>
      <c r="GQ109" s="31"/>
      <c r="GR109" s="31"/>
      <c r="GS109" s="31"/>
      <c r="GT109" s="31"/>
      <c r="GU109" s="31"/>
      <c r="GV109" s="31"/>
      <c r="GW109" s="31"/>
      <c r="GX109" s="31"/>
      <c r="GY109" s="31"/>
      <c r="GZ109" s="31"/>
      <c r="HA109" s="31"/>
      <c r="HB109" s="31"/>
      <c r="HC109" s="31"/>
      <c r="HD109" s="31"/>
      <c r="HE109" s="31"/>
      <c r="HF109" s="31"/>
      <c r="HG109" s="31"/>
      <c r="HH109" s="31"/>
      <c r="HI109" s="31"/>
      <c r="HJ109" s="31"/>
      <c r="HK109" s="31"/>
      <c r="HL109" s="31"/>
      <c r="HM109" s="31"/>
      <c r="HN109" s="31"/>
      <c r="HO109" s="31"/>
      <c r="HP109" s="31"/>
      <c r="HQ109" s="31"/>
      <c r="HR109" s="31"/>
      <c r="HS109" s="31"/>
      <c r="HT109" s="31"/>
      <c r="HU109" s="31"/>
      <c r="HV109" s="31"/>
      <c r="HW109" s="31"/>
      <c r="HX109" s="31"/>
      <c r="HY109" s="31"/>
      <c r="HZ109" s="31"/>
      <c r="IA109" s="31"/>
      <c r="IB109" s="31"/>
      <c r="IC109" s="31"/>
      <c r="ID109" s="31"/>
      <c r="IE109" s="31"/>
      <c r="IF109" s="31"/>
      <c r="IG109" s="31"/>
      <c r="IH109" s="31"/>
      <c r="II109" s="31"/>
      <c r="IJ109" s="31"/>
      <c r="IK109" s="31"/>
      <c r="IL109" s="31"/>
      <c r="IM109" s="31"/>
      <c r="IN109" s="31"/>
      <c r="IO109" s="31"/>
      <c r="IP109" s="31"/>
      <c r="IQ109" s="31"/>
      <c r="IR109" s="31"/>
      <c r="IS109" s="31"/>
      <c r="IT109" s="31"/>
      <c r="IU109" s="31"/>
      <c r="IV109" s="31"/>
    </row>
    <row r="111" spans="1:256" x14ac:dyDescent="0.25">
      <c r="A111" s="29"/>
      <c r="B111" s="35"/>
      <c r="C111" s="35"/>
      <c r="D111" s="37"/>
      <c r="E111" s="37"/>
      <c r="F111" s="36"/>
      <c r="G111" s="36"/>
      <c r="H111" s="36"/>
      <c r="I111" s="36"/>
      <c r="J111" s="36"/>
      <c r="K111" s="33"/>
      <c r="L111" s="33"/>
      <c r="M111" s="19"/>
      <c r="N111" s="18"/>
      <c r="O111" s="33"/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  <c r="AA111" s="31"/>
      <c r="AB111" s="31"/>
      <c r="AC111" s="31"/>
      <c r="AD111" s="31"/>
      <c r="AE111" s="31"/>
      <c r="AF111" s="31"/>
      <c r="AG111" s="31"/>
      <c r="AH111" s="31"/>
      <c r="AI111" s="31"/>
      <c r="AJ111" s="31"/>
      <c r="AK111" s="31"/>
      <c r="AL111" s="31"/>
      <c r="AM111" s="31"/>
      <c r="AN111" s="31"/>
      <c r="AO111" s="31"/>
      <c r="AP111" s="31"/>
      <c r="AQ111" s="31"/>
      <c r="AR111" s="31"/>
      <c r="AS111" s="31"/>
      <c r="AT111" s="31"/>
      <c r="AU111" s="31"/>
      <c r="AV111" s="31"/>
      <c r="AW111" s="31"/>
      <c r="AX111" s="31"/>
      <c r="AY111" s="31"/>
      <c r="AZ111" s="31"/>
      <c r="BA111" s="31"/>
      <c r="BB111" s="31"/>
      <c r="BC111" s="31"/>
      <c r="BD111" s="31"/>
      <c r="BE111" s="31"/>
      <c r="BF111" s="31"/>
      <c r="BG111" s="31"/>
      <c r="BH111" s="31"/>
      <c r="BI111" s="31"/>
      <c r="BJ111" s="31"/>
      <c r="BK111" s="31"/>
      <c r="BL111" s="31"/>
      <c r="BM111" s="31"/>
      <c r="BN111" s="31"/>
      <c r="BO111" s="31"/>
      <c r="BP111" s="31"/>
      <c r="BQ111" s="31"/>
      <c r="BR111" s="31"/>
      <c r="BS111" s="31"/>
      <c r="BT111" s="31"/>
      <c r="BU111" s="31"/>
      <c r="BV111" s="31"/>
      <c r="BW111" s="31"/>
      <c r="BX111" s="31"/>
      <c r="BY111" s="31"/>
      <c r="BZ111" s="31"/>
      <c r="CA111" s="31"/>
      <c r="CB111" s="31"/>
      <c r="CC111" s="31"/>
      <c r="CD111" s="31"/>
      <c r="CE111" s="31"/>
      <c r="CF111" s="31"/>
      <c r="CG111" s="31"/>
      <c r="CH111" s="31"/>
      <c r="CI111" s="31"/>
      <c r="CJ111" s="31"/>
      <c r="CK111" s="31"/>
      <c r="CL111" s="31"/>
      <c r="CM111" s="31"/>
      <c r="CN111" s="31"/>
      <c r="CO111" s="31"/>
      <c r="CP111" s="31"/>
      <c r="CQ111" s="31"/>
      <c r="CR111" s="31"/>
      <c r="CS111" s="31"/>
      <c r="CT111" s="31"/>
      <c r="CU111" s="31"/>
      <c r="CV111" s="31"/>
      <c r="CW111" s="31"/>
      <c r="CX111" s="31"/>
      <c r="CY111" s="31"/>
      <c r="CZ111" s="31"/>
      <c r="DA111" s="31"/>
      <c r="DB111" s="31"/>
      <c r="DC111" s="31"/>
      <c r="DD111" s="31"/>
      <c r="DE111" s="31"/>
      <c r="DF111" s="31"/>
      <c r="DG111" s="31"/>
      <c r="DH111" s="31"/>
      <c r="DI111" s="31"/>
      <c r="DJ111" s="31"/>
      <c r="DK111" s="31"/>
      <c r="DL111" s="31"/>
      <c r="DM111" s="31"/>
      <c r="DN111" s="31"/>
      <c r="DO111" s="31"/>
      <c r="DP111" s="31"/>
      <c r="DQ111" s="31"/>
      <c r="DR111" s="31"/>
      <c r="DS111" s="31"/>
      <c r="DT111" s="31"/>
      <c r="DU111" s="31"/>
      <c r="DV111" s="31"/>
      <c r="DW111" s="31"/>
      <c r="DX111" s="31"/>
      <c r="DY111" s="31"/>
      <c r="DZ111" s="31"/>
      <c r="EA111" s="31"/>
      <c r="EB111" s="31"/>
      <c r="EC111" s="31"/>
      <c r="ED111" s="31"/>
      <c r="EE111" s="31"/>
      <c r="EF111" s="31"/>
      <c r="EG111" s="31"/>
      <c r="EH111" s="31"/>
      <c r="EI111" s="31"/>
      <c r="EJ111" s="31"/>
      <c r="EK111" s="31"/>
      <c r="EL111" s="31"/>
      <c r="EM111" s="31"/>
      <c r="EN111" s="31"/>
      <c r="EO111" s="31"/>
      <c r="EP111" s="31"/>
      <c r="EQ111" s="31"/>
      <c r="ER111" s="31"/>
      <c r="ES111" s="31"/>
      <c r="ET111" s="31"/>
      <c r="EU111" s="31"/>
      <c r="EV111" s="31"/>
      <c r="EW111" s="31"/>
      <c r="EX111" s="31"/>
      <c r="EY111" s="31"/>
      <c r="EZ111" s="31"/>
      <c r="FA111" s="31"/>
      <c r="FB111" s="31"/>
      <c r="FC111" s="31"/>
      <c r="FD111" s="31"/>
      <c r="FE111" s="31"/>
      <c r="FF111" s="31"/>
      <c r="FG111" s="31"/>
      <c r="FH111" s="31"/>
      <c r="FI111" s="31"/>
      <c r="FJ111" s="31"/>
      <c r="FK111" s="31"/>
      <c r="FL111" s="31"/>
      <c r="FM111" s="31"/>
      <c r="FN111" s="31"/>
      <c r="FO111" s="31"/>
      <c r="FP111" s="31"/>
      <c r="FQ111" s="31"/>
      <c r="FR111" s="31"/>
      <c r="FS111" s="31"/>
      <c r="FT111" s="31"/>
      <c r="FU111" s="31"/>
      <c r="FV111" s="31"/>
      <c r="FW111" s="31"/>
      <c r="FX111" s="31"/>
      <c r="FY111" s="31"/>
      <c r="FZ111" s="31"/>
      <c r="GA111" s="31"/>
      <c r="GB111" s="31"/>
      <c r="GC111" s="31"/>
      <c r="GD111" s="31"/>
      <c r="GE111" s="31"/>
      <c r="GF111" s="31"/>
      <c r="GG111" s="31"/>
      <c r="GH111" s="31"/>
      <c r="GI111" s="31"/>
      <c r="GJ111" s="31"/>
      <c r="GK111" s="31"/>
      <c r="GL111" s="31"/>
      <c r="GM111" s="31"/>
      <c r="GN111" s="31"/>
      <c r="GO111" s="31"/>
      <c r="GP111" s="31"/>
      <c r="GQ111" s="31"/>
      <c r="GR111" s="31"/>
      <c r="GS111" s="31"/>
      <c r="GT111" s="31"/>
      <c r="GU111" s="31"/>
      <c r="GV111" s="31"/>
      <c r="GW111" s="31"/>
      <c r="GX111" s="31"/>
      <c r="GY111" s="31"/>
      <c r="GZ111" s="31"/>
      <c r="HA111" s="31"/>
      <c r="HB111" s="31"/>
      <c r="HC111" s="31"/>
      <c r="HD111" s="31"/>
      <c r="HE111" s="31"/>
      <c r="HF111" s="31"/>
      <c r="HG111" s="31"/>
      <c r="HH111" s="31"/>
      <c r="HI111" s="31"/>
      <c r="HJ111" s="31"/>
      <c r="HK111" s="31"/>
      <c r="HL111" s="31"/>
      <c r="HM111" s="31"/>
      <c r="HN111" s="31"/>
      <c r="HO111" s="31"/>
      <c r="HP111" s="31"/>
      <c r="HQ111" s="31"/>
      <c r="HR111" s="31"/>
      <c r="HS111" s="31"/>
      <c r="HT111" s="31"/>
      <c r="HU111" s="31"/>
      <c r="HV111" s="31"/>
      <c r="HW111" s="31"/>
      <c r="HX111" s="31"/>
      <c r="HY111" s="31"/>
      <c r="HZ111" s="31"/>
      <c r="IA111" s="31"/>
      <c r="IB111" s="31"/>
      <c r="IC111" s="31"/>
      <c r="ID111" s="31"/>
      <c r="IE111" s="31"/>
      <c r="IF111" s="31"/>
      <c r="IG111" s="31"/>
      <c r="IH111" s="31"/>
      <c r="II111" s="31"/>
      <c r="IJ111" s="31"/>
      <c r="IK111" s="31"/>
      <c r="IL111" s="31"/>
      <c r="IM111" s="31"/>
      <c r="IN111" s="31"/>
      <c r="IO111" s="31"/>
      <c r="IP111" s="31"/>
      <c r="IQ111" s="31"/>
      <c r="IR111" s="31"/>
      <c r="IS111" s="31"/>
      <c r="IT111" s="31"/>
      <c r="IU111" s="31"/>
      <c r="IV111" s="31"/>
    </row>
    <row r="112" spans="1:256" x14ac:dyDescent="0.25">
      <c r="B112" s="36"/>
      <c r="C112" s="36"/>
      <c r="D112" s="36"/>
      <c r="E112" s="36"/>
      <c r="F112" s="36"/>
      <c r="G112" s="36"/>
      <c r="H112" s="36"/>
      <c r="I112" s="36"/>
      <c r="J112" s="36"/>
      <c r="R112" s="18"/>
      <c r="S112" s="18"/>
      <c r="T112" s="18"/>
      <c r="U112" s="18"/>
      <c r="V112" s="18"/>
      <c r="W112" s="18"/>
      <c r="X112" s="18"/>
      <c r="Y112" s="18"/>
      <c r="Z112" s="18"/>
      <c r="AA112" s="18"/>
      <c r="AB112" s="18"/>
      <c r="AC112" s="18"/>
      <c r="AD112" s="18"/>
      <c r="AE112" s="18"/>
      <c r="AF112" s="18"/>
      <c r="AG112" s="18"/>
      <c r="AH112" s="18"/>
      <c r="AI112" s="18"/>
      <c r="AJ112" s="18"/>
      <c r="AK112" s="18"/>
      <c r="AL112" s="18"/>
      <c r="AM112" s="18"/>
      <c r="AN112" s="18"/>
      <c r="AO112" s="18"/>
      <c r="AP112" s="18"/>
      <c r="AQ112" s="18"/>
      <c r="AR112" s="18"/>
      <c r="AS112" s="18"/>
      <c r="AT112" s="18"/>
      <c r="AU112" s="18"/>
      <c r="AV112" s="18"/>
      <c r="AW112" s="18"/>
      <c r="AX112" s="18"/>
      <c r="AY112" s="18"/>
      <c r="AZ112" s="18"/>
      <c r="BA112" s="18"/>
      <c r="BB112" s="18"/>
      <c r="BC112" s="18"/>
      <c r="BD112" s="18"/>
      <c r="BE112" s="18"/>
      <c r="BF112" s="18"/>
      <c r="BG112" s="18"/>
      <c r="BH112" s="18"/>
      <c r="BI112" s="18"/>
      <c r="BJ112" s="18"/>
      <c r="BK112" s="18"/>
      <c r="BL112" s="18"/>
      <c r="BM112" s="18"/>
      <c r="BN112" s="18"/>
      <c r="BO112" s="18"/>
      <c r="BP112" s="18"/>
      <c r="BQ112" s="18"/>
      <c r="BR112" s="18"/>
      <c r="BS112" s="18"/>
      <c r="BT112" s="18"/>
      <c r="BU112" s="18"/>
      <c r="BV112" s="18"/>
      <c r="BW112" s="18"/>
      <c r="BX112" s="18"/>
      <c r="BY112" s="18"/>
      <c r="BZ112" s="18"/>
      <c r="CA112" s="18"/>
      <c r="CB112" s="18"/>
      <c r="CC112" s="18"/>
      <c r="CD112" s="18"/>
      <c r="CE112" s="18"/>
      <c r="CF112" s="18"/>
      <c r="CG112" s="18"/>
      <c r="CH112" s="18"/>
      <c r="CI112" s="18"/>
      <c r="CJ112" s="18"/>
      <c r="CK112" s="18"/>
      <c r="CL112" s="18"/>
      <c r="CM112" s="18"/>
      <c r="CN112" s="18"/>
      <c r="CO112" s="18"/>
      <c r="CP112" s="18"/>
      <c r="CQ112" s="18"/>
      <c r="CR112" s="18"/>
      <c r="CS112" s="18"/>
      <c r="CT112" s="18"/>
      <c r="CU112" s="18"/>
      <c r="CV112" s="18"/>
      <c r="CW112" s="18"/>
      <c r="CX112" s="18"/>
      <c r="CY112" s="18"/>
      <c r="CZ112" s="18"/>
      <c r="DA112" s="18"/>
      <c r="DB112" s="18"/>
      <c r="DC112" s="18"/>
      <c r="DD112" s="18"/>
      <c r="DE112" s="18"/>
      <c r="DF112" s="18"/>
      <c r="DG112" s="18"/>
      <c r="DH112" s="18"/>
      <c r="DI112" s="18"/>
      <c r="DJ112" s="18"/>
      <c r="DK112" s="18"/>
      <c r="DL112" s="18"/>
      <c r="DM112" s="18"/>
      <c r="DN112" s="18"/>
      <c r="DO112" s="18"/>
      <c r="DP112" s="18"/>
      <c r="DQ112" s="18"/>
      <c r="DR112" s="18"/>
      <c r="DS112" s="18"/>
      <c r="DT112" s="18"/>
      <c r="DU112" s="18"/>
      <c r="DV112" s="18"/>
      <c r="DW112" s="18"/>
      <c r="DX112" s="18"/>
      <c r="DY112" s="18"/>
      <c r="DZ112" s="18"/>
      <c r="EA112" s="18"/>
      <c r="EB112" s="18"/>
      <c r="EC112" s="18"/>
      <c r="ED112" s="18"/>
      <c r="EE112" s="18"/>
      <c r="EF112" s="18"/>
      <c r="EG112" s="18"/>
      <c r="EH112" s="18"/>
      <c r="EI112" s="18"/>
      <c r="EJ112" s="18"/>
      <c r="EK112" s="18"/>
      <c r="EL112" s="18"/>
      <c r="EM112" s="18"/>
      <c r="EN112" s="18"/>
      <c r="EO112" s="18"/>
      <c r="EP112" s="18"/>
      <c r="EQ112" s="18"/>
      <c r="ER112" s="18"/>
      <c r="ES112" s="18"/>
      <c r="ET112" s="18"/>
      <c r="EU112" s="18"/>
      <c r="EV112" s="18"/>
      <c r="EW112" s="18"/>
      <c r="EX112" s="18"/>
      <c r="EY112" s="18"/>
      <c r="EZ112" s="18"/>
      <c r="FA112" s="18"/>
      <c r="FB112" s="18"/>
      <c r="FC112" s="18"/>
      <c r="FD112" s="18"/>
      <c r="FE112" s="18"/>
      <c r="FF112" s="18"/>
      <c r="FG112" s="18"/>
      <c r="FH112" s="18"/>
      <c r="FI112" s="18"/>
      <c r="FJ112" s="18"/>
      <c r="FK112" s="18"/>
      <c r="FL112" s="18"/>
      <c r="FM112" s="18"/>
      <c r="FN112" s="18"/>
      <c r="FO112" s="18"/>
      <c r="FP112" s="18"/>
      <c r="FQ112" s="18"/>
      <c r="FR112" s="18"/>
      <c r="FS112" s="18"/>
      <c r="FT112" s="18"/>
      <c r="FU112" s="18"/>
      <c r="FV112" s="18"/>
      <c r="FW112" s="18"/>
      <c r="FX112" s="18"/>
      <c r="FY112" s="18"/>
      <c r="FZ112" s="18"/>
      <c r="GA112" s="18"/>
      <c r="GB112" s="18"/>
      <c r="GC112" s="18"/>
      <c r="GD112" s="18"/>
      <c r="GE112" s="18"/>
      <c r="GF112" s="18"/>
      <c r="GG112" s="18"/>
      <c r="GH112" s="18"/>
      <c r="GI112" s="18"/>
      <c r="GJ112" s="18"/>
      <c r="GK112" s="18"/>
      <c r="GL112" s="18"/>
      <c r="GM112" s="18"/>
      <c r="GN112" s="18"/>
      <c r="GO112" s="18"/>
      <c r="GP112" s="18"/>
      <c r="GQ112" s="18"/>
      <c r="GR112" s="18"/>
      <c r="GS112" s="18"/>
      <c r="GT112" s="18"/>
      <c r="GU112" s="18"/>
      <c r="GV112" s="18"/>
      <c r="GW112" s="18"/>
      <c r="GX112" s="18"/>
      <c r="GY112" s="18"/>
      <c r="GZ112" s="18"/>
      <c r="HA112" s="18"/>
      <c r="HB112" s="18"/>
      <c r="HC112" s="18"/>
      <c r="HD112" s="18"/>
      <c r="HE112" s="18"/>
      <c r="HF112" s="18"/>
      <c r="HG112" s="18"/>
      <c r="HH112" s="18"/>
      <c r="HI112" s="18"/>
      <c r="HJ112" s="18"/>
      <c r="HK112" s="18"/>
      <c r="HL112" s="18"/>
      <c r="HM112" s="18"/>
      <c r="HN112" s="18"/>
      <c r="HO112" s="18"/>
      <c r="HP112" s="18"/>
      <c r="HQ112" s="18"/>
      <c r="HR112" s="18"/>
      <c r="HS112" s="18"/>
      <c r="HT112" s="18"/>
      <c r="HU112" s="18"/>
      <c r="HV112" s="18"/>
      <c r="HW112" s="18"/>
      <c r="HX112" s="18"/>
      <c r="HY112" s="18"/>
      <c r="HZ112" s="18"/>
      <c r="IA112" s="18"/>
      <c r="IB112" s="18"/>
      <c r="IC112" s="18"/>
      <c r="ID112" s="18"/>
      <c r="IE112" s="18"/>
      <c r="IF112" s="18"/>
      <c r="IG112" s="18"/>
      <c r="IH112" s="18"/>
      <c r="II112" s="18"/>
      <c r="IJ112" s="18"/>
      <c r="IK112" s="18"/>
      <c r="IL112" s="18"/>
      <c r="IM112" s="18"/>
      <c r="IN112" s="18"/>
      <c r="IO112" s="18"/>
      <c r="IP112" s="18"/>
      <c r="IQ112" s="18"/>
      <c r="IR112" s="18"/>
      <c r="IS112" s="18"/>
      <c r="IT112" s="18"/>
      <c r="IU112" s="18"/>
      <c r="IV112" s="18"/>
    </row>
    <row r="113" spans="1:256" x14ac:dyDescent="0.25">
      <c r="B113" s="36"/>
      <c r="C113" s="36"/>
      <c r="D113" s="36"/>
      <c r="E113" s="36"/>
      <c r="F113" s="36"/>
      <c r="G113" s="36"/>
      <c r="H113" s="36"/>
      <c r="I113" s="36"/>
      <c r="J113" s="36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29"/>
      <c r="BM113" s="29"/>
      <c r="BN113" s="29"/>
      <c r="BO113" s="29"/>
      <c r="BP113" s="29"/>
      <c r="BQ113" s="29"/>
      <c r="BR113" s="29"/>
      <c r="BS113" s="29"/>
      <c r="BT113" s="29"/>
      <c r="BU113" s="29"/>
      <c r="BV113" s="29"/>
      <c r="BW113" s="29"/>
      <c r="BX113" s="29"/>
      <c r="BY113" s="29"/>
      <c r="BZ113" s="29"/>
      <c r="CA113" s="29"/>
      <c r="CB113" s="29"/>
      <c r="CC113" s="29"/>
      <c r="CD113" s="29"/>
      <c r="CE113" s="29"/>
      <c r="CF113" s="29"/>
      <c r="CG113" s="29"/>
      <c r="CH113" s="29"/>
      <c r="CI113" s="29"/>
      <c r="CJ113" s="2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29"/>
      <c r="DC113" s="29"/>
      <c r="DD113" s="2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  <c r="DO113" s="29"/>
      <c r="DP113" s="29"/>
      <c r="DQ113" s="29"/>
      <c r="DR113" s="29"/>
      <c r="DS113" s="29"/>
      <c r="DT113" s="29"/>
      <c r="DU113" s="29"/>
      <c r="DV113" s="29"/>
      <c r="DW113" s="29"/>
      <c r="DX113" s="29"/>
      <c r="DY113" s="29"/>
      <c r="DZ113" s="29"/>
      <c r="EA113" s="29"/>
      <c r="EB113" s="29"/>
      <c r="EC113" s="29"/>
      <c r="ED113" s="29"/>
      <c r="EE113" s="29"/>
      <c r="EF113" s="29"/>
      <c r="EG113" s="29"/>
      <c r="EH113" s="29"/>
      <c r="EI113" s="29"/>
      <c r="EJ113" s="29"/>
      <c r="EK113" s="29"/>
      <c r="EL113" s="29"/>
      <c r="EM113" s="29"/>
      <c r="EN113" s="29"/>
      <c r="EO113" s="29"/>
      <c r="EP113" s="29"/>
      <c r="EQ113" s="29"/>
      <c r="ER113" s="29"/>
      <c r="ES113" s="29"/>
      <c r="ET113" s="29"/>
      <c r="EU113" s="29"/>
      <c r="EV113" s="29"/>
      <c r="EW113" s="29"/>
      <c r="EX113" s="29"/>
      <c r="EY113" s="29"/>
      <c r="EZ113" s="29"/>
      <c r="FA113" s="29"/>
      <c r="FB113" s="29"/>
      <c r="FC113" s="29"/>
      <c r="FD113" s="29"/>
      <c r="FE113" s="29"/>
      <c r="FF113" s="29"/>
      <c r="FG113" s="29"/>
      <c r="FH113" s="29"/>
      <c r="FI113" s="29"/>
      <c r="FJ113" s="29"/>
      <c r="FK113" s="29"/>
      <c r="FL113" s="29"/>
      <c r="FM113" s="29"/>
      <c r="FN113" s="29"/>
      <c r="FO113" s="29"/>
      <c r="FP113" s="29"/>
      <c r="FQ113" s="29"/>
      <c r="FR113" s="29"/>
      <c r="FS113" s="29"/>
      <c r="FT113" s="29"/>
      <c r="FU113" s="29"/>
      <c r="FV113" s="29"/>
      <c r="FW113" s="29"/>
      <c r="FX113" s="29"/>
      <c r="FY113" s="29"/>
      <c r="FZ113" s="29"/>
      <c r="GA113" s="29"/>
      <c r="GB113" s="29"/>
      <c r="GC113" s="29"/>
      <c r="GD113" s="29"/>
      <c r="GE113" s="29"/>
      <c r="GF113" s="29"/>
      <c r="GG113" s="29"/>
      <c r="GH113" s="29"/>
      <c r="GI113" s="29"/>
      <c r="GJ113" s="29"/>
      <c r="GK113" s="29"/>
      <c r="GL113" s="29"/>
      <c r="GM113" s="29"/>
      <c r="GN113" s="29"/>
      <c r="GO113" s="29"/>
      <c r="GP113" s="29"/>
      <c r="GQ113" s="29"/>
      <c r="GR113" s="29"/>
      <c r="GS113" s="29"/>
      <c r="GT113" s="29"/>
      <c r="GU113" s="29"/>
      <c r="GV113" s="29"/>
      <c r="GW113" s="29"/>
      <c r="GX113" s="29"/>
      <c r="GY113" s="29"/>
      <c r="GZ113" s="29"/>
      <c r="HA113" s="29"/>
      <c r="HB113" s="29"/>
      <c r="HC113" s="29"/>
      <c r="HD113" s="29"/>
      <c r="HE113" s="29"/>
      <c r="HF113" s="29"/>
      <c r="HG113" s="29"/>
      <c r="HH113" s="29"/>
      <c r="HI113" s="29"/>
      <c r="HJ113" s="29"/>
      <c r="HK113" s="29"/>
      <c r="HL113" s="29"/>
      <c r="HM113" s="29"/>
      <c r="HN113" s="29"/>
      <c r="HO113" s="29"/>
      <c r="HP113" s="29"/>
      <c r="HQ113" s="29"/>
      <c r="HR113" s="29"/>
      <c r="HS113" s="29"/>
      <c r="HT113" s="29"/>
      <c r="HU113" s="29"/>
      <c r="HV113" s="29"/>
      <c r="HW113" s="29"/>
      <c r="HX113" s="29"/>
      <c r="HY113" s="29"/>
      <c r="HZ113" s="29"/>
      <c r="IA113" s="29"/>
      <c r="IB113" s="29"/>
      <c r="IC113" s="29"/>
      <c r="ID113" s="29"/>
      <c r="IE113" s="29"/>
      <c r="IF113" s="29"/>
      <c r="IG113" s="29"/>
      <c r="IH113" s="29"/>
      <c r="II113" s="29"/>
      <c r="IJ113" s="29"/>
      <c r="IK113" s="29"/>
      <c r="IL113" s="29"/>
      <c r="IM113" s="29"/>
      <c r="IN113" s="29"/>
      <c r="IO113" s="29"/>
      <c r="IP113" s="29"/>
      <c r="IQ113" s="29"/>
      <c r="IR113" s="29"/>
      <c r="IS113" s="29"/>
      <c r="IT113" s="29"/>
      <c r="IU113" s="29"/>
      <c r="IV113" s="29"/>
    </row>
    <row r="114" spans="1:256" x14ac:dyDescent="0.25">
      <c r="B114" s="36"/>
      <c r="C114" s="36"/>
      <c r="D114" s="36"/>
      <c r="E114" s="36"/>
      <c r="F114" s="36"/>
      <c r="G114" s="36"/>
      <c r="H114" s="36"/>
      <c r="I114" s="36"/>
      <c r="J114" s="36"/>
    </row>
    <row r="116" spans="1:256" x14ac:dyDescent="0.25">
      <c r="A116" s="29"/>
      <c r="B116" s="35"/>
      <c r="C116" s="35"/>
      <c r="D116" s="37"/>
      <c r="E116" s="37"/>
      <c r="F116" s="36"/>
      <c r="G116" s="36"/>
      <c r="H116" s="36"/>
      <c r="I116" s="36"/>
      <c r="J116" s="36"/>
      <c r="K116" s="19"/>
      <c r="L116" s="19"/>
      <c r="M116" s="33"/>
      <c r="N116" s="18"/>
      <c r="O116" s="19"/>
      <c r="P116" s="32"/>
      <c r="Q116" s="33"/>
    </row>
    <row r="117" spans="1:256" x14ac:dyDescent="0.25">
      <c r="B117" s="36"/>
      <c r="C117" s="36"/>
      <c r="D117" s="36"/>
      <c r="E117" s="36"/>
      <c r="F117" s="36"/>
      <c r="G117" s="36"/>
      <c r="H117" s="36"/>
      <c r="I117" s="36"/>
      <c r="J117" s="36"/>
    </row>
    <row r="118" spans="1:256" x14ac:dyDescent="0.25">
      <c r="B118" s="36"/>
      <c r="C118" s="36"/>
      <c r="D118" s="36"/>
      <c r="E118" s="36"/>
      <c r="F118" s="36"/>
      <c r="G118" s="36"/>
      <c r="H118" s="36"/>
      <c r="I118" s="36"/>
      <c r="J118" s="36"/>
    </row>
    <row r="120" spans="1:256" x14ac:dyDescent="0.25">
      <c r="A120" s="18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8"/>
      <c r="O120" s="18"/>
      <c r="P120" s="18"/>
      <c r="Q120" s="18"/>
    </row>
    <row r="121" spans="1:256" x14ac:dyDescent="0.25">
      <c r="A121" s="29"/>
      <c r="B121" s="35"/>
      <c r="C121" s="35"/>
      <c r="D121" s="37"/>
      <c r="E121" s="37"/>
      <c r="F121" s="36"/>
      <c r="G121" s="36"/>
      <c r="H121" s="36"/>
      <c r="I121" s="36"/>
      <c r="J121" s="36"/>
      <c r="K121" s="33"/>
      <c r="L121" s="33"/>
      <c r="M121" s="19"/>
      <c r="N121" s="18"/>
      <c r="O121" s="33"/>
      <c r="P121" s="31"/>
      <c r="Q121" s="31"/>
    </row>
    <row r="122" spans="1:256" x14ac:dyDescent="0.25">
      <c r="A122" s="29"/>
      <c r="B122" s="35"/>
      <c r="C122" s="35"/>
      <c r="D122" s="37"/>
      <c r="E122" s="37"/>
      <c r="F122" s="37"/>
      <c r="G122" s="36"/>
      <c r="H122" s="36"/>
      <c r="I122" s="36"/>
      <c r="J122" s="36"/>
      <c r="K122" s="33"/>
      <c r="L122" s="33"/>
      <c r="M122" s="19"/>
      <c r="N122" s="18"/>
      <c r="O122" s="33"/>
      <c r="P122" s="31"/>
      <c r="Q122" s="31"/>
    </row>
    <row r="123" spans="1:256" x14ac:dyDescent="0.25">
      <c r="G123" s="19"/>
      <c r="H123" s="19"/>
      <c r="J123" s="19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4:L8"/>
  <sheetViews>
    <sheetView workbookViewId="0">
      <selection activeCell="G6" sqref="G6"/>
    </sheetView>
  </sheetViews>
  <sheetFormatPr defaultRowHeight="15" x14ac:dyDescent="0.25"/>
  <cols>
    <col min="1" max="1" width="8.7109375" style="6" customWidth="1"/>
    <col min="2" max="2" width="8.140625" customWidth="1"/>
    <col min="3" max="3" width="12.7109375" customWidth="1"/>
    <col min="4" max="4" width="11.42578125" customWidth="1"/>
    <col min="5" max="5" width="22" customWidth="1"/>
    <col min="6" max="6" width="8.140625" customWidth="1"/>
    <col min="7" max="7" width="18.140625" customWidth="1"/>
    <col min="8" max="8" width="11.28515625" customWidth="1"/>
    <col min="9" max="9" width="23" customWidth="1"/>
    <col min="10" max="10" width="30.5703125" style="1" customWidth="1"/>
    <col min="11" max="11" width="31.28515625" customWidth="1"/>
  </cols>
  <sheetData>
    <row r="4" spans="1:12" s="2" customFormat="1" ht="15" customHeight="1" x14ac:dyDescent="0.25">
      <c r="A4" s="7"/>
      <c r="B4" s="2" t="s">
        <v>14</v>
      </c>
      <c r="C4" s="3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61" customFormat="1" ht="15" customHeight="1" x14ac:dyDescent="0.25">
      <c r="A5" s="160" t="s">
        <v>22</v>
      </c>
      <c r="B5" s="161">
        <v>1</v>
      </c>
      <c r="C5" s="103" t="s">
        <v>50</v>
      </c>
      <c r="D5" s="162"/>
      <c r="E5" s="104" t="s">
        <v>24</v>
      </c>
      <c r="F5" s="103">
        <v>1024</v>
      </c>
      <c r="G5" s="104" t="s">
        <v>51</v>
      </c>
      <c r="H5" s="104" t="s">
        <v>26</v>
      </c>
      <c r="I5" s="104" t="s">
        <v>18</v>
      </c>
      <c r="J5" s="104" t="s">
        <v>52</v>
      </c>
      <c r="K5" s="104" t="s">
        <v>52</v>
      </c>
      <c r="L5" s="163"/>
    </row>
    <row r="6" spans="1:12" x14ac:dyDescent="0.25">
      <c r="A6" s="6" t="s">
        <v>22</v>
      </c>
      <c r="B6" s="1">
        <v>1</v>
      </c>
      <c r="C6" s="1" t="s">
        <v>53</v>
      </c>
      <c r="E6" s="6" t="s">
        <v>15</v>
      </c>
      <c r="F6" s="1">
        <v>1024</v>
      </c>
      <c r="G6" s="6" t="s">
        <v>51</v>
      </c>
      <c r="H6" s="6" t="s">
        <v>26</v>
      </c>
      <c r="I6" s="6" t="s">
        <v>82</v>
      </c>
      <c r="J6" s="30" t="s">
        <v>865</v>
      </c>
      <c r="K6" s="30" t="s">
        <v>866</v>
      </c>
    </row>
    <row r="7" spans="1:12" s="44" customFormat="1" ht="3" customHeight="1" x14ac:dyDescent="0.3">
      <c r="A7" s="45"/>
      <c r="C7" s="164"/>
      <c r="D7" s="47"/>
      <c r="E7" s="46"/>
      <c r="F7" s="46"/>
      <c r="G7" s="46"/>
      <c r="H7" s="46"/>
      <c r="I7" s="46"/>
      <c r="J7" s="46"/>
      <c r="K7" s="47"/>
      <c r="L7" s="46"/>
    </row>
    <row r="8" spans="1:12" ht="14.45" x14ac:dyDescent="0.3">
      <c r="B8" s="1"/>
      <c r="C8" s="6"/>
      <c r="D8" s="6"/>
      <c r="E8" s="1"/>
      <c r="F8" s="1"/>
      <c r="G8" s="6"/>
      <c r="H8" s="1"/>
      <c r="I8" s="1"/>
      <c r="K8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IV133"/>
  <sheetViews>
    <sheetView zoomScale="85" zoomScaleNormal="85" workbookViewId="0">
      <pane ySplit="4" topLeftCell="A5" activePane="bottomLeft" state="frozen"/>
      <selection pane="bottomLeft" activeCell="F19" sqref="F19"/>
    </sheetView>
  </sheetViews>
  <sheetFormatPr defaultRowHeight="15" x14ac:dyDescent="0.25"/>
  <cols>
    <col min="1" max="1" width="8.7109375" style="15" customWidth="1"/>
    <col min="2" max="2" width="4.7109375" style="218" customWidth="1"/>
    <col min="3" max="3" width="4.85546875" style="19" customWidth="1"/>
    <col min="4" max="4" width="20.5703125" customWidth="1"/>
    <col min="5" max="5" width="50.28515625" customWidth="1"/>
    <col min="6" max="6" width="10.85546875" style="98" customWidth="1"/>
    <col min="7" max="7" width="7.5703125" style="98" customWidth="1"/>
    <col min="8" max="8" width="21" style="98" customWidth="1"/>
    <col min="9" max="9" width="11.28515625" style="98" customWidth="1"/>
    <col min="10" max="10" width="9.140625" style="98" customWidth="1"/>
    <col min="11" max="11" width="49.5703125" style="98" customWidth="1"/>
    <col min="12" max="12" width="7.28515625" style="1" customWidth="1"/>
    <col min="13" max="13" width="4.85546875" customWidth="1"/>
    <col min="14" max="14" width="5.140625" customWidth="1"/>
    <col min="15" max="15" width="4.7109375" customWidth="1"/>
    <col min="16" max="16" width="8.7109375" style="218" customWidth="1"/>
    <col min="17" max="17" width="69.7109375" customWidth="1"/>
  </cols>
  <sheetData>
    <row r="1" spans="1:22" ht="14.45" x14ac:dyDescent="0.3">
      <c r="A1" s="15" t="s">
        <v>116</v>
      </c>
      <c r="B1" s="218">
        <v>3</v>
      </c>
    </row>
    <row r="2" spans="1:22" ht="14.45" x14ac:dyDescent="0.3">
      <c r="B2" s="218" t="s">
        <v>21</v>
      </c>
      <c r="C2" s="218" t="s">
        <v>119</v>
      </c>
    </row>
    <row r="3" spans="1:22" ht="53.45" customHeight="1" x14ac:dyDescent="0.25">
      <c r="B3" s="77" t="s">
        <v>117</v>
      </c>
      <c r="C3" s="76" t="s">
        <v>118</v>
      </c>
    </row>
    <row r="4" spans="1:22" s="2" customFormat="1" ht="40.9" customHeight="1" x14ac:dyDescent="0.3">
      <c r="A4" s="2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11</v>
      </c>
      <c r="N4" s="4" t="s">
        <v>9</v>
      </c>
      <c r="O4" s="4" t="s">
        <v>10</v>
      </c>
      <c r="P4" s="4" t="s">
        <v>19</v>
      </c>
      <c r="Q4" s="5" t="s">
        <v>12</v>
      </c>
      <c r="R4" s="4" t="s">
        <v>13</v>
      </c>
    </row>
    <row r="5" spans="1:22" s="159" customFormat="1" ht="15" customHeight="1" x14ac:dyDescent="0.25">
      <c r="A5" s="156" t="s">
        <v>22</v>
      </c>
      <c r="B5" s="159">
        <v>1</v>
      </c>
      <c r="C5" s="159">
        <v>1</v>
      </c>
      <c r="D5" s="157" t="s">
        <v>58</v>
      </c>
      <c r="E5" s="156"/>
      <c r="F5" s="158" t="s">
        <v>24</v>
      </c>
      <c r="G5" s="159">
        <v>1024</v>
      </c>
      <c r="H5" s="158" t="s">
        <v>16</v>
      </c>
      <c r="I5" s="158" t="s">
        <v>26</v>
      </c>
      <c r="K5" s="158" t="s">
        <v>18</v>
      </c>
      <c r="L5" s="157" t="s">
        <v>59</v>
      </c>
      <c r="M5" s="156"/>
      <c r="N5" s="156"/>
      <c r="O5" s="156"/>
      <c r="Q5" s="157" t="s">
        <v>59</v>
      </c>
    </row>
    <row r="6" spans="1:22" s="249" customFormat="1" x14ac:dyDescent="0.25">
      <c r="A6" s="243" t="s">
        <v>22</v>
      </c>
      <c r="B6" s="244">
        <v>1</v>
      </c>
      <c r="C6" s="244">
        <v>1</v>
      </c>
      <c r="D6" s="393" t="s">
        <v>544</v>
      </c>
      <c r="E6" s="245" t="s">
        <v>167</v>
      </c>
      <c r="F6" s="246" t="s">
        <v>87</v>
      </c>
      <c r="G6" s="244">
        <v>1024</v>
      </c>
      <c r="H6" s="246" t="s">
        <v>16</v>
      </c>
      <c r="I6" s="246" t="s">
        <v>26</v>
      </c>
      <c r="J6" s="246"/>
      <c r="K6" s="246" t="s">
        <v>18</v>
      </c>
      <c r="L6" s="243"/>
      <c r="M6" s="247"/>
      <c r="N6" s="247"/>
      <c r="O6" s="247"/>
      <c r="P6" s="250" t="s">
        <v>181</v>
      </c>
      <c r="Q6" s="243" t="s">
        <v>545</v>
      </c>
    </row>
    <row r="7" spans="1:22" s="249" customFormat="1" x14ac:dyDescent="0.25">
      <c r="A7" s="243" t="s">
        <v>22</v>
      </c>
      <c r="B7" s="244">
        <v>1</v>
      </c>
      <c r="C7" s="244">
        <v>1</v>
      </c>
      <c r="D7" s="393" t="s">
        <v>546</v>
      </c>
      <c r="E7" s="245" t="s">
        <v>168</v>
      </c>
      <c r="F7" s="246" t="s">
        <v>87</v>
      </c>
      <c r="G7" s="244">
        <v>1024</v>
      </c>
      <c r="H7" s="246" t="s">
        <v>16</v>
      </c>
      <c r="I7" s="246" t="s">
        <v>26</v>
      </c>
      <c r="J7" s="246"/>
      <c r="K7" s="246" t="s">
        <v>18</v>
      </c>
      <c r="L7" s="243"/>
      <c r="M7" s="247"/>
      <c r="N7" s="247"/>
      <c r="O7" s="247"/>
      <c r="P7" s="250" t="s">
        <v>182</v>
      </c>
      <c r="Q7" s="243" t="s">
        <v>547</v>
      </c>
    </row>
    <row r="8" spans="1:22" s="422" customFormat="1" ht="15" customHeight="1" x14ac:dyDescent="0.25">
      <c r="A8" s="418" t="s">
        <v>22</v>
      </c>
      <c r="B8" s="419">
        <v>2</v>
      </c>
      <c r="C8" s="419">
        <v>1</v>
      </c>
      <c r="D8" s="404" t="s">
        <v>427</v>
      </c>
      <c r="E8" s="420" t="s">
        <v>446</v>
      </c>
      <c r="F8" s="421" t="s">
        <v>87</v>
      </c>
      <c r="G8" s="419" t="s">
        <v>21</v>
      </c>
      <c r="H8" s="421" t="s">
        <v>16</v>
      </c>
      <c r="I8" s="421" t="s">
        <v>30</v>
      </c>
      <c r="J8" s="419"/>
      <c r="K8" s="421" t="s">
        <v>249</v>
      </c>
      <c r="L8" s="418"/>
      <c r="M8" s="420"/>
      <c r="N8" s="420"/>
      <c r="O8" s="420"/>
      <c r="P8" s="421"/>
      <c r="Q8" s="420" t="s">
        <v>599</v>
      </c>
    </row>
    <row r="9" spans="1:22" s="422" customFormat="1" ht="15" customHeight="1" x14ac:dyDescent="0.25">
      <c r="A9" s="418" t="s">
        <v>22</v>
      </c>
      <c r="B9" s="419"/>
      <c r="C9" s="419">
        <v>1</v>
      </c>
      <c r="D9" s="404" t="s">
        <v>428</v>
      </c>
      <c r="E9" s="420" t="s">
        <v>447</v>
      </c>
      <c r="F9" s="421" t="s">
        <v>87</v>
      </c>
      <c r="G9" s="419" t="s">
        <v>21</v>
      </c>
      <c r="H9" s="421" t="s">
        <v>16</v>
      </c>
      <c r="I9" s="421" t="s">
        <v>17</v>
      </c>
      <c r="J9" s="419"/>
      <c r="K9" s="421" t="s">
        <v>120</v>
      </c>
      <c r="L9" s="418"/>
      <c r="M9" s="420"/>
      <c r="N9" s="420"/>
      <c r="O9" s="420"/>
      <c r="P9" s="421" t="s">
        <v>20</v>
      </c>
      <c r="Q9" s="420" t="s">
        <v>600</v>
      </c>
    </row>
    <row r="10" spans="1:22" s="422" customFormat="1" ht="15" customHeight="1" x14ac:dyDescent="0.25">
      <c r="A10" s="418" t="s">
        <v>22</v>
      </c>
      <c r="B10" s="419"/>
      <c r="C10" s="419">
        <v>1</v>
      </c>
      <c r="D10" s="404" t="s">
        <v>429</v>
      </c>
      <c r="E10" s="420" t="s">
        <v>448</v>
      </c>
      <c r="F10" s="421" t="s">
        <v>87</v>
      </c>
      <c r="G10" s="419" t="s">
        <v>21</v>
      </c>
      <c r="H10" s="421" t="s">
        <v>16</v>
      </c>
      <c r="I10" s="421" t="s">
        <v>17</v>
      </c>
      <c r="J10" s="419"/>
      <c r="K10" s="421" t="s">
        <v>120</v>
      </c>
      <c r="L10" s="418"/>
      <c r="M10" s="420"/>
      <c r="N10" s="420"/>
      <c r="O10" s="420"/>
      <c r="P10" s="421" t="s">
        <v>20</v>
      </c>
      <c r="Q10" s="420" t="s">
        <v>601</v>
      </c>
    </row>
    <row r="11" spans="1:22" s="422" customFormat="1" ht="15" customHeight="1" x14ac:dyDescent="0.25">
      <c r="A11" s="418" t="s">
        <v>22</v>
      </c>
      <c r="B11" s="419"/>
      <c r="C11" s="419">
        <v>1</v>
      </c>
      <c r="D11" s="404" t="s">
        <v>430</v>
      </c>
      <c r="E11" s="420" t="s">
        <v>449</v>
      </c>
      <c r="F11" s="421" t="s">
        <v>131</v>
      </c>
      <c r="G11" s="419" t="s">
        <v>21</v>
      </c>
      <c r="H11" s="421" t="s">
        <v>16</v>
      </c>
      <c r="I11" s="421" t="s">
        <v>30</v>
      </c>
      <c r="J11" s="419"/>
      <c r="K11" s="421" t="s">
        <v>86</v>
      </c>
      <c r="L11" s="418"/>
      <c r="M11" s="420"/>
      <c r="N11" s="420"/>
      <c r="O11" s="420"/>
      <c r="P11" s="421"/>
      <c r="Q11" s="420" t="s">
        <v>602</v>
      </c>
    </row>
    <row r="12" spans="1:22" s="417" customFormat="1" x14ac:dyDescent="0.25">
      <c r="A12" s="260" t="s">
        <v>22</v>
      </c>
      <c r="B12" s="273">
        <v>3</v>
      </c>
      <c r="C12" s="273">
        <v>1</v>
      </c>
      <c r="D12" s="260" t="s">
        <v>851</v>
      </c>
      <c r="E12" s="414" t="s">
        <v>852</v>
      </c>
      <c r="F12" s="259" t="s">
        <v>87</v>
      </c>
      <c r="G12" s="273" t="s">
        <v>21</v>
      </c>
      <c r="H12" s="259" t="s">
        <v>16</v>
      </c>
      <c r="I12" s="259" t="s">
        <v>30</v>
      </c>
      <c r="J12" s="259"/>
      <c r="K12" s="259" t="s">
        <v>86</v>
      </c>
      <c r="L12" s="260"/>
      <c r="M12" s="415"/>
      <c r="N12" s="415"/>
      <c r="O12" s="415"/>
      <c r="P12" s="416" t="s">
        <v>134</v>
      </c>
      <c r="Q12" s="260" t="s">
        <v>853</v>
      </c>
    </row>
    <row r="13" spans="1:22" s="417" customFormat="1" x14ac:dyDescent="0.25">
      <c r="A13" s="260" t="s">
        <v>22</v>
      </c>
      <c r="B13" s="273">
        <v>2</v>
      </c>
      <c r="C13" s="273">
        <v>1</v>
      </c>
      <c r="D13" s="260" t="s">
        <v>856</v>
      </c>
      <c r="E13" s="414" t="s">
        <v>854</v>
      </c>
      <c r="F13" s="259" t="s">
        <v>87</v>
      </c>
      <c r="G13" s="273" t="s">
        <v>21</v>
      </c>
      <c r="H13" s="259" t="s">
        <v>16</v>
      </c>
      <c r="I13" s="259" t="s">
        <v>30</v>
      </c>
      <c r="J13" s="259"/>
      <c r="K13" s="259" t="s">
        <v>86</v>
      </c>
      <c r="L13" s="260"/>
      <c r="M13" s="415"/>
      <c r="N13" s="415"/>
      <c r="O13" s="415"/>
      <c r="P13" s="416"/>
      <c r="Q13" s="260" t="s">
        <v>855</v>
      </c>
    </row>
    <row r="14" spans="1:22" s="417" customFormat="1" x14ac:dyDescent="0.25">
      <c r="A14" s="260" t="s">
        <v>22</v>
      </c>
      <c r="B14" s="273">
        <v>1</v>
      </c>
      <c r="C14" s="273">
        <v>1</v>
      </c>
      <c r="D14" s="260" t="s">
        <v>844</v>
      </c>
      <c r="E14" s="414" t="s">
        <v>846</v>
      </c>
      <c r="F14" s="259" t="s">
        <v>87</v>
      </c>
      <c r="G14" s="273">
        <v>1024</v>
      </c>
      <c r="H14" s="259" t="s">
        <v>16</v>
      </c>
      <c r="I14" s="259" t="s">
        <v>30</v>
      </c>
      <c r="J14" s="259"/>
      <c r="K14" s="259" t="s">
        <v>249</v>
      </c>
      <c r="L14" s="260"/>
      <c r="M14" s="415"/>
      <c r="N14" s="415"/>
      <c r="O14" s="415"/>
      <c r="P14" s="416"/>
      <c r="Q14" s="260" t="s">
        <v>845</v>
      </c>
    </row>
    <row r="15" spans="1:22" s="249" customFormat="1" x14ac:dyDescent="0.25">
      <c r="A15" s="243" t="s">
        <v>22</v>
      </c>
      <c r="B15" s="244">
        <v>1</v>
      </c>
      <c r="C15" s="244">
        <v>1</v>
      </c>
      <c r="D15" s="393" t="s">
        <v>548</v>
      </c>
      <c r="E15" s="245" t="s">
        <v>169</v>
      </c>
      <c r="F15" s="246" t="s">
        <v>131</v>
      </c>
      <c r="G15" s="244">
        <v>1024</v>
      </c>
      <c r="H15" s="246" t="s">
        <v>16</v>
      </c>
      <c r="I15" s="246" t="s">
        <v>26</v>
      </c>
      <c r="J15" s="246"/>
      <c r="K15" s="246" t="s">
        <v>18</v>
      </c>
      <c r="L15" s="243"/>
      <c r="M15" s="247"/>
      <c r="N15" s="247"/>
      <c r="O15" s="247"/>
      <c r="P15" s="250" t="s">
        <v>181</v>
      </c>
      <c r="Q15" s="243" t="s">
        <v>697</v>
      </c>
    </row>
    <row r="16" spans="1:22" s="234" customFormat="1" x14ac:dyDescent="0.25">
      <c r="A16" s="203" t="s">
        <v>22</v>
      </c>
      <c r="B16" s="231">
        <v>1</v>
      </c>
      <c r="C16" s="231">
        <v>1</v>
      </c>
      <c r="D16" s="394" t="s">
        <v>423</v>
      </c>
      <c r="E16" s="232" t="s">
        <v>451</v>
      </c>
      <c r="F16" s="214" t="s">
        <v>131</v>
      </c>
      <c r="G16" s="231">
        <v>1024</v>
      </c>
      <c r="H16" s="214" t="s">
        <v>16</v>
      </c>
      <c r="I16" s="214" t="s">
        <v>17</v>
      </c>
      <c r="J16" s="214"/>
      <c r="K16" s="214" t="s">
        <v>730</v>
      </c>
      <c r="L16" s="203"/>
      <c r="M16" s="232"/>
      <c r="N16" s="232"/>
      <c r="O16" s="232"/>
      <c r="P16" s="214" t="s">
        <v>78</v>
      </c>
      <c r="Q16" s="203" t="s">
        <v>623</v>
      </c>
      <c r="U16" s="235"/>
      <c r="V16" s="235"/>
    </row>
    <row r="17" spans="1:256" s="237" customFormat="1" ht="15.75" customHeight="1" x14ac:dyDescent="0.25">
      <c r="A17" s="236" t="s">
        <v>22</v>
      </c>
      <c r="B17" s="231">
        <v>1</v>
      </c>
      <c r="C17" s="231">
        <v>1</v>
      </c>
      <c r="D17" s="394" t="s">
        <v>425</v>
      </c>
      <c r="E17" s="232" t="s">
        <v>452</v>
      </c>
      <c r="F17" s="214" t="s">
        <v>131</v>
      </c>
      <c r="G17" s="231">
        <v>1024</v>
      </c>
      <c r="H17" s="214" t="s">
        <v>16</v>
      </c>
      <c r="I17" s="214" t="s">
        <v>17</v>
      </c>
      <c r="J17" s="231"/>
      <c r="K17" s="214" t="s">
        <v>730</v>
      </c>
      <c r="L17" s="236"/>
      <c r="M17" s="232"/>
      <c r="N17" s="232"/>
      <c r="O17" s="232"/>
      <c r="P17" s="214" t="s">
        <v>78</v>
      </c>
      <c r="Q17" s="203" t="s">
        <v>624</v>
      </c>
    </row>
    <row r="18" spans="1:256" s="401" customFormat="1" x14ac:dyDescent="0.25">
      <c r="A18" s="270" t="s">
        <v>22</v>
      </c>
      <c r="B18" s="396">
        <v>1</v>
      </c>
      <c r="C18" s="396">
        <v>1</v>
      </c>
      <c r="D18" s="397" t="s">
        <v>549</v>
      </c>
      <c r="E18" s="398" t="s">
        <v>163</v>
      </c>
      <c r="F18" s="272" t="s">
        <v>131</v>
      </c>
      <c r="G18" s="396">
        <v>1024</v>
      </c>
      <c r="H18" s="272" t="s">
        <v>16</v>
      </c>
      <c r="I18" s="272" t="s">
        <v>171</v>
      </c>
      <c r="J18" s="272"/>
      <c r="K18" s="272" t="s">
        <v>18</v>
      </c>
      <c r="L18" s="270"/>
      <c r="M18" s="399"/>
      <c r="N18" s="399"/>
      <c r="O18" s="399"/>
      <c r="P18" s="400"/>
      <c r="Q18" s="270" t="s">
        <v>728</v>
      </c>
    </row>
    <row r="19" spans="1:256" s="401" customFormat="1" x14ac:dyDescent="0.25">
      <c r="A19" s="270" t="s">
        <v>22</v>
      </c>
      <c r="B19" s="396">
        <v>1</v>
      </c>
      <c r="C19" s="396">
        <v>1</v>
      </c>
      <c r="D19" s="397" t="s">
        <v>801</v>
      </c>
      <c r="E19" s="398" t="s">
        <v>802</v>
      </c>
      <c r="F19" s="272" t="s">
        <v>131</v>
      </c>
      <c r="G19" s="396">
        <v>1024</v>
      </c>
      <c r="H19" s="272" t="s">
        <v>16</v>
      </c>
      <c r="I19" s="272" t="s">
        <v>171</v>
      </c>
      <c r="J19" s="272"/>
      <c r="K19" s="272" t="s">
        <v>18</v>
      </c>
      <c r="L19" s="270"/>
      <c r="M19" s="399"/>
      <c r="N19" s="399"/>
      <c r="O19" s="399"/>
      <c r="P19" s="400"/>
      <c r="Q19" s="397" t="s">
        <v>803</v>
      </c>
    </row>
    <row r="20" spans="1:256" s="234" customFormat="1" x14ac:dyDescent="0.25">
      <c r="A20" s="203" t="s">
        <v>22</v>
      </c>
      <c r="B20" s="231">
        <v>1</v>
      </c>
      <c r="C20" s="231">
        <v>1</v>
      </c>
      <c r="D20" s="394" t="s">
        <v>422</v>
      </c>
      <c r="E20" s="232" t="s">
        <v>130</v>
      </c>
      <c r="F20" s="214" t="s">
        <v>131</v>
      </c>
      <c r="G20" s="231">
        <v>1024</v>
      </c>
      <c r="H20" s="214" t="s">
        <v>16</v>
      </c>
      <c r="I20" s="214" t="s">
        <v>17</v>
      </c>
      <c r="J20" s="214"/>
      <c r="K20" s="214" t="s">
        <v>863</v>
      </c>
      <c r="L20" s="203"/>
      <c r="M20" s="232"/>
      <c r="N20" s="232"/>
      <c r="O20" s="232"/>
      <c r="P20" s="233" t="s">
        <v>79</v>
      </c>
      <c r="Q20" s="203" t="s">
        <v>529</v>
      </c>
      <c r="U20" s="235"/>
      <c r="V20" s="235"/>
    </row>
    <row r="21" spans="1:256" s="237" customFormat="1" ht="15.75" customHeight="1" x14ac:dyDescent="0.25">
      <c r="A21" s="236" t="s">
        <v>22</v>
      </c>
      <c r="B21" s="231">
        <v>1</v>
      </c>
      <c r="C21" s="231">
        <v>1</v>
      </c>
      <c r="D21" s="394" t="s">
        <v>424</v>
      </c>
      <c r="E21" s="232" t="s">
        <v>129</v>
      </c>
      <c r="F21" s="214" t="s">
        <v>131</v>
      </c>
      <c r="G21" s="231">
        <v>1024</v>
      </c>
      <c r="H21" s="214" t="s">
        <v>16</v>
      </c>
      <c r="I21" s="214" t="s">
        <v>17</v>
      </c>
      <c r="J21" s="231"/>
      <c r="K21" s="214" t="s">
        <v>863</v>
      </c>
      <c r="L21" s="236"/>
      <c r="M21" s="232"/>
      <c r="N21" s="232"/>
      <c r="O21" s="232"/>
      <c r="P21" s="233" t="s">
        <v>79</v>
      </c>
      <c r="Q21" s="203" t="s">
        <v>530</v>
      </c>
    </row>
    <row r="22" spans="1:256" s="190" customFormat="1" x14ac:dyDescent="0.25">
      <c r="A22" s="286" t="s">
        <v>22</v>
      </c>
      <c r="B22" s="285">
        <v>1</v>
      </c>
      <c r="C22" s="285">
        <v>1</v>
      </c>
      <c r="D22" s="405" t="s">
        <v>421</v>
      </c>
      <c r="E22" s="189" t="s">
        <v>349</v>
      </c>
      <c r="F22" s="288" t="s">
        <v>131</v>
      </c>
      <c r="G22" s="285">
        <v>1024</v>
      </c>
      <c r="H22" s="288" t="s">
        <v>16</v>
      </c>
      <c r="I22" s="288" t="s">
        <v>26</v>
      </c>
      <c r="J22" s="285">
        <v>64</v>
      </c>
      <c r="K22" s="288" t="s">
        <v>18</v>
      </c>
      <c r="L22" s="286"/>
      <c r="M22" s="189"/>
      <c r="N22" s="189"/>
      <c r="O22" s="189"/>
      <c r="P22" s="288"/>
      <c r="Q22" s="189" t="s">
        <v>532</v>
      </c>
      <c r="R22" s="329"/>
      <c r="S22" s="329"/>
      <c r="T22" s="329"/>
      <c r="U22" s="329"/>
      <c r="V22" s="329"/>
      <c r="W22" s="329"/>
      <c r="X22" s="329"/>
      <c r="Y22" s="329"/>
      <c r="Z22" s="329"/>
      <c r="AA22" s="329"/>
      <c r="AB22" s="329"/>
      <c r="AC22" s="329"/>
      <c r="AD22" s="329"/>
      <c r="AE22" s="329"/>
      <c r="AF22" s="329"/>
      <c r="AG22" s="329"/>
      <c r="AH22" s="329"/>
      <c r="AI22" s="329"/>
      <c r="AJ22" s="329"/>
      <c r="AK22" s="329"/>
      <c r="AL22" s="329"/>
      <c r="AM22" s="329"/>
      <c r="AN22" s="329"/>
      <c r="AO22" s="329"/>
      <c r="AP22" s="329"/>
      <c r="AQ22" s="329"/>
      <c r="AR22" s="329"/>
      <c r="AS22" s="329"/>
      <c r="AT22" s="329"/>
      <c r="AU22" s="329"/>
      <c r="AV22" s="329"/>
      <c r="AW22" s="329"/>
      <c r="AX22" s="329"/>
      <c r="AY22" s="329"/>
      <c r="AZ22" s="329"/>
      <c r="BA22" s="329"/>
      <c r="BB22" s="329"/>
      <c r="BC22" s="329"/>
      <c r="BD22" s="329"/>
      <c r="BE22" s="329"/>
      <c r="BF22" s="329"/>
      <c r="BG22" s="329"/>
      <c r="BH22" s="329"/>
      <c r="BI22" s="329"/>
      <c r="BJ22" s="329"/>
      <c r="BK22" s="329"/>
      <c r="BL22" s="329"/>
      <c r="BM22" s="329"/>
      <c r="BN22" s="329"/>
      <c r="BO22" s="329"/>
      <c r="BP22" s="329"/>
      <c r="BQ22" s="329"/>
      <c r="BR22" s="329"/>
      <c r="BS22" s="329"/>
      <c r="BT22" s="329"/>
      <c r="BU22" s="329"/>
      <c r="BV22" s="329"/>
      <c r="BW22" s="329"/>
      <c r="BX22" s="329"/>
      <c r="BY22" s="329"/>
      <c r="BZ22" s="329"/>
      <c r="CA22" s="329"/>
      <c r="CB22" s="329"/>
      <c r="CC22" s="329"/>
      <c r="CD22" s="329"/>
      <c r="CE22" s="329"/>
      <c r="CF22" s="329"/>
      <c r="CG22" s="329"/>
      <c r="CH22" s="329"/>
      <c r="CI22" s="329"/>
      <c r="CJ22" s="329"/>
      <c r="CK22" s="329"/>
      <c r="CL22" s="329"/>
      <c r="CM22" s="329"/>
      <c r="CN22" s="329"/>
      <c r="CO22" s="329"/>
      <c r="CP22" s="329"/>
      <c r="CQ22" s="329"/>
      <c r="CR22" s="329"/>
      <c r="CS22" s="329"/>
      <c r="CT22" s="329"/>
      <c r="CU22" s="329"/>
      <c r="CV22" s="329"/>
      <c r="CW22" s="329"/>
      <c r="CX22" s="329"/>
      <c r="CY22" s="329"/>
      <c r="CZ22" s="329"/>
      <c r="DA22" s="329"/>
      <c r="DB22" s="329"/>
      <c r="DC22" s="329"/>
      <c r="DD22" s="329"/>
      <c r="DE22" s="329"/>
      <c r="DF22" s="329"/>
      <c r="DG22" s="329"/>
      <c r="DH22" s="329"/>
      <c r="DI22" s="329"/>
      <c r="DJ22" s="329"/>
      <c r="DK22" s="329"/>
      <c r="DL22" s="329"/>
      <c r="DM22" s="329"/>
      <c r="DN22" s="329"/>
      <c r="DO22" s="329"/>
      <c r="DP22" s="329"/>
      <c r="DQ22" s="329"/>
      <c r="DR22" s="329"/>
      <c r="DS22" s="329"/>
      <c r="DT22" s="329"/>
      <c r="DU22" s="329"/>
      <c r="DV22" s="329"/>
      <c r="DW22" s="329"/>
      <c r="DX22" s="329"/>
      <c r="DY22" s="329"/>
      <c r="DZ22" s="329"/>
      <c r="EA22" s="329"/>
      <c r="EB22" s="329"/>
      <c r="EC22" s="329"/>
      <c r="ED22" s="329"/>
      <c r="EE22" s="329"/>
      <c r="EF22" s="329"/>
      <c r="EG22" s="329"/>
      <c r="EH22" s="329"/>
      <c r="EI22" s="329"/>
      <c r="EJ22" s="329"/>
      <c r="EK22" s="329"/>
      <c r="EL22" s="329"/>
      <c r="EM22" s="329"/>
      <c r="EN22" s="329"/>
      <c r="EO22" s="329"/>
      <c r="EP22" s="329"/>
      <c r="EQ22" s="329"/>
      <c r="ER22" s="329"/>
      <c r="ES22" s="329"/>
      <c r="ET22" s="329"/>
      <c r="EU22" s="329"/>
      <c r="EV22" s="329"/>
      <c r="EW22" s="329"/>
      <c r="EX22" s="329"/>
      <c r="EY22" s="329"/>
      <c r="EZ22" s="329"/>
      <c r="FA22" s="329"/>
      <c r="FB22" s="329"/>
      <c r="FC22" s="329"/>
      <c r="FD22" s="329"/>
      <c r="FE22" s="329"/>
      <c r="FF22" s="329"/>
      <c r="FG22" s="329"/>
      <c r="FH22" s="329"/>
      <c r="FI22" s="329"/>
      <c r="FJ22" s="329"/>
      <c r="FK22" s="329"/>
      <c r="FL22" s="329"/>
      <c r="FM22" s="329"/>
      <c r="FN22" s="329"/>
      <c r="FO22" s="329"/>
      <c r="FP22" s="329"/>
      <c r="FQ22" s="329"/>
      <c r="FR22" s="329"/>
      <c r="FS22" s="329"/>
      <c r="FT22" s="329"/>
      <c r="FU22" s="329"/>
      <c r="FV22" s="329"/>
      <c r="FW22" s="329"/>
      <c r="FX22" s="329"/>
      <c r="FY22" s="329"/>
      <c r="FZ22" s="329"/>
      <c r="GA22" s="329"/>
      <c r="GB22" s="329"/>
      <c r="GC22" s="329"/>
      <c r="GD22" s="329"/>
      <c r="GE22" s="329"/>
      <c r="GF22" s="329"/>
      <c r="GG22" s="329"/>
      <c r="GH22" s="329"/>
      <c r="GI22" s="329"/>
      <c r="GJ22" s="329"/>
      <c r="GK22" s="329"/>
      <c r="GL22" s="329"/>
      <c r="GM22" s="329"/>
      <c r="GN22" s="329"/>
      <c r="GO22" s="329"/>
      <c r="GP22" s="329"/>
      <c r="GQ22" s="329"/>
      <c r="GR22" s="329"/>
      <c r="GS22" s="329"/>
      <c r="GT22" s="329"/>
      <c r="GU22" s="329"/>
      <c r="GV22" s="329"/>
      <c r="GW22" s="329"/>
      <c r="GX22" s="329"/>
      <c r="GY22" s="329"/>
      <c r="GZ22" s="329"/>
      <c r="HA22" s="329"/>
      <c r="HB22" s="329"/>
      <c r="HC22" s="329"/>
      <c r="HD22" s="329"/>
      <c r="HE22" s="329"/>
      <c r="HF22" s="329"/>
      <c r="HG22" s="329"/>
      <c r="HH22" s="329"/>
      <c r="HI22" s="329"/>
      <c r="HJ22" s="329"/>
      <c r="HK22" s="329"/>
      <c r="HL22" s="329"/>
      <c r="HM22" s="329"/>
      <c r="HN22" s="329"/>
      <c r="HO22" s="329"/>
      <c r="HP22" s="329"/>
      <c r="HQ22" s="329"/>
      <c r="HR22" s="329"/>
      <c r="HS22" s="329"/>
      <c r="HT22" s="329"/>
      <c r="HU22" s="329"/>
      <c r="HV22" s="329"/>
      <c r="HW22" s="329"/>
      <c r="HX22" s="329"/>
      <c r="HY22" s="329"/>
      <c r="HZ22" s="329"/>
      <c r="IA22" s="329"/>
      <c r="IB22" s="329"/>
      <c r="IC22" s="329"/>
      <c r="ID22" s="329"/>
      <c r="IE22" s="329"/>
      <c r="IF22" s="329"/>
      <c r="IG22" s="329"/>
      <c r="IH22" s="329"/>
      <c r="II22" s="329"/>
      <c r="IJ22" s="329"/>
      <c r="IK22" s="329"/>
      <c r="IL22" s="329"/>
      <c r="IM22" s="329"/>
      <c r="IN22" s="329"/>
      <c r="IO22" s="329"/>
      <c r="IP22" s="329"/>
      <c r="IQ22" s="329"/>
      <c r="IR22" s="329"/>
      <c r="IS22" s="329"/>
      <c r="IT22" s="329"/>
      <c r="IU22" s="329"/>
      <c r="IV22" s="329"/>
    </row>
    <row r="23" spans="1:256" s="242" customFormat="1" ht="15" customHeight="1" x14ac:dyDescent="0.25">
      <c r="A23" s="238" t="s">
        <v>22</v>
      </c>
      <c r="B23" s="239">
        <v>1</v>
      </c>
      <c r="C23" s="239">
        <v>1</v>
      </c>
      <c r="D23" s="395" t="s">
        <v>889</v>
      </c>
      <c r="E23" s="533" t="s">
        <v>890</v>
      </c>
      <c r="F23" s="241" t="s">
        <v>131</v>
      </c>
      <c r="G23" s="239" t="s">
        <v>21</v>
      </c>
      <c r="H23" s="241" t="s">
        <v>16</v>
      </c>
      <c r="I23" s="241" t="s">
        <v>17</v>
      </c>
      <c r="J23" s="239"/>
      <c r="K23" s="241" t="s">
        <v>251</v>
      </c>
      <c r="L23" s="238"/>
      <c r="M23" s="533"/>
      <c r="N23" s="533"/>
      <c r="O23" s="533"/>
      <c r="P23" s="534" t="s">
        <v>313</v>
      </c>
      <c r="Q23" s="240" t="s">
        <v>891</v>
      </c>
    </row>
    <row r="24" spans="1:256" s="242" customFormat="1" ht="15" customHeight="1" x14ac:dyDescent="0.25">
      <c r="A24" s="238" t="s">
        <v>22</v>
      </c>
      <c r="B24" s="239">
        <v>2</v>
      </c>
      <c r="C24" s="239">
        <v>1</v>
      </c>
      <c r="D24" s="395" t="s">
        <v>432</v>
      </c>
      <c r="E24" s="240" t="s">
        <v>524</v>
      </c>
      <c r="F24" s="241" t="s">
        <v>87</v>
      </c>
      <c r="G24" s="239" t="s">
        <v>21</v>
      </c>
      <c r="H24" s="241" t="s">
        <v>16</v>
      </c>
      <c r="I24" s="241" t="s">
        <v>30</v>
      </c>
      <c r="J24" s="239"/>
      <c r="K24" s="241" t="s">
        <v>431</v>
      </c>
      <c r="L24" s="238"/>
      <c r="M24" s="240"/>
      <c r="N24" s="240"/>
      <c r="O24" s="240"/>
      <c r="P24" s="241"/>
      <c r="Q24" s="240" t="s">
        <v>620</v>
      </c>
    </row>
    <row r="25" spans="1:256" s="242" customFormat="1" ht="15" customHeight="1" x14ac:dyDescent="0.25">
      <c r="A25" s="238" t="s">
        <v>22</v>
      </c>
      <c r="B25" s="239"/>
      <c r="C25" s="239">
        <v>1</v>
      </c>
      <c r="D25" s="395" t="s">
        <v>433</v>
      </c>
      <c r="E25" s="240" t="s">
        <v>525</v>
      </c>
      <c r="F25" s="241" t="s">
        <v>87</v>
      </c>
      <c r="G25" s="239" t="s">
        <v>21</v>
      </c>
      <c r="H25" s="241" t="s">
        <v>16</v>
      </c>
      <c r="I25" s="241" t="s">
        <v>30</v>
      </c>
      <c r="J25" s="239"/>
      <c r="K25" s="241" t="s">
        <v>431</v>
      </c>
      <c r="L25" s="238"/>
      <c r="M25" s="240"/>
      <c r="N25" s="240"/>
      <c r="O25" s="240"/>
      <c r="P25" s="241"/>
      <c r="Q25" s="240" t="s">
        <v>622</v>
      </c>
    </row>
    <row r="26" spans="1:256" s="242" customFormat="1" ht="15" customHeight="1" x14ac:dyDescent="0.25">
      <c r="A26" s="238" t="s">
        <v>22</v>
      </c>
      <c r="B26" s="239"/>
      <c r="C26" s="239">
        <v>1</v>
      </c>
      <c r="D26" s="406" t="s">
        <v>434</v>
      </c>
      <c r="E26" s="240" t="s">
        <v>526</v>
      </c>
      <c r="F26" s="241" t="s">
        <v>87</v>
      </c>
      <c r="G26" s="239" t="s">
        <v>21</v>
      </c>
      <c r="H26" s="241" t="s">
        <v>16</v>
      </c>
      <c r="I26" s="241" t="s">
        <v>30</v>
      </c>
      <c r="J26" s="239"/>
      <c r="K26" s="241" t="s">
        <v>431</v>
      </c>
      <c r="L26" s="238"/>
      <c r="M26" s="240"/>
      <c r="N26" s="240"/>
      <c r="O26" s="240"/>
      <c r="P26" s="241"/>
      <c r="Q26" s="240" t="s">
        <v>621</v>
      </c>
    </row>
    <row r="27" spans="1:256" s="242" customFormat="1" ht="15" customHeight="1" x14ac:dyDescent="0.25">
      <c r="A27" s="238" t="s">
        <v>22</v>
      </c>
      <c r="B27" s="239"/>
      <c r="C27" s="239">
        <v>1</v>
      </c>
      <c r="D27" s="406" t="s">
        <v>892</v>
      </c>
      <c r="E27" s="240" t="s">
        <v>893</v>
      </c>
      <c r="F27" s="241" t="s">
        <v>131</v>
      </c>
      <c r="G27" s="239" t="s">
        <v>21</v>
      </c>
      <c r="H27" s="241" t="s">
        <v>16</v>
      </c>
      <c r="I27" s="241" t="s">
        <v>30</v>
      </c>
      <c r="J27" s="239"/>
      <c r="K27" s="241" t="s">
        <v>431</v>
      </c>
      <c r="L27" s="238"/>
      <c r="M27" s="240"/>
      <c r="N27" s="240"/>
      <c r="O27" s="240"/>
      <c r="P27" s="241"/>
      <c r="Q27" s="240" t="s">
        <v>894</v>
      </c>
    </row>
    <row r="28" spans="1:256" s="242" customFormat="1" ht="15" customHeight="1" x14ac:dyDescent="0.25">
      <c r="A28" s="238" t="s">
        <v>22</v>
      </c>
      <c r="B28" s="239"/>
      <c r="C28" s="239">
        <v>1</v>
      </c>
      <c r="D28" s="406" t="s">
        <v>895</v>
      </c>
      <c r="E28" s="240" t="s">
        <v>896</v>
      </c>
      <c r="F28" s="241" t="s">
        <v>131</v>
      </c>
      <c r="G28" s="239" t="s">
        <v>21</v>
      </c>
      <c r="H28" s="241" t="s">
        <v>16</v>
      </c>
      <c r="I28" s="241" t="s">
        <v>30</v>
      </c>
      <c r="J28" s="239"/>
      <c r="K28" s="241" t="s">
        <v>431</v>
      </c>
      <c r="L28" s="238"/>
      <c r="M28" s="240"/>
      <c r="N28" s="240"/>
      <c r="O28" s="240"/>
      <c r="P28" s="241"/>
      <c r="Q28" s="240" t="s">
        <v>897</v>
      </c>
    </row>
    <row r="29" spans="1:256" s="242" customFormat="1" ht="15" customHeight="1" x14ac:dyDescent="0.25">
      <c r="A29" s="238" t="s">
        <v>22</v>
      </c>
      <c r="B29" s="239"/>
      <c r="C29" s="239">
        <v>1</v>
      </c>
      <c r="D29" s="406" t="s">
        <v>898</v>
      </c>
      <c r="E29" s="240" t="s">
        <v>899</v>
      </c>
      <c r="F29" s="241" t="s">
        <v>131</v>
      </c>
      <c r="G29" s="239" t="s">
        <v>21</v>
      </c>
      <c r="H29" s="241" t="s">
        <v>16</v>
      </c>
      <c r="I29" s="241" t="s">
        <v>30</v>
      </c>
      <c r="J29" s="239"/>
      <c r="K29" s="241" t="s">
        <v>431</v>
      </c>
      <c r="L29" s="238"/>
      <c r="M29" s="240"/>
      <c r="N29" s="240"/>
      <c r="O29" s="240"/>
      <c r="P29" s="241"/>
      <c r="Q29" s="240" t="s">
        <v>900</v>
      </c>
    </row>
    <row r="30" spans="1:256" s="242" customFormat="1" ht="15" customHeight="1" x14ac:dyDescent="0.25">
      <c r="A30" s="238" t="s">
        <v>22</v>
      </c>
      <c r="B30" s="239"/>
      <c r="C30" s="239">
        <v>1</v>
      </c>
      <c r="D30" s="406" t="s">
        <v>901</v>
      </c>
      <c r="E30" s="533" t="s">
        <v>902</v>
      </c>
      <c r="F30" s="241" t="s">
        <v>131</v>
      </c>
      <c r="G30" s="239" t="s">
        <v>21</v>
      </c>
      <c r="H30" s="241" t="s">
        <v>16</v>
      </c>
      <c r="I30" s="241" t="s">
        <v>38</v>
      </c>
      <c r="J30" s="239"/>
      <c r="K30" s="241" t="s">
        <v>18</v>
      </c>
      <c r="L30" s="238"/>
      <c r="M30" s="240"/>
      <c r="N30" s="240"/>
      <c r="O30" s="240"/>
      <c r="P30" s="241" t="s">
        <v>903</v>
      </c>
      <c r="Q30" s="240" t="s">
        <v>904</v>
      </c>
    </row>
    <row r="31" spans="1:256" s="242" customFormat="1" ht="15" customHeight="1" x14ac:dyDescent="0.25">
      <c r="A31" s="238" t="s">
        <v>22</v>
      </c>
      <c r="B31" s="239"/>
      <c r="C31" s="239">
        <v>1</v>
      </c>
      <c r="D31" s="395" t="s">
        <v>905</v>
      </c>
      <c r="E31" s="533" t="s">
        <v>906</v>
      </c>
      <c r="F31" s="241" t="s">
        <v>131</v>
      </c>
      <c r="G31" s="239" t="s">
        <v>21</v>
      </c>
      <c r="H31" s="241" t="s">
        <v>16</v>
      </c>
      <c r="I31" s="241" t="s">
        <v>17</v>
      </c>
      <c r="J31" s="239"/>
      <c r="K31" s="241" t="s">
        <v>251</v>
      </c>
      <c r="L31" s="238"/>
      <c r="M31" s="533"/>
      <c r="N31" s="533"/>
      <c r="O31" s="533"/>
      <c r="P31" s="534" t="s">
        <v>27</v>
      </c>
      <c r="Q31" s="240" t="s">
        <v>907</v>
      </c>
    </row>
    <row r="32" spans="1:256" s="242" customFormat="1" ht="15" customHeight="1" x14ac:dyDescent="0.25">
      <c r="A32" s="238" t="s">
        <v>22</v>
      </c>
      <c r="B32" s="239"/>
      <c r="C32" s="239">
        <v>1</v>
      </c>
      <c r="D32" s="395" t="s">
        <v>908</v>
      </c>
      <c r="E32" s="533" t="s">
        <v>909</v>
      </c>
      <c r="F32" s="241" t="s">
        <v>131</v>
      </c>
      <c r="G32" s="239" t="s">
        <v>21</v>
      </c>
      <c r="H32" s="241" t="s">
        <v>16</v>
      </c>
      <c r="I32" s="241" t="s">
        <v>17</v>
      </c>
      <c r="J32" s="239"/>
      <c r="K32" s="241" t="s">
        <v>251</v>
      </c>
      <c r="L32" s="238"/>
      <c r="M32" s="533"/>
      <c r="N32" s="533"/>
      <c r="O32" s="533"/>
      <c r="P32" s="534" t="s">
        <v>27</v>
      </c>
      <c r="Q32" s="240" t="s">
        <v>910</v>
      </c>
    </row>
    <row r="33" spans="1:256" s="242" customFormat="1" ht="15" customHeight="1" x14ac:dyDescent="0.25">
      <c r="A33" s="238" t="s">
        <v>22</v>
      </c>
      <c r="B33" s="239"/>
      <c r="C33" s="239">
        <v>1</v>
      </c>
      <c r="D33" s="395" t="s">
        <v>911</v>
      </c>
      <c r="E33" s="533" t="s">
        <v>912</v>
      </c>
      <c r="F33" s="241" t="s">
        <v>131</v>
      </c>
      <c r="G33" s="239" t="s">
        <v>21</v>
      </c>
      <c r="H33" s="241" t="s">
        <v>16</v>
      </c>
      <c r="I33" s="241" t="s">
        <v>17</v>
      </c>
      <c r="J33" s="239"/>
      <c r="K33" s="241" t="s">
        <v>251</v>
      </c>
      <c r="L33" s="238"/>
      <c r="M33" s="533"/>
      <c r="N33" s="533"/>
      <c r="O33" s="533"/>
      <c r="P33" s="534" t="s">
        <v>27</v>
      </c>
      <c r="Q33" s="240" t="s">
        <v>913</v>
      </c>
    </row>
    <row r="34" spans="1:256" s="242" customFormat="1" ht="15" customHeight="1" x14ac:dyDescent="0.25">
      <c r="A34" s="238" t="s">
        <v>22</v>
      </c>
      <c r="B34" s="239"/>
      <c r="C34" s="239">
        <v>1</v>
      </c>
      <c r="D34" s="395" t="s">
        <v>914</v>
      </c>
      <c r="E34" s="533" t="s">
        <v>915</v>
      </c>
      <c r="F34" s="241" t="s">
        <v>131</v>
      </c>
      <c r="G34" s="239" t="s">
        <v>21</v>
      </c>
      <c r="H34" s="241" t="s">
        <v>16</v>
      </c>
      <c r="I34" s="241" t="s">
        <v>17</v>
      </c>
      <c r="J34" s="239"/>
      <c r="K34" s="241" t="s">
        <v>251</v>
      </c>
      <c r="L34" s="238"/>
      <c r="M34" s="533"/>
      <c r="N34" s="533"/>
      <c r="O34" s="533"/>
      <c r="P34" s="534" t="s">
        <v>27</v>
      </c>
      <c r="Q34" s="240" t="s">
        <v>916</v>
      </c>
    </row>
    <row r="35" spans="1:256" s="242" customFormat="1" ht="15" customHeight="1" x14ac:dyDescent="0.25">
      <c r="A35" s="238" t="s">
        <v>22</v>
      </c>
      <c r="B35" s="239"/>
      <c r="C35" s="239">
        <v>1</v>
      </c>
      <c r="D35" s="395" t="s">
        <v>917</v>
      </c>
      <c r="E35" s="533" t="s">
        <v>918</v>
      </c>
      <c r="F35" s="241" t="s">
        <v>131</v>
      </c>
      <c r="G35" s="239" t="s">
        <v>21</v>
      </c>
      <c r="H35" s="241" t="s">
        <v>16</v>
      </c>
      <c r="I35" s="241" t="s">
        <v>17</v>
      </c>
      <c r="J35" s="239"/>
      <c r="K35" s="241" t="s">
        <v>251</v>
      </c>
      <c r="L35" s="238"/>
      <c r="M35" s="533"/>
      <c r="N35" s="533"/>
      <c r="O35" s="533"/>
      <c r="P35" s="534" t="s">
        <v>27</v>
      </c>
      <c r="Q35" s="240" t="s">
        <v>919</v>
      </c>
    </row>
    <row r="36" spans="1:256" s="242" customFormat="1" x14ac:dyDescent="0.25">
      <c r="A36" s="238" t="s">
        <v>22</v>
      </c>
      <c r="B36" s="239"/>
      <c r="C36" s="239">
        <v>1</v>
      </c>
      <c r="D36" s="395" t="s">
        <v>920</v>
      </c>
      <c r="E36" s="533" t="s">
        <v>921</v>
      </c>
      <c r="F36" s="241" t="s">
        <v>131</v>
      </c>
      <c r="G36" s="239" t="s">
        <v>21</v>
      </c>
      <c r="H36" s="241" t="s">
        <v>16</v>
      </c>
      <c r="I36" s="241" t="s">
        <v>17</v>
      </c>
      <c r="J36" s="239"/>
      <c r="K36" s="241" t="s">
        <v>730</v>
      </c>
      <c r="L36" s="238"/>
      <c r="M36" s="533"/>
      <c r="N36" s="533"/>
      <c r="O36" s="533"/>
      <c r="P36" s="534" t="s">
        <v>79</v>
      </c>
      <c r="Q36" s="240" t="s">
        <v>922</v>
      </c>
    </row>
    <row r="37" spans="1:256" s="242" customFormat="1" ht="15.75" customHeight="1" x14ac:dyDescent="0.25">
      <c r="A37" s="238" t="s">
        <v>22</v>
      </c>
      <c r="B37" s="239"/>
      <c r="C37" s="239">
        <v>1</v>
      </c>
      <c r="D37" s="395" t="s">
        <v>923</v>
      </c>
      <c r="E37" s="533" t="s">
        <v>924</v>
      </c>
      <c r="F37" s="241" t="s">
        <v>131</v>
      </c>
      <c r="G37" s="239" t="s">
        <v>21</v>
      </c>
      <c r="H37" s="241" t="s">
        <v>16</v>
      </c>
      <c r="I37" s="241" t="s">
        <v>17</v>
      </c>
      <c r="J37" s="239"/>
      <c r="K37" s="241" t="s">
        <v>730</v>
      </c>
      <c r="L37" s="238"/>
      <c r="M37" s="533"/>
      <c r="N37" s="533"/>
      <c r="O37" s="533"/>
      <c r="P37" s="534" t="s">
        <v>749</v>
      </c>
      <c r="Q37" s="240" t="s">
        <v>925</v>
      </c>
    </row>
    <row r="38" spans="1:256" s="242" customFormat="1" ht="15.75" customHeight="1" x14ac:dyDescent="0.25">
      <c r="A38" s="238" t="s">
        <v>22</v>
      </c>
      <c r="B38" s="239"/>
      <c r="C38" s="239">
        <v>1</v>
      </c>
      <c r="D38" s="395" t="s">
        <v>926</v>
      </c>
      <c r="E38" s="533" t="s">
        <v>927</v>
      </c>
      <c r="F38" s="241" t="s">
        <v>131</v>
      </c>
      <c r="G38" s="239" t="s">
        <v>21</v>
      </c>
      <c r="H38" s="241" t="s">
        <v>16</v>
      </c>
      <c r="I38" s="241" t="s">
        <v>17</v>
      </c>
      <c r="J38" s="239"/>
      <c r="K38" s="241" t="s">
        <v>730</v>
      </c>
      <c r="L38" s="238"/>
      <c r="M38" s="533"/>
      <c r="N38" s="533"/>
      <c r="O38" s="533"/>
      <c r="P38" s="534" t="s">
        <v>79</v>
      </c>
      <c r="Q38" s="240" t="s">
        <v>928</v>
      </c>
    </row>
    <row r="39" spans="1:256" s="242" customFormat="1" ht="15.75" customHeight="1" x14ac:dyDescent="0.25">
      <c r="A39" s="238" t="s">
        <v>22</v>
      </c>
      <c r="B39" s="239"/>
      <c r="C39" s="239">
        <v>1</v>
      </c>
      <c r="D39" s="395" t="s">
        <v>929</v>
      </c>
      <c r="E39" s="533" t="s">
        <v>930</v>
      </c>
      <c r="F39" s="241" t="s">
        <v>131</v>
      </c>
      <c r="G39" s="239" t="s">
        <v>21</v>
      </c>
      <c r="H39" s="241" t="s">
        <v>16</v>
      </c>
      <c r="I39" s="241" t="s">
        <v>17</v>
      </c>
      <c r="J39" s="239"/>
      <c r="K39" s="241" t="s">
        <v>730</v>
      </c>
      <c r="L39" s="238"/>
      <c r="M39" s="533"/>
      <c r="N39" s="533"/>
      <c r="O39" s="533"/>
      <c r="P39" s="534" t="s">
        <v>749</v>
      </c>
      <c r="Q39" s="240" t="s">
        <v>931</v>
      </c>
    </row>
    <row r="40" spans="1:256" s="242" customFormat="1" ht="15.75" customHeight="1" x14ac:dyDescent="0.25">
      <c r="A40" s="238" t="s">
        <v>22</v>
      </c>
      <c r="B40" s="239"/>
      <c r="C40" s="239">
        <v>1</v>
      </c>
      <c r="D40" s="395" t="s">
        <v>750</v>
      </c>
      <c r="E40" s="533" t="s">
        <v>748</v>
      </c>
      <c r="F40" s="241" t="s">
        <v>131</v>
      </c>
      <c r="G40" s="239" t="s">
        <v>21</v>
      </c>
      <c r="H40" s="241" t="s">
        <v>16</v>
      </c>
      <c r="I40" s="241" t="s">
        <v>17</v>
      </c>
      <c r="J40" s="239"/>
      <c r="K40" s="241" t="s">
        <v>730</v>
      </c>
      <c r="L40" s="238"/>
      <c r="M40" s="533"/>
      <c r="N40" s="533"/>
      <c r="O40" s="533"/>
      <c r="P40" s="534" t="s">
        <v>749</v>
      </c>
      <c r="Q40" s="240" t="s">
        <v>751</v>
      </c>
    </row>
    <row r="41" spans="1:256" s="298" customFormat="1" ht="15" customHeight="1" x14ac:dyDescent="0.25">
      <c r="A41" s="295" t="s">
        <v>22</v>
      </c>
      <c r="B41" s="292">
        <v>1</v>
      </c>
      <c r="C41" s="292">
        <v>1</v>
      </c>
      <c r="D41" s="296" t="s">
        <v>591</v>
      </c>
      <c r="E41" s="296" t="s">
        <v>590</v>
      </c>
      <c r="F41" s="291" t="s">
        <v>87</v>
      </c>
      <c r="G41" s="292">
        <v>1</v>
      </c>
      <c r="H41" s="291" t="s">
        <v>16</v>
      </c>
      <c r="I41" s="291" t="s">
        <v>30</v>
      </c>
      <c r="J41" s="292"/>
      <c r="K41" s="291" t="s">
        <v>595</v>
      </c>
      <c r="L41" s="295"/>
      <c r="M41" s="296"/>
      <c r="N41" s="296"/>
      <c r="O41" s="296"/>
      <c r="P41" s="291"/>
      <c r="Q41" s="296" t="s">
        <v>592</v>
      </c>
    </row>
    <row r="42" spans="1:256" s="298" customFormat="1" ht="15" customHeight="1" x14ac:dyDescent="0.25">
      <c r="A42" s="295" t="s">
        <v>22</v>
      </c>
      <c r="B42" s="292">
        <v>6</v>
      </c>
      <c r="C42" s="292">
        <v>1</v>
      </c>
      <c r="D42" s="296" t="s">
        <v>655</v>
      </c>
      <c r="E42" s="296" t="s">
        <v>654</v>
      </c>
      <c r="F42" s="513" t="s">
        <v>87</v>
      </c>
      <c r="G42" s="292" t="s">
        <v>21</v>
      </c>
      <c r="H42" s="291" t="s">
        <v>16</v>
      </c>
      <c r="I42" s="291" t="s">
        <v>17</v>
      </c>
      <c r="J42" s="292"/>
      <c r="K42" s="291" t="s">
        <v>692</v>
      </c>
      <c r="L42" s="295"/>
      <c r="M42" s="296"/>
      <c r="N42" s="296"/>
      <c r="O42" s="296"/>
      <c r="P42" s="291" t="s">
        <v>180</v>
      </c>
      <c r="Q42" s="296" t="s">
        <v>698</v>
      </c>
    </row>
    <row r="43" spans="1:256" s="407" customFormat="1" x14ac:dyDescent="0.25">
      <c r="A43" s="295" t="s">
        <v>22</v>
      </c>
      <c r="B43" s="292">
        <v>1</v>
      </c>
      <c r="C43" s="292">
        <v>1</v>
      </c>
      <c r="D43" s="296" t="s">
        <v>435</v>
      </c>
      <c r="E43" s="296" t="s">
        <v>294</v>
      </c>
      <c r="F43" s="513" t="s">
        <v>131</v>
      </c>
      <c r="G43" s="292">
        <v>1024</v>
      </c>
      <c r="H43" s="291" t="s">
        <v>16</v>
      </c>
      <c r="I43" s="291" t="s">
        <v>17</v>
      </c>
      <c r="J43" s="292"/>
      <c r="K43" s="291" t="s">
        <v>251</v>
      </c>
      <c r="L43" s="295"/>
      <c r="M43" s="296"/>
      <c r="N43" s="296"/>
      <c r="O43" s="296"/>
      <c r="P43" s="291" t="s">
        <v>78</v>
      </c>
      <c r="Q43" s="296" t="s">
        <v>527</v>
      </c>
      <c r="R43" s="294"/>
      <c r="S43" s="294"/>
      <c r="T43" s="294"/>
      <c r="U43" s="294"/>
      <c r="V43" s="294"/>
      <c r="W43" s="294"/>
      <c r="X43" s="294"/>
      <c r="Y43" s="294"/>
      <c r="Z43" s="294"/>
      <c r="AA43" s="294"/>
      <c r="AB43" s="294"/>
      <c r="AC43" s="294"/>
      <c r="AD43" s="294"/>
      <c r="AE43" s="294"/>
      <c r="AF43" s="294"/>
      <c r="AG43" s="294"/>
      <c r="AH43" s="294"/>
      <c r="AI43" s="294"/>
      <c r="AJ43" s="294"/>
      <c r="AK43" s="294"/>
      <c r="AL43" s="294"/>
      <c r="AM43" s="294"/>
      <c r="AN43" s="294"/>
      <c r="AO43" s="294"/>
      <c r="AP43" s="294"/>
      <c r="AQ43" s="294"/>
      <c r="AR43" s="294"/>
      <c r="AS43" s="294"/>
      <c r="AT43" s="294"/>
      <c r="AU43" s="294"/>
      <c r="AV43" s="294"/>
      <c r="AW43" s="294"/>
      <c r="AX43" s="294"/>
      <c r="AY43" s="294"/>
      <c r="AZ43" s="294"/>
      <c r="BA43" s="294"/>
      <c r="BB43" s="294"/>
      <c r="BC43" s="294"/>
      <c r="BD43" s="294"/>
      <c r="BE43" s="294"/>
      <c r="BF43" s="294"/>
      <c r="BG43" s="294"/>
      <c r="BH43" s="294"/>
      <c r="BI43" s="294"/>
      <c r="BJ43" s="294"/>
      <c r="BK43" s="294"/>
      <c r="BL43" s="294"/>
      <c r="BM43" s="294"/>
      <c r="BN43" s="294"/>
      <c r="BO43" s="294"/>
      <c r="BP43" s="294"/>
      <c r="BQ43" s="294"/>
      <c r="BR43" s="294"/>
      <c r="BS43" s="294"/>
      <c r="BT43" s="294"/>
      <c r="BU43" s="294"/>
      <c r="BV43" s="294"/>
      <c r="BW43" s="294"/>
      <c r="BX43" s="294"/>
      <c r="BY43" s="294"/>
      <c r="BZ43" s="294"/>
      <c r="CA43" s="294"/>
      <c r="CB43" s="294"/>
      <c r="CC43" s="294"/>
      <c r="CD43" s="294"/>
      <c r="CE43" s="294"/>
      <c r="CF43" s="294"/>
      <c r="CG43" s="294"/>
      <c r="CH43" s="294"/>
      <c r="CI43" s="294"/>
      <c r="CJ43" s="294"/>
      <c r="CK43" s="294"/>
      <c r="CL43" s="294"/>
      <c r="CM43" s="294"/>
      <c r="CN43" s="294"/>
      <c r="CO43" s="294"/>
      <c r="CP43" s="294"/>
      <c r="CQ43" s="294"/>
      <c r="CR43" s="294"/>
      <c r="CS43" s="294"/>
      <c r="CT43" s="294"/>
      <c r="CU43" s="294"/>
      <c r="CV43" s="294"/>
      <c r="CW43" s="294"/>
      <c r="CX43" s="294"/>
      <c r="CY43" s="294"/>
      <c r="CZ43" s="294"/>
      <c r="DA43" s="294"/>
      <c r="DB43" s="294"/>
      <c r="DC43" s="294"/>
      <c r="DD43" s="294"/>
      <c r="DE43" s="294"/>
      <c r="DF43" s="294"/>
      <c r="DG43" s="294"/>
      <c r="DH43" s="294"/>
      <c r="DI43" s="294"/>
      <c r="DJ43" s="294"/>
      <c r="DK43" s="294"/>
      <c r="DL43" s="294"/>
      <c r="DM43" s="294"/>
      <c r="DN43" s="294"/>
      <c r="DO43" s="294"/>
      <c r="DP43" s="294"/>
      <c r="DQ43" s="294"/>
      <c r="DR43" s="294"/>
      <c r="DS43" s="294"/>
      <c r="DT43" s="294"/>
      <c r="DU43" s="294"/>
      <c r="DV43" s="294"/>
      <c r="DW43" s="294"/>
      <c r="DX43" s="294"/>
      <c r="DY43" s="294"/>
      <c r="DZ43" s="294"/>
      <c r="EA43" s="294"/>
      <c r="EB43" s="294"/>
      <c r="EC43" s="294"/>
      <c r="ED43" s="294"/>
      <c r="EE43" s="294"/>
      <c r="EF43" s="294"/>
      <c r="EG43" s="294"/>
      <c r="EH43" s="294"/>
      <c r="EI43" s="294"/>
      <c r="EJ43" s="294"/>
      <c r="EK43" s="294"/>
      <c r="EL43" s="294"/>
      <c r="EM43" s="294"/>
      <c r="EN43" s="294"/>
      <c r="EO43" s="294"/>
      <c r="EP43" s="294"/>
      <c r="EQ43" s="294"/>
      <c r="ER43" s="294"/>
      <c r="ES43" s="294"/>
      <c r="ET43" s="294"/>
      <c r="EU43" s="294"/>
      <c r="EV43" s="294"/>
      <c r="EW43" s="294"/>
      <c r="EX43" s="294"/>
      <c r="EY43" s="294"/>
      <c r="EZ43" s="294"/>
      <c r="FA43" s="294"/>
      <c r="FB43" s="294"/>
      <c r="FC43" s="294"/>
      <c r="FD43" s="294"/>
      <c r="FE43" s="294"/>
      <c r="FF43" s="294"/>
      <c r="FG43" s="294"/>
      <c r="FH43" s="294"/>
      <c r="FI43" s="294"/>
      <c r="FJ43" s="294"/>
      <c r="FK43" s="294"/>
      <c r="FL43" s="294"/>
      <c r="FM43" s="294"/>
      <c r="FN43" s="294"/>
      <c r="FO43" s="294"/>
      <c r="FP43" s="294"/>
      <c r="FQ43" s="294"/>
      <c r="FR43" s="294"/>
      <c r="FS43" s="294"/>
      <c r="FT43" s="294"/>
      <c r="FU43" s="294"/>
      <c r="FV43" s="294"/>
      <c r="FW43" s="294"/>
      <c r="FX43" s="294"/>
      <c r="FY43" s="294"/>
      <c r="FZ43" s="294"/>
      <c r="GA43" s="294"/>
      <c r="GB43" s="294"/>
      <c r="GC43" s="294"/>
      <c r="GD43" s="294"/>
      <c r="GE43" s="294"/>
      <c r="GF43" s="294"/>
      <c r="GG43" s="294"/>
      <c r="GH43" s="294"/>
      <c r="GI43" s="294"/>
      <c r="GJ43" s="294"/>
      <c r="GK43" s="294"/>
      <c r="GL43" s="294"/>
      <c r="GM43" s="294"/>
      <c r="GN43" s="294"/>
      <c r="GO43" s="294"/>
      <c r="GP43" s="294"/>
      <c r="GQ43" s="294"/>
      <c r="GR43" s="294"/>
      <c r="GS43" s="294"/>
      <c r="GT43" s="294"/>
      <c r="GU43" s="294"/>
      <c r="GV43" s="294"/>
      <c r="GW43" s="294"/>
      <c r="GX43" s="294"/>
      <c r="GY43" s="294"/>
      <c r="GZ43" s="294"/>
      <c r="HA43" s="294"/>
      <c r="HB43" s="294"/>
      <c r="HC43" s="294"/>
      <c r="HD43" s="294"/>
      <c r="HE43" s="294"/>
      <c r="HF43" s="294"/>
      <c r="HG43" s="294"/>
      <c r="HH43" s="294"/>
      <c r="HI43" s="294"/>
      <c r="HJ43" s="294"/>
      <c r="HK43" s="294"/>
      <c r="HL43" s="294"/>
      <c r="HM43" s="294"/>
      <c r="HN43" s="294"/>
      <c r="HO43" s="294"/>
      <c r="HP43" s="294"/>
      <c r="HQ43" s="294"/>
      <c r="HR43" s="294"/>
      <c r="HS43" s="294"/>
      <c r="HT43" s="294"/>
      <c r="HU43" s="294"/>
      <c r="HV43" s="294"/>
      <c r="HW43" s="294"/>
      <c r="HX43" s="294"/>
      <c r="HY43" s="294"/>
      <c r="HZ43" s="294"/>
      <c r="IA43" s="294"/>
      <c r="IB43" s="294"/>
      <c r="IC43" s="294"/>
      <c r="ID43" s="294"/>
      <c r="IE43" s="294"/>
      <c r="IF43" s="294"/>
      <c r="IG43" s="294"/>
      <c r="IH43" s="294"/>
      <c r="II43" s="294"/>
      <c r="IJ43" s="294"/>
      <c r="IK43" s="294"/>
      <c r="IL43" s="294"/>
      <c r="IM43" s="294"/>
      <c r="IN43" s="294"/>
      <c r="IO43" s="294"/>
      <c r="IP43" s="294"/>
      <c r="IQ43" s="294"/>
      <c r="IR43" s="294"/>
      <c r="IS43" s="294"/>
      <c r="IT43" s="294"/>
      <c r="IU43" s="294"/>
      <c r="IV43" s="294"/>
    </row>
    <row r="44" spans="1:256" s="407" customFormat="1" x14ac:dyDescent="0.25">
      <c r="A44" s="299" t="s">
        <v>22</v>
      </c>
      <c r="B44" s="300">
        <v>1</v>
      </c>
      <c r="C44" s="300">
        <v>1</v>
      </c>
      <c r="D44" s="301" t="s">
        <v>436</v>
      </c>
      <c r="E44" s="301" t="s">
        <v>295</v>
      </c>
      <c r="F44" s="513" t="s">
        <v>131</v>
      </c>
      <c r="G44" s="300">
        <v>1024</v>
      </c>
      <c r="H44" s="302" t="s">
        <v>16</v>
      </c>
      <c r="I44" s="302" t="s">
        <v>17</v>
      </c>
      <c r="J44" s="300"/>
      <c r="K44" s="302" t="s">
        <v>251</v>
      </c>
      <c r="L44" s="299"/>
      <c r="M44" s="301"/>
      <c r="N44" s="301"/>
      <c r="O44" s="301"/>
      <c r="P44" s="302" t="s">
        <v>78</v>
      </c>
      <c r="Q44" s="301" t="s">
        <v>528</v>
      </c>
      <c r="R44" s="294"/>
      <c r="S44" s="294"/>
      <c r="T44" s="294"/>
      <c r="U44" s="294"/>
      <c r="V44" s="294"/>
      <c r="W44" s="294"/>
      <c r="X44" s="294"/>
      <c r="Y44" s="294"/>
      <c r="Z44" s="294"/>
      <c r="AA44" s="294"/>
      <c r="AB44" s="294"/>
      <c r="AC44" s="294"/>
      <c r="AD44" s="294"/>
      <c r="AE44" s="294"/>
      <c r="AF44" s="294"/>
      <c r="AG44" s="294"/>
      <c r="AH44" s="294"/>
      <c r="AI44" s="294"/>
      <c r="AJ44" s="294"/>
      <c r="AK44" s="294"/>
      <c r="AL44" s="294"/>
      <c r="AM44" s="294"/>
      <c r="AN44" s="294"/>
      <c r="AO44" s="294"/>
      <c r="AP44" s="294"/>
      <c r="AQ44" s="294"/>
      <c r="AR44" s="294"/>
      <c r="AS44" s="294"/>
      <c r="AT44" s="294"/>
      <c r="AU44" s="294"/>
      <c r="AV44" s="294"/>
      <c r="AW44" s="294"/>
      <c r="AX44" s="294"/>
      <c r="AY44" s="294"/>
      <c r="AZ44" s="294"/>
      <c r="BA44" s="294"/>
      <c r="BB44" s="294"/>
      <c r="BC44" s="294"/>
      <c r="BD44" s="294"/>
      <c r="BE44" s="294"/>
      <c r="BF44" s="294"/>
      <c r="BG44" s="294"/>
      <c r="BH44" s="294"/>
      <c r="BI44" s="294"/>
      <c r="BJ44" s="294"/>
      <c r="BK44" s="294"/>
      <c r="BL44" s="294"/>
      <c r="BM44" s="294"/>
      <c r="BN44" s="294"/>
      <c r="BO44" s="294"/>
      <c r="BP44" s="294"/>
      <c r="BQ44" s="294"/>
      <c r="BR44" s="294"/>
      <c r="BS44" s="294"/>
      <c r="BT44" s="294"/>
      <c r="BU44" s="294"/>
      <c r="BV44" s="294"/>
      <c r="BW44" s="294"/>
      <c r="BX44" s="294"/>
      <c r="BY44" s="294"/>
      <c r="BZ44" s="294"/>
      <c r="CA44" s="294"/>
      <c r="CB44" s="294"/>
      <c r="CC44" s="294"/>
      <c r="CD44" s="294"/>
      <c r="CE44" s="294"/>
      <c r="CF44" s="294"/>
      <c r="CG44" s="294"/>
      <c r="CH44" s="294"/>
      <c r="CI44" s="294"/>
      <c r="CJ44" s="294"/>
      <c r="CK44" s="294"/>
      <c r="CL44" s="294"/>
      <c r="CM44" s="294"/>
      <c r="CN44" s="294"/>
      <c r="CO44" s="294"/>
      <c r="CP44" s="294"/>
      <c r="CQ44" s="294"/>
      <c r="CR44" s="294"/>
      <c r="CS44" s="294"/>
      <c r="CT44" s="294"/>
      <c r="CU44" s="294"/>
      <c r="CV44" s="294"/>
      <c r="CW44" s="294"/>
      <c r="CX44" s="294"/>
      <c r="CY44" s="294"/>
      <c r="CZ44" s="294"/>
      <c r="DA44" s="294"/>
      <c r="DB44" s="294"/>
      <c r="DC44" s="294"/>
      <c r="DD44" s="294"/>
      <c r="DE44" s="294"/>
      <c r="DF44" s="294"/>
      <c r="DG44" s="294"/>
      <c r="DH44" s="294"/>
      <c r="DI44" s="294"/>
      <c r="DJ44" s="294"/>
      <c r="DK44" s="294"/>
      <c r="DL44" s="294"/>
      <c r="DM44" s="294"/>
      <c r="DN44" s="294"/>
      <c r="DO44" s="294"/>
      <c r="DP44" s="294"/>
      <c r="DQ44" s="294"/>
      <c r="DR44" s="294"/>
      <c r="DS44" s="294"/>
      <c r="DT44" s="294"/>
      <c r="DU44" s="294"/>
      <c r="DV44" s="294"/>
      <c r="DW44" s="294"/>
      <c r="DX44" s="294"/>
      <c r="DY44" s="294"/>
      <c r="DZ44" s="294"/>
      <c r="EA44" s="294"/>
      <c r="EB44" s="294"/>
      <c r="EC44" s="294"/>
      <c r="ED44" s="294"/>
      <c r="EE44" s="294"/>
      <c r="EF44" s="294"/>
      <c r="EG44" s="294"/>
      <c r="EH44" s="294"/>
      <c r="EI44" s="294"/>
      <c r="EJ44" s="294"/>
      <c r="EK44" s="294"/>
      <c r="EL44" s="294"/>
      <c r="EM44" s="294"/>
      <c r="EN44" s="294"/>
      <c r="EO44" s="294"/>
      <c r="EP44" s="294"/>
      <c r="EQ44" s="294"/>
      <c r="ER44" s="294"/>
      <c r="ES44" s="294"/>
      <c r="ET44" s="294"/>
      <c r="EU44" s="294"/>
      <c r="EV44" s="294"/>
      <c r="EW44" s="294"/>
      <c r="EX44" s="294"/>
      <c r="EY44" s="294"/>
      <c r="EZ44" s="294"/>
      <c r="FA44" s="294"/>
      <c r="FB44" s="294"/>
      <c r="FC44" s="294"/>
      <c r="FD44" s="294"/>
      <c r="FE44" s="294"/>
      <c r="FF44" s="294"/>
      <c r="FG44" s="294"/>
      <c r="FH44" s="294"/>
      <c r="FI44" s="294"/>
      <c r="FJ44" s="294"/>
      <c r="FK44" s="294"/>
      <c r="FL44" s="294"/>
      <c r="FM44" s="294"/>
      <c r="FN44" s="294"/>
      <c r="FO44" s="294"/>
      <c r="FP44" s="294"/>
      <c r="FQ44" s="294"/>
      <c r="FR44" s="294"/>
      <c r="FS44" s="294"/>
      <c r="FT44" s="294"/>
      <c r="FU44" s="294"/>
      <c r="FV44" s="294"/>
      <c r="FW44" s="294"/>
      <c r="FX44" s="294"/>
      <c r="FY44" s="294"/>
      <c r="FZ44" s="294"/>
      <c r="GA44" s="294"/>
      <c r="GB44" s="294"/>
      <c r="GC44" s="294"/>
      <c r="GD44" s="294"/>
      <c r="GE44" s="294"/>
      <c r="GF44" s="294"/>
      <c r="GG44" s="294"/>
      <c r="GH44" s="294"/>
      <c r="GI44" s="294"/>
      <c r="GJ44" s="294"/>
      <c r="GK44" s="294"/>
      <c r="GL44" s="294"/>
      <c r="GM44" s="294"/>
      <c r="GN44" s="294"/>
      <c r="GO44" s="294"/>
      <c r="GP44" s="294"/>
      <c r="GQ44" s="294"/>
      <c r="GR44" s="294"/>
      <c r="GS44" s="294"/>
      <c r="GT44" s="294"/>
      <c r="GU44" s="294"/>
      <c r="GV44" s="294"/>
      <c r="GW44" s="294"/>
      <c r="GX44" s="294"/>
      <c r="GY44" s="294"/>
      <c r="GZ44" s="294"/>
      <c r="HA44" s="294"/>
      <c r="HB44" s="294"/>
      <c r="HC44" s="294"/>
      <c r="HD44" s="294"/>
      <c r="HE44" s="294"/>
      <c r="HF44" s="294"/>
      <c r="HG44" s="294"/>
      <c r="HH44" s="294"/>
      <c r="HI44" s="294"/>
      <c r="HJ44" s="294"/>
      <c r="HK44" s="294"/>
      <c r="HL44" s="294"/>
      <c r="HM44" s="294"/>
      <c r="HN44" s="294"/>
      <c r="HO44" s="294"/>
      <c r="HP44" s="294"/>
      <c r="HQ44" s="294"/>
      <c r="HR44" s="294"/>
      <c r="HS44" s="294"/>
      <c r="HT44" s="294"/>
      <c r="HU44" s="294"/>
      <c r="HV44" s="294"/>
      <c r="HW44" s="294"/>
      <c r="HX44" s="294"/>
      <c r="HY44" s="294"/>
      <c r="HZ44" s="294"/>
      <c r="IA44" s="294"/>
      <c r="IB44" s="294"/>
      <c r="IC44" s="294"/>
      <c r="ID44" s="294"/>
      <c r="IE44" s="294"/>
      <c r="IF44" s="294"/>
      <c r="IG44" s="294"/>
      <c r="IH44" s="294"/>
      <c r="II44" s="294"/>
      <c r="IJ44" s="294"/>
      <c r="IK44" s="294"/>
      <c r="IL44" s="294"/>
      <c r="IM44" s="294"/>
      <c r="IN44" s="294"/>
      <c r="IO44" s="294"/>
      <c r="IP44" s="294"/>
      <c r="IQ44" s="294"/>
      <c r="IR44" s="294"/>
      <c r="IS44" s="294"/>
      <c r="IT44" s="294"/>
      <c r="IU44" s="294"/>
      <c r="IV44" s="294"/>
    </row>
    <row r="45" spans="1:256" s="407" customFormat="1" x14ac:dyDescent="0.25">
      <c r="A45" s="299" t="s">
        <v>22</v>
      </c>
      <c r="B45" s="300">
        <v>1</v>
      </c>
      <c r="C45" s="300">
        <v>1</v>
      </c>
      <c r="D45" s="301" t="s">
        <v>442</v>
      </c>
      <c r="E45" s="408" t="s">
        <v>443</v>
      </c>
      <c r="F45" s="513" t="s">
        <v>131</v>
      </c>
      <c r="G45" s="300">
        <v>1024</v>
      </c>
      <c r="H45" s="302" t="s">
        <v>16</v>
      </c>
      <c r="I45" s="302" t="s">
        <v>30</v>
      </c>
      <c r="J45" s="300"/>
      <c r="K45" s="291" t="s">
        <v>18</v>
      </c>
      <c r="L45" s="300">
        <v>0</v>
      </c>
      <c r="M45" s="301"/>
      <c r="N45" s="301"/>
      <c r="O45" s="301"/>
      <c r="P45" s="302"/>
      <c r="Q45" s="315" t="s">
        <v>444</v>
      </c>
      <c r="R45" s="294"/>
      <c r="S45" s="294"/>
      <c r="T45" s="294"/>
      <c r="U45" s="294"/>
      <c r="V45" s="294"/>
      <c r="W45" s="294"/>
      <c r="X45" s="294"/>
      <c r="Y45" s="294"/>
      <c r="Z45" s="294"/>
      <c r="AA45" s="294"/>
      <c r="AB45" s="294"/>
      <c r="AC45" s="294"/>
      <c r="AD45" s="294"/>
      <c r="AE45" s="294"/>
      <c r="AF45" s="294"/>
      <c r="AG45" s="294"/>
      <c r="AH45" s="294"/>
      <c r="AI45" s="294"/>
      <c r="AJ45" s="294"/>
      <c r="AK45" s="294"/>
      <c r="AL45" s="294"/>
      <c r="AM45" s="294"/>
      <c r="AN45" s="294"/>
      <c r="AO45" s="294"/>
      <c r="AP45" s="294"/>
      <c r="AQ45" s="294"/>
      <c r="AR45" s="294"/>
      <c r="AS45" s="294"/>
      <c r="AT45" s="294"/>
      <c r="AU45" s="294"/>
      <c r="AV45" s="294"/>
      <c r="AW45" s="294"/>
      <c r="AX45" s="294"/>
      <c r="AY45" s="294"/>
      <c r="AZ45" s="294"/>
      <c r="BA45" s="294"/>
      <c r="BB45" s="294"/>
      <c r="BC45" s="294"/>
      <c r="BD45" s="294"/>
      <c r="BE45" s="294"/>
      <c r="BF45" s="294"/>
      <c r="BG45" s="294"/>
      <c r="BH45" s="294"/>
      <c r="BI45" s="294"/>
      <c r="BJ45" s="294"/>
      <c r="BK45" s="294"/>
      <c r="BL45" s="294"/>
      <c r="BM45" s="294"/>
      <c r="BN45" s="294"/>
      <c r="BO45" s="294"/>
      <c r="BP45" s="294"/>
      <c r="BQ45" s="294"/>
      <c r="BR45" s="294"/>
      <c r="BS45" s="294"/>
      <c r="BT45" s="294"/>
      <c r="BU45" s="294"/>
      <c r="BV45" s="294"/>
      <c r="BW45" s="294"/>
      <c r="BX45" s="294"/>
      <c r="BY45" s="294"/>
      <c r="BZ45" s="294"/>
      <c r="CA45" s="294"/>
      <c r="CB45" s="294"/>
      <c r="CC45" s="294"/>
      <c r="CD45" s="294"/>
      <c r="CE45" s="294"/>
      <c r="CF45" s="294"/>
      <c r="CG45" s="294"/>
      <c r="CH45" s="294"/>
      <c r="CI45" s="294"/>
      <c r="CJ45" s="294"/>
      <c r="CK45" s="294"/>
      <c r="CL45" s="294"/>
      <c r="CM45" s="294"/>
      <c r="CN45" s="294"/>
      <c r="CO45" s="294"/>
      <c r="CP45" s="294"/>
      <c r="CQ45" s="294"/>
      <c r="CR45" s="294"/>
      <c r="CS45" s="294"/>
      <c r="CT45" s="294"/>
      <c r="CU45" s="294"/>
      <c r="CV45" s="294"/>
      <c r="CW45" s="294"/>
      <c r="CX45" s="294"/>
      <c r="CY45" s="294"/>
      <c r="CZ45" s="294"/>
      <c r="DA45" s="294"/>
      <c r="DB45" s="294"/>
      <c r="DC45" s="294"/>
      <c r="DD45" s="294"/>
      <c r="DE45" s="294"/>
      <c r="DF45" s="294"/>
      <c r="DG45" s="294"/>
      <c r="DH45" s="294"/>
      <c r="DI45" s="294"/>
      <c r="DJ45" s="294"/>
      <c r="DK45" s="294"/>
      <c r="DL45" s="294"/>
      <c r="DM45" s="294"/>
      <c r="DN45" s="294"/>
      <c r="DO45" s="294"/>
      <c r="DP45" s="294"/>
      <c r="DQ45" s="294"/>
      <c r="DR45" s="294"/>
      <c r="DS45" s="294"/>
      <c r="DT45" s="294"/>
      <c r="DU45" s="294"/>
      <c r="DV45" s="294"/>
      <c r="DW45" s="294"/>
      <c r="DX45" s="294"/>
      <c r="DY45" s="294"/>
      <c r="DZ45" s="294"/>
      <c r="EA45" s="294"/>
      <c r="EB45" s="294"/>
      <c r="EC45" s="294"/>
      <c r="ED45" s="294"/>
      <c r="EE45" s="294"/>
      <c r="EF45" s="294"/>
      <c r="EG45" s="294"/>
      <c r="EH45" s="294"/>
      <c r="EI45" s="294"/>
      <c r="EJ45" s="294"/>
      <c r="EK45" s="294"/>
      <c r="EL45" s="294"/>
      <c r="EM45" s="294"/>
      <c r="EN45" s="294"/>
      <c r="EO45" s="294"/>
      <c r="EP45" s="294"/>
      <c r="EQ45" s="294"/>
      <c r="ER45" s="294"/>
      <c r="ES45" s="294"/>
      <c r="ET45" s="294"/>
      <c r="EU45" s="294"/>
      <c r="EV45" s="294"/>
      <c r="EW45" s="294"/>
      <c r="EX45" s="294"/>
      <c r="EY45" s="294"/>
      <c r="EZ45" s="294"/>
      <c r="FA45" s="294"/>
      <c r="FB45" s="294"/>
      <c r="FC45" s="294"/>
      <c r="FD45" s="294"/>
      <c r="FE45" s="294"/>
      <c r="FF45" s="294"/>
      <c r="FG45" s="294"/>
      <c r="FH45" s="294"/>
      <c r="FI45" s="294"/>
      <c r="FJ45" s="294"/>
      <c r="FK45" s="294"/>
      <c r="FL45" s="294"/>
      <c r="FM45" s="294"/>
      <c r="FN45" s="294"/>
      <c r="FO45" s="294"/>
      <c r="FP45" s="294"/>
      <c r="FQ45" s="294"/>
      <c r="FR45" s="294"/>
      <c r="FS45" s="294"/>
      <c r="FT45" s="294"/>
      <c r="FU45" s="294"/>
      <c r="FV45" s="294"/>
      <c r="FW45" s="294"/>
      <c r="FX45" s="294"/>
      <c r="FY45" s="294"/>
      <c r="FZ45" s="294"/>
      <c r="GA45" s="294"/>
      <c r="GB45" s="294"/>
      <c r="GC45" s="294"/>
      <c r="GD45" s="294"/>
      <c r="GE45" s="294"/>
      <c r="GF45" s="294"/>
      <c r="GG45" s="294"/>
      <c r="GH45" s="294"/>
      <c r="GI45" s="294"/>
      <c r="GJ45" s="294"/>
      <c r="GK45" s="294"/>
      <c r="GL45" s="294"/>
      <c r="GM45" s="294"/>
      <c r="GN45" s="294"/>
      <c r="GO45" s="294"/>
      <c r="GP45" s="294"/>
      <c r="GQ45" s="294"/>
      <c r="GR45" s="294"/>
      <c r="GS45" s="294"/>
      <c r="GT45" s="294"/>
      <c r="GU45" s="294"/>
      <c r="GV45" s="294"/>
      <c r="GW45" s="294"/>
      <c r="GX45" s="294"/>
      <c r="GY45" s="294"/>
      <c r="GZ45" s="294"/>
      <c r="HA45" s="294"/>
      <c r="HB45" s="294"/>
      <c r="HC45" s="294"/>
      <c r="HD45" s="294"/>
      <c r="HE45" s="294"/>
      <c r="HF45" s="294"/>
      <c r="HG45" s="294"/>
      <c r="HH45" s="294"/>
      <c r="HI45" s="294"/>
      <c r="HJ45" s="294"/>
      <c r="HK45" s="294"/>
      <c r="HL45" s="294"/>
      <c r="HM45" s="294"/>
      <c r="HN45" s="294"/>
      <c r="HO45" s="294"/>
      <c r="HP45" s="294"/>
      <c r="HQ45" s="294"/>
      <c r="HR45" s="294"/>
      <c r="HS45" s="294"/>
      <c r="HT45" s="294"/>
      <c r="HU45" s="294"/>
      <c r="HV45" s="294"/>
      <c r="HW45" s="294"/>
      <c r="HX45" s="294"/>
      <c r="HY45" s="294"/>
      <c r="HZ45" s="294"/>
      <c r="IA45" s="294"/>
      <c r="IB45" s="294"/>
      <c r="IC45" s="294"/>
      <c r="ID45" s="294"/>
      <c r="IE45" s="294"/>
      <c r="IF45" s="294"/>
      <c r="IG45" s="294"/>
      <c r="IH45" s="294"/>
      <c r="II45" s="294"/>
      <c r="IJ45" s="294"/>
      <c r="IK45" s="294"/>
      <c r="IL45" s="294"/>
      <c r="IM45" s="294"/>
      <c r="IN45" s="294"/>
      <c r="IO45" s="294"/>
      <c r="IP45" s="294"/>
      <c r="IQ45" s="294"/>
      <c r="IR45" s="294"/>
      <c r="IS45" s="294"/>
      <c r="IT45" s="294"/>
      <c r="IU45" s="294"/>
      <c r="IV45" s="294"/>
    </row>
    <row r="46" spans="1:256" s="337" customFormat="1" x14ac:dyDescent="0.25">
      <c r="A46" s="344" t="s">
        <v>22</v>
      </c>
      <c r="B46" s="333">
        <v>13</v>
      </c>
      <c r="C46" s="333">
        <v>1</v>
      </c>
      <c r="D46" s="334" t="s">
        <v>340</v>
      </c>
      <c r="E46" s="334" t="s">
        <v>346</v>
      </c>
      <c r="F46" s="333" t="s">
        <v>87</v>
      </c>
      <c r="G46" s="331" t="s">
        <v>21</v>
      </c>
      <c r="H46" s="333" t="s">
        <v>16</v>
      </c>
      <c r="I46" s="333" t="s">
        <v>30</v>
      </c>
      <c r="J46" s="330"/>
      <c r="K46" s="333" t="s">
        <v>86</v>
      </c>
      <c r="L46" s="330">
        <v>0</v>
      </c>
      <c r="P46" s="330"/>
      <c r="Q46" s="334" t="s">
        <v>345</v>
      </c>
    </row>
    <row r="47" spans="1:256" s="331" customFormat="1" ht="15" customHeight="1" x14ac:dyDescent="0.25">
      <c r="A47" s="335" t="s">
        <v>22</v>
      </c>
      <c r="B47" s="333"/>
      <c r="C47" s="333">
        <v>1</v>
      </c>
      <c r="D47" s="334" t="s">
        <v>437</v>
      </c>
      <c r="E47" s="334" t="s">
        <v>344</v>
      </c>
      <c r="F47" s="333" t="s">
        <v>716</v>
      </c>
      <c r="G47" s="331" t="s">
        <v>21</v>
      </c>
      <c r="H47" s="333" t="s">
        <v>16</v>
      </c>
      <c r="I47" s="333" t="s">
        <v>26</v>
      </c>
      <c r="J47" s="345"/>
      <c r="K47" s="333" t="s">
        <v>86</v>
      </c>
      <c r="L47" s="330"/>
      <c r="M47" s="345"/>
      <c r="N47" s="345"/>
      <c r="O47" s="345"/>
      <c r="P47" s="345"/>
      <c r="Q47" s="334" t="s">
        <v>531</v>
      </c>
      <c r="R47" s="345"/>
      <c r="U47" s="336"/>
      <c r="V47" s="336"/>
      <c r="W47" s="336"/>
      <c r="X47" s="336"/>
      <c r="Y47" s="336"/>
      <c r="Z47" s="336"/>
      <c r="AA47" s="336"/>
      <c r="AB47" s="336"/>
      <c r="AC47" s="336"/>
      <c r="AD47" s="336"/>
      <c r="AE47" s="336"/>
      <c r="AF47" s="336"/>
      <c r="AG47" s="336"/>
      <c r="AH47" s="336"/>
      <c r="AI47" s="336"/>
      <c r="AJ47" s="336"/>
      <c r="AK47" s="336"/>
      <c r="AL47" s="336"/>
      <c r="AM47" s="336"/>
      <c r="AN47" s="336"/>
      <c r="AO47" s="336"/>
      <c r="AP47" s="336"/>
      <c r="AQ47" s="336"/>
      <c r="AR47" s="336"/>
      <c r="AS47" s="336"/>
      <c r="AT47" s="336"/>
      <c r="AU47" s="336"/>
      <c r="AV47" s="336"/>
      <c r="AW47" s="336"/>
      <c r="AX47" s="336"/>
      <c r="AY47" s="336"/>
      <c r="AZ47" s="336"/>
      <c r="BA47" s="336"/>
      <c r="BB47" s="336"/>
      <c r="BC47" s="336"/>
      <c r="BD47" s="336"/>
      <c r="BE47" s="336"/>
      <c r="BF47" s="336"/>
      <c r="BG47" s="336"/>
      <c r="BH47" s="336"/>
      <c r="BI47" s="336"/>
      <c r="BJ47" s="336"/>
      <c r="BK47" s="336"/>
      <c r="BL47" s="336"/>
      <c r="BM47" s="336"/>
      <c r="BN47" s="336"/>
      <c r="BO47" s="336"/>
      <c r="BP47" s="336"/>
      <c r="BQ47" s="336"/>
      <c r="BR47" s="336"/>
      <c r="BS47" s="336"/>
      <c r="BT47" s="336"/>
      <c r="BU47" s="336"/>
      <c r="BV47" s="336"/>
      <c r="BW47" s="336"/>
      <c r="BX47" s="336"/>
      <c r="BY47" s="336"/>
      <c r="BZ47" s="336"/>
      <c r="CA47" s="336"/>
      <c r="CB47" s="336"/>
      <c r="CC47" s="336"/>
      <c r="CD47" s="336"/>
      <c r="CE47" s="336"/>
      <c r="CF47" s="336"/>
      <c r="CG47" s="336"/>
      <c r="CH47" s="336"/>
      <c r="CI47" s="336"/>
      <c r="CJ47" s="336"/>
      <c r="CK47" s="336"/>
      <c r="CL47" s="336"/>
      <c r="CM47" s="336"/>
      <c r="CN47" s="336"/>
      <c r="CO47" s="336"/>
      <c r="CP47" s="336"/>
      <c r="CQ47" s="336"/>
      <c r="CR47" s="336"/>
      <c r="CS47" s="336"/>
      <c r="CT47" s="336"/>
      <c r="CU47" s="336"/>
      <c r="CV47" s="336"/>
      <c r="CW47" s="336"/>
      <c r="CX47" s="336"/>
      <c r="CY47" s="336"/>
      <c r="CZ47" s="336"/>
      <c r="DA47" s="336"/>
      <c r="DB47" s="336"/>
      <c r="DC47" s="336"/>
      <c r="DD47" s="336"/>
      <c r="DE47" s="336"/>
      <c r="DF47" s="336"/>
      <c r="DG47" s="336"/>
      <c r="DH47" s="336"/>
      <c r="DI47" s="336"/>
      <c r="DJ47" s="336"/>
      <c r="DK47" s="336"/>
      <c r="DL47" s="336"/>
      <c r="DM47" s="336"/>
      <c r="DN47" s="336"/>
      <c r="DO47" s="336"/>
      <c r="DP47" s="336"/>
      <c r="DQ47" s="336"/>
      <c r="DR47" s="336"/>
      <c r="DS47" s="336"/>
      <c r="DT47" s="336"/>
      <c r="DU47" s="336"/>
      <c r="DV47" s="336"/>
      <c r="DW47" s="336"/>
      <c r="DX47" s="336"/>
      <c r="DY47" s="336"/>
      <c r="DZ47" s="336"/>
      <c r="EA47" s="336"/>
      <c r="EB47" s="336"/>
      <c r="EC47" s="336"/>
      <c r="ED47" s="336"/>
      <c r="EE47" s="336"/>
      <c r="EF47" s="336"/>
      <c r="EG47" s="336"/>
      <c r="EH47" s="336"/>
      <c r="EI47" s="336"/>
      <c r="EJ47" s="336"/>
      <c r="EK47" s="336"/>
      <c r="EL47" s="336"/>
      <c r="EM47" s="336"/>
      <c r="EN47" s="336"/>
      <c r="EO47" s="336"/>
      <c r="EP47" s="336"/>
      <c r="EQ47" s="336"/>
      <c r="ER47" s="336"/>
      <c r="ES47" s="336"/>
      <c r="ET47" s="336"/>
      <c r="EU47" s="336"/>
      <c r="EV47" s="336"/>
      <c r="EW47" s="336"/>
      <c r="EX47" s="336"/>
      <c r="EY47" s="336"/>
      <c r="EZ47" s="336"/>
      <c r="FA47" s="336"/>
      <c r="FB47" s="336"/>
      <c r="FC47" s="336"/>
      <c r="FD47" s="336"/>
      <c r="FE47" s="336"/>
      <c r="FF47" s="336"/>
      <c r="FG47" s="336"/>
      <c r="FH47" s="336"/>
      <c r="FI47" s="336"/>
      <c r="FJ47" s="336"/>
      <c r="FK47" s="336"/>
      <c r="FL47" s="336"/>
      <c r="FM47" s="336"/>
      <c r="FN47" s="336"/>
      <c r="FO47" s="336"/>
      <c r="FP47" s="336"/>
      <c r="FQ47" s="336"/>
      <c r="FR47" s="336"/>
      <c r="FS47" s="336"/>
      <c r="FT47" s="336"/>
      <c r="FU47" s="336"/>
      <c r="FV47" s="336"/>
      <c r="FW47" s="336"/>
      <c r="FX47" s="336"/>
      <c r="FY47" s="336"/>
      <c r="FZ47" s="336"/>
      <c r="GA47" s="336"/>
      <c r="GB47" s="336"/>
      <c r="GC47" s="336"/>
      <c r="GD47" s="336"/>
      <c r="GE47" s="336"/>
      <c r="GF47" s="336"/>
      <c r="GG47" s="336"/>
      <c r="GH47" s="336"/>
      <c r="GI47" s="336"/>
      <c r="GJ47" s="336"/>
      <c r="GK47" s="336"/>
      <c r="GL47" s="336"/>
      <c r="GM47" s="336"/>
      <c r="GN47" s="336"/>
      <c r="GO47" s="336"/>
      <c r="GP47" s="336"/>
      <c r="GQ47" s="336"/>
      <c r="GR47" s="336"/>
      <c r="GS47" s="336"/>
      <c r="GT47" s="336"/>
      <c r="GU47" s="336"/>
      <c r="GV47" s="336"/>
      <c r="GW47" s="336"/>
      <c r="GX47" s="336"/>
      <c r="GY47" s="336"/>
      <c r="GZ47" s="336"/>
      <c r="HA47" s="336"/>
      <c r="HB47" s="336"/>
      <c r="HC47" s="336"/>
      <c r="HD47" s="336"/>
      <c r="HE47" s="336"/>
      <c r="HF47" s="336"/>
      <c r="HG47" s="336"/>
      <c r="HH47" s="336"/>
      <c r="HI47" s="336"/>
      <c r="HJ47" s="336"/>
      <c r="HK47" s="336"/>
      <c r="HL47" s="336"/>
      <c r="HM47" s="336"/>
      <c r="HN47" s="336"/>
      <c r="HO47" s="336"/>
      <c r="HP47" s="336"/>
      <c r="HQ47" s="336"/>
      <c r="HR47" s="336"/>
      <c r="HS47" s="336"/>
      <c r="HT47" s="336"/>
      <c r="HU47" s="336"/>
      <c r="HV47" s="336"/>
      <c r="HW47" s="336"/>
      <c r="HX47" s="336"/>
      <c r="HY47" s="336"/>
      <c r="HZ47" s="336"/>
      <c r="IA47" s="336"/>
      <c r="IB47" s="336"/>
      <c r="IC47" s="336"/>
      <c r="ID47" s="336"/>
      <c r="IE47" s="336"/>
      <c r="IF47" s="336"/>
      <c r="IG47" s="336"/>
      <c r="IH47" s="336"/>
      <c r="II47" s="336"/>
      <c r="IJ47" s="336"/>
      <c r="IK47" s="336"/>
      <c r="IL47" s="336"/>
      <c r="IM47" s="336"/>
      <c r="IN47" s="336"/>
      <c r="IO47" s="336"/>
      <c r="IP47" s="336"/>
      <c r="IQ47" s="336"/>
      <c r="IR47" s="336"/>
      <c r="IS47" s="336"/>
      <c r="IT47" s="336"/>
      <c r="IU47" s="336"/>
      <c r="IV47" s="336"/>
    </row>
    <row r="48" spans="1:256" s="337" customFormat="1" x14ac:dyDescent="0.25">
      <c r="A48" s="344" t="s">
        <v>22</v>
      </c>
      <c r="B48" s="333"/>
      <c r="C48" s="333">
        <v>1</v>
      </c>
      <c r="D48" s="334" t="s">
        <v>343</v>
      </c>
      <c r="E48" s="334" t="s">
        <v>439</v>
      </c>
      <c r="F48" s="333" t="s">
        <v>716</v>
      </c>
      <c r="G48" s="331" t="s">
        <v>21</v>
      </c>
      <c r="H48" s="333" t="s">
        <v>16</v>
      </c>
      <c r="I48" s="346" t="s">
        <v>38</v>
      </c>
      <c r="J48" s="330"/>
      <c r="K48" s="333" t="s">
        <v>86</v>
      </c>
      <c r="L48" s="330"/>
      <c r="P48" s="333" t="s">
        <v>313</v>
      </c>
      <c r="Q48" s="334" t="s">
        <v>347</v>
      </c>
    </row>
    <row r="49" spans="1:256" s="208" customFormat="1" x14ac:dyDescent="0.25">
      <c r="A49" s="552" t="s">
        <v>22</v>
      </c>
      <c r="B49" s="215">
        <v>1</v>
      </c>
      <c r="C49" s="215">
        <v>1</v>
      </c>
      <c r="D49" s="207" t="s">
        <v>833</v>
      </c>
      <c r="E49" s="207" t="s">
        <v>834</v>
      </c>
      <c r="F49" s="215" t="s">
        <v>87</v>
      </c>
      <c r="G49" s="252">
        <v>1024</v>
      </c>
      <c r="H49" s="215" t="s">
        <v>16</v>
      </c>
      <c r="I49" s="553" t="s">
        <v>17</v>
      </c>
      <c r="J49" s="206"/>
      <c r="K49" s="215" t="s">
        <v>18</v>
      </c>
      <c r="L49" s="206"/>
      <c r="P49" s="215" t="s">
        <v>313</v>
      </c>
      <c r="Q49" s="207" t="s">
        <v>835</v>
      </c>
    </row>
    <row r="50" spans="1:256" s="466" customFormat="1" x14ac:dyDescent="0.25">
      <c r="A50" s="464" t="s">
        <v>22</v>
      </c>
      <c r="B50" s="461">
        <v>1</v>
      </c>
      <c r="C50" s="461">
        <v>1</v>
      </c>
      <c r="D50" s="460" t="s">
        <v>625</v>
      </c>
      <c r="E50" s="460" t="s">
        <v>628</v>
      </c>
      <c r="F50" s="461" t="s">
        <v>87</v>
      </c>
      <c r="G50" s="462" t="s">
        <v>21</v>
      </c>
      <c r="H50" s="461" t="s">
        <v>16</v>
      </c>
      <c r="I50" s="461" t="s">
        <v>30</v>
      </c>
      <c r="J50" s="465"/>
      <c r="K50" s="461" t="s">
        <v>18</v>
      </c>
      <c r="L50" s="465"/>
      <c r="P50" s="461"/>
      <c r="Q50" s="460" t="s">
        <v>631</v>
      </c>
    </row>
    <row r="51" spans="1:256" s="466" customFormat="1" x14ac:dyDescent="0.25">
      <c r="A51" s="464" t="s">
        <v>22</v>
      </c>
      <c r="B51" s="461">
        <v>1</v>
      </c>
      <c r="C51" s="461">
        <v>1</v>
      </c>
      <c r="D51" s="460" t="s">
        <v>626</v>
      </c>
      <c r="E51" s="460" t="s">
        <v>629</v>
      </c>
      <c r="F51" s="461" t="s">
        <v>87</v>
      </c>
      <c r="G51" s="462" t="s">
        <v>21</v>
      </c>
      <c r="H51" s="461" t="s">
        <v>16</v>
      </c>
      <c r="I51" s="461" t="s">
        <v>26</v>
      </c>
      <c r="J51" s="465"/>
      <c r="K51" s="461" t="s">
        <v>18</v>
      </c>
      <c r="L51" s="465"/>
      <c r="P51" s="461"/>
      <c r="Q51" s="460" t="s">
        <v>632</v>
      </c>
    </row>
    <row r="52" spans="1:256" s="466" customFormat="1" x14ac:dyDescent="0.25">
      <c r="A52" s="464" t="s">
        <v>22</v>
      </c>
      <c r="B52" s="461">
        <v>1</v>
      </c>
      <c r="C52" s="461">
        <v>1</v>
      </c>
      <c r="D52" s="460" t="s">
        <v>627</v>
      </c>
      <c r="E52" s="460" t="s">
        <v>630</v>
      </c>
      <c r="F52" s="461" t="s">
        <v>87</v>
      </c>
      <c r="G52" s="462" t="s">
        <v>21</v>
      </c>
      <c r="H52" s="461" t="s">
        <v>16</v>
      </c>
      <c r="I52" s="463" t="s">
        <v>38</v>
      </c>
      <c r="J52" s="465"/>
      <c r="K52" s="461" t="s">
        <v>18</v>
      </c>
      <c r="L52" s="465"/>
      <c r="P52" s="461" t="s">
        <v>313</v>
      </c>
      <c r="Q52" s="460" t="s">
        <v>633</v>
      </c>
    </row>
    <row r="53" spans="1:256" s="187" customFormat="1" x14ac:dyDescent="0.25">
      <c r="A53" s="523" t="s">
        <v>22</v>
      </c>
      <c r="B53" s="502">
        <v>1</v>
      </c>
      <c r="C53" s="502">
        <v>1</v>
      </c>
      <c r="D53" s="498" t="s">
        <v>693</v>
      </c>
      <c r="E53" s="498" t="s">
        <v>694</v>
      </c>
      <c r="F53" s="502" t="s">
        <v>596</v>
      </c>
      <c r="G53" s="500">
        <v>1024</v>
      </c>
      <c r="H53" s="502" t="s">
        <v>16</v>
      </c>
      <c r="I53" s="524" t="s">
        <v>17</v>
      </c>
      <c r="J53" s="502"/>
      <c r="K53" s="502" t="s">
        <v>18</v>
      </c>
      <c r="L53" s="502"/>
      <c r="P53" s="502" t="s">
        <v>695</v>
      </c>
      <c r="Q53" s="498" t="s">
        <v>696</v>
      </c>
    </row>
    <row r="54" spans="1:256" s="253" customFormat="1" ht="15" customHeight="1" x14ac:dyDescent="0.25">
      <c r="A54" s="251" t="s">
        <v>22</v>
      </c>
      <c r="B54" s="215">
        <v>1</v>
      </c>
      <c r="C54" s="252">
        <v>1</v>
      </c>
      <c r="D54" s="207" t="s">
        <v>39</v>
      </c>
      <c r="E54" s="207" t="s">
        <v>60</v>
      </c>
      <c r="F54" s="215" t="s">
        <v>87</v>
      </c>
      <c r="G54" s="252">
        <v>1024</v>
      </c>
      <c r="H54" s="215" t="s">
        <v>16</v>
      </c>
      <c r="I54" s="215" t="s">
        <v>31</v>
      </c>
      <c r="J54" s="252"/>
      <c r="K54" s="215" t="s">
        <v>18</v>
      </c>
      <c r="L54" s="251"/>
      <c r="M54" s="207"/>
      <c r="N54" s="207"/>
      <c r="O54" s="207">
        <v>0</v>
      </c>
      <c r="P54" s="215"/>
      <c r="Q54" s="207" t="s">
        <v>61</v>
      </c>
    </row>
    <row r="55" spans="1:256" s="254" customFormat="1" x14ac:dyDescent="0.25">
      <c r="A55" s="207" t="s">
        <v>22</v>
      </c>
      <c r="B55" s="215">
        <v>1</v>
      </c>
      <c r="C55" s="252">
        <v>1</v>
      </c>
      <c r="D55" s="207" t="s">
        <v>40</v>
      </c>
      <c r="E55" s="207" t="s">
        <v>62</v>
      </c>
      <c r="F55" s="215" t="s">
        <v>87</v>
      </c>
      <c r="G55" s="252">
        <v>1024</v>
      </c>
      <c r="H55" s="215" t="s">
        <v>16</v>
      </c>
      <c r="I55" s="215" t="s">
        <v>31</v>
      </c>
      <c r="J55" s="215"/>
      <c r="K55" s="215" t="s">
        <v>18</v>
      </c>
      <c r="L55" s="207"/>
      <c r="M55" s="207"/>
      <c r="N55" s="207">
        <v>0</v>
      </c>
      <c r="O55" s="207"/>
      <c r="P55" s="215"/>
      <c r="Q55" s="207" t="s">
        <v>63</v>
      </c>
    </row>
    <row r="56" spans="1:256" s="255" customFormat="1" x14ac:dyDescent="0.25">
      <c r="A56" s="207" t="s">
        <v>22</v>
      </c>
      <c r="B56" s="215">
        <v>1</v>
      </c>
      <c r="C56" s="252">
        <v>1</v>
      </c>
      <c r="D56" s="207" t="s">
        <v>64</v>
      </c>
      <c r="E56" s="207" t="s">
        <v>65</v>
      </c>
      <c r="F56" s="215" t="s">
        <v>87</v>
      </c>
      <c r="G56" s="252">
        <v>1024</v>
      </c>
      <c r="H56" s="215" t="s">
        <v>16</v>
      </c>
      <c r="I56" s="215" t="s">
        <v>38</v>
      </c>
      <c r="J56" s="215"/>
      <c r="K56" s="215" t="s">
        <v>18</v>
      </c>
      <c r="L56" s="207"/>
      <c r="M56" s="207"/>
      <c r="N56" s="207">
        <v>0</v>
      </c>
      <c r="O56" s="207">
        <v>0</v>
      </c>
      <c r="P56" s="215"/>
      <c r="Q56" s="207" t="s">
        <v>66</v>
      </c>
    </row>
    <row r="57" spans="1:256" s="452" customFormat="1" x14ac:dyDescent="0.25">
      <c r="A57" s="265" t="s">
        <v>22</v>
      </c>
      <c r="B57" s="264">
        <v>1</v>
      </c>
      <c r="C57" s="276">
        <v>1</v>
      </c>
      <c r="D57" s="265" t="s">
        <v>550</v>
      </c>
      <c r="E57" s="340" t="s">
        <v>445</v>
      </c>
      <c r="F57" s="264" t="s">
        <v>87</v>
      </c>
      <c r="G57" s="276">
        <v>1024</v>
      </c>
      <c r="H57" s="264" t="s">
        <v>16</v>
      </c>
      <c r="I57" s="264" t="s">
        <v>17</v>
      </c>
      <c r="J57" s="264"/>
      <c r="K57" s="264" t="s">
        <v>637</v>
      </c>
      <c r="L57" s="265"/>
      <c r="M57" s="265"/>
      <c r="N57" s="265"/>
      <c r="O57" s="265"/>
      <c r="P57" s="275" t="s">
        <v>27</v>
      </c>
      <c r="Q57" s="265" t="s">
        <v>551</v>
      </c>
    </row>
    <row r="58" spans="1:256" s="249" customFormat="1" x14ac:dyDescent="0.25">
      <c r="A58" s="243" t="s">
        <v>22</v>
      </c>
      <c r="B58" s="244">
        <v>1</v>
      </c>
      <c r="C58" s="244">
        <v>1</v>
      </c>
      <c r="D58" s="393" t="s">
        <v>540</v>
      </c>
      <c r="E58" s="245" t="s">
        <v>164</v>
      </c>
      <c r="F58" s="246" t="s">
        <v>87</v>
      </c>
      <c r="G58" s="244">
        <v>1024</v>
      </c>
      <c r="H58" s="246" t="s">
        <v>16</v>
      </c>
      <c r="I58" s="246" t="s">
        <v>155</v>
      </c>
      <c r="J58" s="246"/>
      <c r="K58" s="246" t="s">
        <v>18</v>
      </c>
      <c r="L58" s="243"/>
      <c r="M58" s="247"/>
      <c r="N58" s="247"/>
      <c r="O58" s="247"/>
      <c r="P58" s="248" t="s">
        <v>180</v>
      </c>
      <c r="Q58" s="243" t="s">
        <v>541</v>
      </c>
    </row>
    <row r="59" spans="1:256" s="249" customFormat="1" x14ac:dyDescent="0.25">
      <c r="A59" s="243" t="s">
        <v>22</v>
      </c>
      <c r="B59" s="244">
        <v>1</v>
      </c>
      <c r="C59" s="244">
        <v>1</v>
      </c>
      <c r="D59" s="393" t="s">
        <v>161</v>
      </c>
      <c r="E59" s="245" t="s">
        <v>165</v>
      </c>
      <c r="F59" s="246" t="s">
        <v>87</v>
      </c>
      <c r="G59" s="244">
        <v>1024</v>
      </c>
      <c r="H59" s="246" t="s">
        <v>16</v>
      </c>
      <c r="I59" s="246" t="s">
        <v>155</v>
      </c>
      <c r="J59" s="246"/>
      <c r="K59" s="246" t="s">
        <v>18</v>
      </c>
      <c r="L59" s="243"/>
      <c r="M59" s="247"/>
      <c r="N59" s="247"/>
      <c r="O59" s="247"/>
      <c r="P59" s="248" t="s">
        <v>180</v>
      </c>
      <c r="Q59" s="243" t="s">
        <v>542</v>
      </c>
    </row>
    <row r="60" spans="1:256" s="249" customFormat="1" x14ac:dyDescent="0.25">
      <c r="A60" s="243" t="s">
        <v>22</v>
      </c>
      <c r="B60" s="244">
        <v>1</v>
      </c>
      <c r="C60" s="244">
        <v>1</v>
      </c>
      <c r="D60" s="393" t="s">
        <v>162</v>
      </c>
      <c r="E60" s="245" t="s">
        <v>166</v>
      </c>
      <c r="F60" s="246" t="s">
        <v>87</v>
      </c>
      <c r="G60" s="244">
        <v>1024</v>
      </c>
      <c r="H60" s="246" t="s">
        <v>16</v>
      </c>
      <c r="I60" s="246" t="s">
        <v>155</v>
      </c>
      <c r="J60" s="246"/>
      <c r="K60" s="246" t="s">
        <v>18</v>
      </c>
      <c r="L60" s="243"/>
      <c r="M60" s="247"/>
      <c r="N60" s="247"/>
      <c r="O60" s="247"/>
      <c r="P60" s="248" t="s">
        <v>180</v>
      </c>
      <c r="Q60" s="243" t="s">
        <v>543</v>
      </c>
    </row>
    <row r="61" spans="1:256" s="417" customFormat="1" x14ac:dyDescent="0.25">
      <c r="A61" s="260" t="s">
        <v>22</v>
      </c>
      <c r="B61" s="273">
        <v>1</v>
      </c>
      <c r="C61" s="273">
        <v>1</v>
      </c>
      <c r="D61" s="260" t="s">
        <v>426</v>
      </c>
      <c r="E61" s="414" t="s">
        <v>450</v>
      </c>
      <c r="F61" s="259" t="s">
        <v>716</v>
      </c>
      <c r="G61" s="273">
        <v>1024</v>
      </c>
      <c r="H61" s="259" t="s">
        <v>16</v>
      </c>
      <c r="I61" s="259" t="s">
        <v>38</v>
      </c>
      <c r="J61" s="259"/>
      <c r="K61" s="259" t="s">
        <v>18</v>
      </c>
      <c r="L61" s="260"/>
      <c r="M61" s="415"/>
      <c r="N61" s="415">
        <v>0</v>
      </c>
      <c r="O61" s="415">
        <v>0</v>
      </c>
      <c r="P61" s="416" t="s">
        <v>67</v>
      </c>
      <c r="Q61" s="260" t="s">
        <v>523</v>
      </c>
    </row>
    <row r="62" spans="1:256" s="249" customFormat="1" x14ac:dyDescent="0.25">
      <c r="A62" s="243" t="s">
        <v>22</v>
      </c>
      <c r="B62" s="244">
        <v>1</v>
      </c>
      <c r="C62" s="244">
        <v>1</v>
      </c>
      <c r="D62" s="393" t="s">
        <v>420</v>
      </c>
      <c r="E62" s="245" t="s">
        <v>170</v>
      </c>
      <c r="F62" s="246" t="s">
        <v>87</v>
      </c>
      <c r="G62" s="244">
        <v>1032</v>
      </c>
      <c r="H62" s="246" t="s">
        <v>16</v>
      </c>
      <c r="I62" s="246" t="s">
        <v>31</v>
      </c>
      <c r="J62" s="246"/>
      <c r="K62" s="246" t="s">
        <v>18</v>
      </c>
      <c r="L62" s="243"/>
      <c r="M62" s="247"/>
      <c r="N62" s="247"/>
      <c r="O62" s="247"/>
      <c r="P62" s="248"/>
      <c r="Q62" s="243" t="s">
        <v>726</v>
      </c>
    </row>
    <row r="63" spans="1:256" s="349" customFormat="1" ht="15" customHeight="1" x14ac:dyDescent="0.25">
      <c r="A63" s="265" t="s">
        <v>22</v>
      </c>
      <c r="B63" s="264">
        <v>1</v>
      </c>
      <c r="C63" s="264">
        <v>1</v>
      </c>
      <c r="D63" s="265" t="s">
        <v>438</v>
      </c>
      <c r="E63" s="265" t="s">
        <v>348</v>
      </c>
      <c r="F63" s="264" t="s">
        <v>87</v>
      </c>
      <c r="G63" s="276">
        <v>1024</v>
      </c>
      <c r="H63" s="264" t="s">
        <v>16</v>
      </c>
      <c r="I63" s="343" t="s">
        <v>17</v>
      </c>
      <c r="J63" s="347"/>
      <c r="K63" s="264" t="s">
        <v>251</v>
      </c>
      <c r="L63" s="347"/>
      <c r="M63" s="347"/>
      <c r="N63" s="347"/>
      <c r="O63" s="347"/>
      <c r="P63" s="264" t="s">
        <v>313</v>
      </c>
      <c r="Q63" s="265" t="s">
        <v>727</v>
      </c>
      <c r="R63" s="347"/>
      <c r="S63" s="347"/>
      <c r="T63" s="347"/>
      <c r="U63" s="348"/>
      <c r="V63" s="348"/>
      <c r="W63" s="348"/>
      <c r="X63" s="348"/>
      <c r="Y63" s="348"/>
      <c r="Z63" s="348"/>
      <c r="AA63" s="348"/>
      <c r="AB63" s="348"/>
      <c r="AC63" s="348"/>
      <c r="AD63" s="348"/>
      <c r="AE63" s="348"/>
      <c r="AF63" s="348"/>
      <c r="AG63" s="348"/>
      <c r="AH63" s="348"/>
      <c r="AI63" s="348"/>
      <c r="AJ63" s="348"/>
      <c r="AK63" s="348"/>
      <c r="AL63" s="348"/>
      <c r="AM63" s="348"/>
      <c r="AN63" s="348"/>
      <c r="AO63" s="348"/>
      <c r="AP63" s="348"/>
      <c r="AQ63" s="348"/>
      <c r="AR63" s="348"/>
      <c r="AS63" s="348"/>
      <c r="AT63" s="348"/>
      <c r="AU63" s="348"/>
      <c r="AV63" s="348"/>
      <c r="AW63" s="348"/>
      <c r="AX63" s="348"/>
      <c r="AY63" s="348"/>
      <c r="AZ63" s="348"/>
      <c r="BA63" s="348"/>
      <c r="BB63" s="348"/>
      <c r="BC63" s="348"/>
      <c r="BD63" s="348"/>
      <c r="BE63" s="348"/>
      <c r="BF63" s="348"/>
      <c r="BG63" s="348"/>
      <c r="BH63" s="348"/>
      <c r="BI63" s="348"/>
      <c r="BJ63" s="348"/>
      <c r="BK63" s="348"/>
      <c r="BL63" s="348"/>
      <c r="BM63" s="348"/>
      <c r="BN63" s="348"/>
      <c r="BO63" s="348"/>
      <c r="BP63" s="348"/>
      <c r="BQ63" s="348"/>
      <c r="BR63" s="348"/>
      <c r="BS63" s="348"/>
      <c r="BT63" s="348"/>
      <c r="BU63" s="348"/>
      <c r="BV63" s="348"/>
      <c r="BW63" s="348"/>
      <c r="BX63" s="348"/>
      <c r="BY63" s="348"/>
      <c r="BZ63" s="348"/>
      <c r="CA63" s="348"/>
      <c r="CB63" s="348"/>
      <c r="CC63" s="348"/>
      <c r="CD63" s="348"/>
      <c r="CE63" s="348"/>
      <c r="CF63" s="348"/>
      <c r="CG63" s="348"/>
      <c r="CH63" s="348"/>
      <c r="CI63" s="348"/>
      <c r="CJ63" s="348"/>
      <c r="CK63" s="348"/>
      <c r="CL63" s="348"/>
      <c r="CM63" s="348"/>
      <c r="CN63" s="348"/>
      <c r="CO63" s="348"/>
      <c r="CP63" s="348"/>
      <c r="CQ63" s="348"/>
      <c r="CR63" s="348"/>
      <c r="CS63" s="348"/>
      <c r="CT63" s="348"/>
      <c r="CU63" s="348"/>
      <c r="CV63" s="348"/>
      <c r="CW63" s="348"/>
      <c r="CX63" s="348"/>
      <c r="CY63" s="348"/>
      <c r="CZ63" s="348"/>
      <c r="DA63" s="348"/>
      <c r="DB63" s="348"/>
      <c r="DC63" s="348"/>
      <c r="DD63" s="348"/>
      <c r="DE63" s="348"/>
      <c r="DF63" s="348"/>
      <c r="DG63" s="348"/>
      <c r="DH63" s="348"/>
      <c r="DI63" s="348"/>
      <c r="DJ63" s="348"/>
      <c r="DK63" s="348"/>
      <c r="DL63" s="348"/>
      <c r="DM63" s="348"/>
      <c r="DN63" s="348"/>
      <c r="DO63" s="348"/>
      <c r="DP63" s="348"/>
      <c r="DQ63" s="348"/>
      <c r="DR63" s="348"/>
      <c r="DS63" s="348"/>
      <c r="DT63" s="348"/>
      <c r="DU63" s="348"/>
      <c r="DV63" s="348"/>
      <c r="DW63" s="348"/>
      <c r="DX63" s="348"/>
      <c r="DY63" s="348"/>
      <c r="DZ63" s="348"/>
      <c r="EA63" s="348"/>
      <c r="EB63" s="348"/>
      <c r="EC63" s="348"/>
      <c r="ED63" s="348"/>
      <c r="EE63" s="348"/>
      <c r="EF63" s="348"/>
      <c r="EG63" s="348"/>
      <c r="EH63" s="348"/>
      <c r="EI63" s="348"/>
      <c r="EJ63" s="348"/>
      <c r="EK63" s="348"/>
      <c r="EL63" s="348"/>
      <c r="EM63" s="348"/>
      <c r="EN63" s="348"/>
      <c r="EO63" s="348"/>
      <c r="EP63" s="348"/>
      <c r="EQ63" s="348"/>
      <c r="ER63" s="348"/>
      <c r="ES63" s="348"/>
      <c r="ET63" s="348"/>
      <c r="EU63" s="348"/>
      <c r="EV63" s="348"/>
      <c r="EW63" s="348"/>
      <c r="EX63" s="348"/>
      <c r="EY63" s="348"/>
      <c r="EZ63" s="348"/>
      <c r="FA63" s="348"/>
      <c r="FB63" s="348"/>
      <c r="FC63" s="348"/>
      <c r="FD63" s="348"/>
      <c r="FE63" s="348"/>
      <c r="FF63" s="348"/>
      <c r="FG63" s="348"/>
      <c r="FH63" s="348"/>
      <c r="FI63" s="348"/>
      <c r="FJ63" s="348"/>
      <c r="FK63" s="348"/>
      <c r="FL63" s="348"/>
      <c r="FM63" s="348"/>
      <c r="FN63" s="348"/>
      <c r="FO63" s="348"/>
      <c r="FP63" s="348"/>
      <c r="FQ63" s="348"/>
      <c r="FR63" s="348"/>
      <c r="FS63" s="348"/>
      <c r="FT63" s="348"/>
      <c r="FU63" s="348"/>
      <c r="FV63" s="348"/>
      <c r="FW63" s="348"/>
      <c r="FX63" s="348"/>
      <c r="FY63" s="348"/>
      <c r="FZ63" s="348"/>
      <c r="GA63" s="348"/>
      <c r="GB63" s="348"/>
      <c r="GC63" s="348"/>
      <c r="GD63" s="348"/>
      <c r="GE63" s="348"/>
      <c r="GF63" s="348"/>
      <c r="GG63" s="348"/>
      <c r="GH63" s="348"/>
      <c r="GI63" s="348"/>
      <c r="GJ63" s="348"/>
      <c r="GK63" s="348"/>
      <c r="GL63" s="348"/>
      <c r="GM63" s="348"/>
      <c r="GN63" s="348"/>
      <c r="GO63" s="348"/>
      <c r="GP63" s="348"/>
      <c r="GQ63" s="348"/>
      <c r="GR63" s="348"/>
      <c r="GS63" s="348"/>
      <c r="GT63" s="348"/>
      <c r="GU63" s="348"/>
      <c r="GV63" s="348"/>
      <c r="GW63" s="348"/>
      <c r="GX63" s="348"/>
      <c r="GY63" s="348"/>
      <c r="GZ63" s="348"/>
      <c r="HA63" s="348"/>
      <c r="HB63" s="348"/>
      <c r="HC63" s="348"/>
      <c r="HD63" s="348"/>
      <c r="HE63" s="348"/>
      <c r="HF63" s="348"/>
      <c r="HG63" s="348"/>
      <c r="HH63" s="348"/>
      <c r="HI63" s="348"/>
      <c r="HJ63" s="348"/>
      <c r="HK63" s="348"/>
      <c r="HL63" s="348"/>
      <c r="HM63" s="348"/>
      <c r="HN63" s="348"/>
      <c r="HO63" s="348"/>
      <c r="HP63" s="348"/>
      <c r="HQ63" s="348"/>
      <c r="HR63" s="348"/>
      <c r="HS63" s="348"/>
      <c r="HT63" s="348"/>
      <c r="HU63" s="348"/>
      <c r="HV63" s="348"/>
      <c r="HW63" s="348"/>
      <c r="HX63" s="348"/>
      <c r="HY63" s="348"/>
      <c r="HZ63" s="348"/>
      <c r="IA63" s="348"/>
      <c r="IB63" s="348"/>
      <c r="IC63" s="348"/>
      <c r="ID63" s="348"/>
      <c r="IE63" s="348"/>
      <c r="IF63" s="348"/>
      <c r="IG63" s="348"/>
      <c r="IH63" s="348"/>
      <c r="II63" s="348"/>
      <c r="IJ63" s="348"/>
      <c r="IK63" s="348"/>
      <c r="IL63" s="348"/>
      <c r="IM63" s="348"/>
      <c r="IN63" s="348"/>
      <c r="IO63" s="348"/>
      <c r="IP63" s="348"/>
      <c r="IQ63" s="348"/>
      <c r="IR63" s="348"/>
      <c r="IS63" s="348"/>
      <c r="IT63" s="348"/>
      <c r="IU63" s="348"/>
      <c r="IV63" s="348"/>
    </row>
    <row r="64" spans="1:256" s="255" customFormat="1" x14ac:dyDescent="0.25">
      <c r="A64" s="207" t="s">
        <v>22</v>
      </c>
      <c r="B64" s="252">
        <v>1</v>
      </c>
      <c r="C64" s="252">
        <v>1</v>
      </c>
      <c r="D64" s="402" t="s">
        <v>440</v>
      </c>
      <c r="E64" s="403" t="s">
        <v>441</v>
      </c>
      <c r="F64" s="215" t="s">
        <v>87</v>
      </c>
      <c r="G64" s="252">
        <v>1024</v>
      </c>
      <c r="H64" s="215" t="s">
        <v>16</v>
      </c>
      <c r="I64" s="215" t="s">
        <v>31</v>
      </c>
      <c r="J64" s="215"/>
      <c r="K64" s="215" t="s">
        <v>18</v>
      </c>
      <c r="L64" s="207"/>
      <c r="M64" s="256"/>
      <c r="N64" s="256"/>
      <c r="O64" s="256"/>
      <c r="P64" s="257"/>
      <c r="Q64" s="402" t="s">
        <v>729</v>
      </c>
    </row>
    <row r="65" spans="1:256" s="129" customFormat="1" ht="3" customHeight="1" x14ac:dyDescent="0.25">
      <c r="A65" s="266"/>
      <c r="B65" s="43"/>
      <c r="C65" s="43"/>
      <c r="D65" s="42"/>
      <c r="E65" s="42"/>
      <c r="F65" s="43"/>
      <c r="G65" s="43"/>
      <c r="H65" s="43"/>
      <c r="I65" s="43"/>
      <c r="J65" s="43"/>
      <c r="K65" s="43"/>
      <c r="L65" s="43"/>
      <c r="M65" s="42"/>
      <c r="N65" s="42"/>
      <c r="O65" s="42"/>
      <c r="P65" s="43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42"/>
      <c r="BB65" s="42"/>
      <c r="BC65" s="42"/>
      <c r="BD65" s="42"/>
      <c r="BE65" s="42"/>
      <c r="BF65" s="42"/>
      <c r="BG65" s="42"/>
      <c r="BH65" s="42"/>
      <c r="BI65" s="42"/>
      <c r="BJ65" s="42"/>
      <c r="BK65" s="42"/>
      <c r="BL65" s="42"/>
      <c r="BM65" s="42"/>
      <c r="BN65" s="42"/>
      <c r="BO65" s="42"/>
      <c r="BP65" s="42"/>
      <c r="BQ65" s="42"/>
      <c r="BR65" s="42"/>
      <c r="BS65" s="42"/>
      <c r="BT65" s="42"/>
      <c r="BU65" s="42"/>
      <c r="BV65" s="42"/>
      <c r="BW65" s="42"/>
      <c r="BX65" s="42"/>
      <c r="BY65" s="42"/>
      <c r="BZ65" s="42"/>
      <c r="CA65" s="42"/>
      <c r="CB65" s="42"/>
      <c r="CC65" s="42"/>
      <c r="CD65" s="42"/>
      <c r="CE65" s="42"/>
      <c r="CF65" s="42"/>
      <c r="CG65" s="42"/>
      <c r="CH65" s="42"/>
      <c r="CI65" s="42"/>
      <c r="CJ65" s="42"/>
      <c r="CK65" s="42"/>
      <c r="CL65" s="42"/>
      <c r="CM65" s="42"/>
      <c r="CN65" s="42"/>
      <c r="CO65" s="42"/>
      <c r="CP65" s="42"/>
      <c r="CQ65" s="42"/>
      <c r="CR65" s="42"/>
      <c r="CS65" s="42"/>
      <c r="CT65" s="42"/>
      <c r="CU65" s="42"/>
      <c r="CV65" s="42"/>
      <c r="CW65" s="42"/>
      <c r="CX65" s="42"/>
      <c r="CY65" s="42"/>
      <c r="CZ65" s="42"/>
      <c r="DA65" s="42"/>
      <c r="DB65" s="42"/>
      <c r="DC65" s="42"/>
      <c r="DD65" s="42"/>
      <c r="DE65" s="42"/>
      <c r="DF65" s="42"/>
      <c r="DG65" s="42"/>
      <c r="DH65" s="42"/>
      <c r="DI65" s="42"/>
      <c r="DJ65" s="42"/>
      <c r="DK65" s="42"/>
      <c r="DL65" s="42"/>
      <c r="DM65" s="42"/>
      <c r="DN65" s="42"/>
      <c r="DO65" s="42"/>
      <c r="DP65" s="42"/>
      <c r="DQ65" s="42"/>
      <c r="DR65" s="42"/>
      <c r="DS65" s="42"/>
      <c r="DT65" s="42"/>
      <c r="DU65" s="42"/>
      <c r="DV65" s="42"/>
      <c r="DW65" s="42"/>
      <c r="DX65" s="42"/>
      <c r="DY65" s="42"/>
      <c r="DZ65" s="42"/>
      <c r="EA65" s="42"/>
      <c r="EB65" s="42"/>
      <c r="EC65" s="42"/>
      <c r="ED65" s="42"/>
      <c r="EE65" s="42"/>
      <c r="EF65" s="42"/>
      <c r="EG65" s="42"/>
      <c r="EH65" s="42"/>
      <c r="EI65" s="42"/>
      <c r="EJ65" s="42"/>
      <c r="EK65" s="42"/>
      <c r="EL65" s="42"/>
      <c r="EM65" s="42"/>
      <c r="EN65" s="42"/>
      <c r="EO65" s="42"/>
      <c r="EP65" s="42"/>
      <c r="EQ65" s="42"/>
      <c r="ER65" s="42"/>
      <c r="ES65" s="42"/>
      <c r="ET65" s="42"/>
      <c r="EU65" s="42"/>
      <c r="EV65" s="42"/>
      <c r="EW65" s="42"/>
      <c r="EX65" s="42"/>
      <c r="EY65" s="42"/>
      <c r="EZ65" s="42"/>
      <c r="FA65" s="42"/>
      <c r="FB65" s="42"/>
      <c r="FC65" s="42"/>
      <c r="FD65" s="42"/>
      <c r="FE65" s="42"/>
      <c r="FF65" s="42"/>
      <c r="FG65" s="42"/>
      <c r="FH65" s="42"/>
      <c r="FI65" s="42"/>
      <c r="FJ65" s="42"/>
      <c r="FK65" s="42"/>
      <c r="FL65" s="42"/>
      <c r="FM65" s="42"/>
      <c r="FN65" s="42"/>
      <c r="FO65" s="42"/>
      <c r="FP65" s="42"/>
      <c r="FQ65" s="42"/>
      <c r="FR65" s="42"/>
      <c r="FS65" s="42"/>
      <c r="FT65" s="42"/>
      <c r="FU65" s="42"/>
      <c r="FV65" s="42"/>
      <c r="FW65" s="42"/>
      <c r="FX65" s="42"/>
      <c r="FY65" s="42"/>
      <c r="FZ65" s="42"/>
      <c r="GA65" s="42"/>
      <c r="GB65" s="42"/>
      <c r="GC65" s="42"/>
      <c r="GD65" s="42"/>
      <c r="GE65" s="42"/>
      <c r="GF65" s="42"/>
      <c r="GG65" s="42"/>
      <c r="GH65" s="42"/>
      <c r="GI65" s="42"/>
      <c r="GJ65" s="42"/>
      <c r="GK65" s="42"/>
      <c r="GL65" s="42"/>
      <c r="GM65" s="42"/>
      <c r="GN65" s="42"/>
      <c r="GO65" s="42"/>
      <c r="GP65" s="42"/>
      <c r="GQ65" s="42"/>
      <c r="GR65" s="42"/>
      <c r="GS65" s="42"/>
      <c r="GT65" s="42"/>
      <c r="GU65" s="42"/>
      <c r="GV65" s="42"/>
      <c r="GW65" s="42"/>
      <c r="GX65" s="42"/>
      <c r="GY65" s="42"/>
      <c r="GZ65" s="42"/>
      <c r="HA65" s="42"/>
      <c r="HB65" s="42"/>
      <c r="HC65" s="42"/>
      <c r="HD65" s="42"/>
      <c r="HE65" s="42"/>
      <c r="HF65" s="42"/>
      <c r="HG65" s="42"/>
      <c r="HH65" s="42"/>
      <c r="HI65" s="42"/>
      <c r="HJ65" s="42"/>
      <c r="HK65" s="42"/>
      <c r="HL65" s="42"/>
      <c r="HM65" s="42"/>
      <c r="HN65" s="42"/>
      <c r="HO65" s="42"/>
      <c r="HP65" s="42"/>
      <c r="HQ65" s="42"/>
      <c r="HR65" s="42"/>
      <c r="HS65" s="42"/>
      <c r="HT65" s="42"/>
      <c r="HU65" s="42"/>
      <c r="HV65" s="42"/>
      <c r="HW65" s="42"/>
      <c r="HX65" s="42"/>
      <c r="HY65" s="42"/>
      <c r="HZ65" s="42"/>
      <c r="IA65" s="42"/>
      <c r="IB65" s="42"/>
      <c r="IC65" s="42"/>
      <c r="ID65" s="42"/>
      <c r="IE65" s="42"/>
      <c r="IF65" s="42"/>
      <c r="IG65" s="42"/>
      <c r="IH65" s="42"/>
      <c r="II65" s="42"/>
      <c r="IJ65" s="42"/>
      <c r="IK65" s="42"/>
      <c r="IL65" s="42"/>
      <c r="IM65" s="42"/>
      <c r="IN65" s="42"/>
      <c r="IO65" s="42"/>
      <c r="IP65" s="42"/>
      <c r="IQ65" s="42"/>
      <c r="IR65" s="42"/>
      <c r="IS65" s="42"/>
      <c r="IT65" s="42"/>
      <c r="IU65" s="42"/>
      <c r="IV65" s="42"/>
    </row>
    <row r="74" spans="1:256" s="120" customFormat="1" ht="15" customHeight="1" x14ac:dyDescent="0.25">
      <c r="A74" s="124"/>
      <c r="B74" s="115"/>
      <c r="C74" s="125"/>
      <c r="D74" s="123"/>
      <c r="E74" s="119"/>
      <c r="F74" s="116"/>
      <c r="G74" s="118"/>
      <c r="H74" s="116"/>
      <c r="I74" s="116"/>
      <c r="J74" s="116"/>
      <c r="K74" s="116"/>
      <c r="L74" s="125"/>
      <c r="M74" s="118"/>
      <c r="N74" s="118"/>
      <c r="O74" s="118"/>
      <c r="P74" s="118"/>
      <c r="Q74" s="123"/>
      <c r="R74" s="118"/>
      <c r="S74" s="115"/>
      <c r="T74" s="115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  <c r="AH74" s="122"/>
      <c r="AI74" s="122"/>
      <c r="AJ74" s="122"/>
      <c r="AK74" s="122"/>
      <c r="AL74" s="122"/>
      <c r="AM74" s="122"/>
      <c r="AN74" s="122"/>
      <c r="AO74" s="122"/>
      <c r="AP74" s="122"/>
      <c r="AQ74" s="122"/>
      <c r="AR74" s="122"/>
      <c r="AS74" s="122"/>
      <c r="AT74" s="122"/>
      <c r="AU74" s="122"/>
      <c r="AV74" s="122"/>
      <c r="AW74" s="122"/>
      <c r="AX74" s="122"/>
      <c r="AY74" s="122"/>
      <c r="AZ74" s="122"/>
      <c r="BA74" s="122"/>
      <c r="BB74" s="122"/>
      <c r="BC74" s="122"/>
      <c r="BD74" s="122"/>
      <c r="BE74" s="122"/>
      <c r="BF74" s="122"/>
      <c r="BG74" s="122"/>
      <c r="BH74" s="122"/>
      <c r="BI74" s="122"/>
      <c r="BJ74" s="122"/>
      <c r="BK74" s="122"/>
      <c r="BL74" s="122"/>
      <c r="BM74" s="122"/>
      <c r="BN74" s="122"/>
      <c r="BO74" s="122"/>
      <c r="BP74" s="122"/>
      <c r="BQ74" s="122"/>
      <c r="BR74" s="122"/>
      <c r="BS74" s="122"/>
      <c r="BT74" s="122"/>
      <c r="BU74" s="122"/>
      <c r="BV74" s="122"/>
      <c r="BW74" s="122"/>
      <c r="BX74" s="122"/>
      <c r="BY74" s="122"/>
      <c r="BZ74" s="122"/>
      <c r="CA74" s="122"/>
      <c r="CB74" s="122"/>
      <c r="CC74" s="122"/>
      <c r="CD74" s="122"/>
      <c r="CE74" s="122"/>
      <c r="CF74" s="122"/>
      <c r="CG74" s="122"/>
      <c r="CH74" s="122"/>
      <c r="CI74" s="122"/>
      <c r="CJ74" s="122"/>
      <c r="CK74" s="122"/>
      <c r="CL74" s="122"/>
      <c r="CM74" s="122"/>
      <c r="CN74" s="122"/>
      <c r="CO74" s="122"/>
      <c r="CP74" s="122"/>
      <c r="CQ74" s="122"/>
      <c r="CR74" s="122"/>
      <c r="CS74" s="122"/>
      <c r="CT74" s="122"/>
      <c r="CU74" s="122"/>
      <c r="CV74" s="122"/>
      <c r="CW74" s="122"/>
      <c r="CX74" s="122"/>
      <c r="CY74" s="122"/>
      <c r="CZ74" s="122"/>
      <c r="DA74" s="122"/>
      <c r="DB74" s="122"/>
      <c r="DC74" s="122"/>
      <c r="DD74" s="122"/>
      <c r="DE74" s="122"/>
      <c r="DF74" s="122"/>
      <c r="DG74" s="122"/>
      <c r="DH74" s="122"/>
      <c r="DI74" s="122"/>
      <c r="DJ74" s="122"/>
      <c r="DK74" s="122"/>
      <c r="DL74" s="122"/>
      <c r="DM74" s="122"/>
      <c r="DN74" s="122"/>
      <c r="DO74" s="122"/>
      <c r="DP74" s="122"/>
      <c r="DQ74" s="122"/>
      <c r="DR74" s="122"/>
      <c r="DS74" s="122"/>
      <c r="DT74" s="122"/>
      <c r="DU74" s="122"/>
      <c r="DV74" s="122"/>
      <c r="DW74" s="122"/>
      <c r="DX74" s="122"/>
      <c r="DY74" s="122"/>
      <c r="DZ74" s="122"/>
      <c r="EA74" s="122"/>
      <c r="EB74" s="122"/>
      <c r="EC74" s="122"/>
      <c r="ED74" s="122"/>
      <c r="EE74" s="122"/>
      <c r="EF74" s="122"/>
      <c r="EG74" s="122"/>
      <c r="EH74" s="122"/>
      <c r="EI74" s="122"/>
      <c r="EJ74" s="122"/>
      <c r="EK74" s="122"/>
      <c r="EL74" s="122"/>
      <c r="EM74" s="122"/>
      <c r="EN74" s="122"/>
      <c r="EO74" s="122"/>
      <c r="EP74" s="122"/>
      <c r="EQ74" s="122"/>
      <c r="ER74" s="122"/>
      <c r="ES74" s="122"/>
      <c r="ET74" s="122"/>
      <c r="EU74" s="122"/>
      <c r="EV74" s="122"/>
      <c r="EW74" s="122"/>
      <c r="EX74" s="122"/>
      <c r="EY74" s="122"/>
      <c r="EZ74" s="122"/>
      <c r="FA74" s="122"/>
      <c r="FB74" s="122"/>
      <c r="FC74" s="122"/>
      <c r="FD74" s="122"/>
      <c r="FE74" s="122"/>
      <c r="FF74" s="122"/>
      <c r="FG74" s="122"/>
      <c r="FH74" s="122"/>
      <c r="FI74" s="122"/>
      <c r="FJ74" s="122"/>
      <c r="FK74" s="122"/>
      <c r="FL74" s="122"/>
      <c r="FM74" s="122"/>
      <c r="FN74" s="122"/>
      <c r="FO74" s="122"/>
      <c r="FP74" s="122"/>
      <c r="FQ74" s="122"/>
      <c r="FR74" s="122"/>
      <c r="FS74" s="122"/>
      <c r="FT74" s="122"/>
      <c r="FU74" s="122"/>
      <c r="FV74" s="122"/>
      <c r="FW74" s="122"/>
      <c r="FX74" s="122"/>
      <c r="FY74" s="122"/>
      <c r="FZ74" s="122"/>
      <c r="GA74" s="122"/>
      <c r="GB74" s="122"/>
      <c r="GC74" s="122"/>
      <c r="GD74" s="122"/>
      <c r="GE74" s="122"/>
      <c r="GF74" s="122"/>
      <c r="GG74" s="122"/>
      <c r="GH74" s="122"/>
      <c r="GI74" s="122"/>
      <c r="GJ74" s="122"/>
      <c r="GK74" s="122"/>
      <c r="GL74" s="122"/>
      <c r="GM74" s="122"/>
      <c r="GN74" s="122"/>
      <c r="GO74" s="122"/>
      <c r="GP74" s="122"/>
      <c r="GQ74" s="122"/>
      <c r="GR74" s="122"/>
      <c r="GS74" s="122"/>
      <c r="GT74" s="122"/>
      <c r="GU74" s="122"/>
      <c r="GV74" s="122"/>
      <c r="GW74" s="122"/>
      <c r="GX74" s="122"/>
      <c r="GY74" s="122"/>
      <c r="GZ74" s="122"/>
      <c r="HA74" s="122"/>
      <c r="HB74" s="122"/>
      <c r="HC74" s="122"/>
      <c r="HD74" s="122"/>
      <c r="HE74" s="122"/>
      <c r="HF74" s="122"/>
      <c r="HG74" s="122"/>
      <c r="HH74" s="122"/>
      <c r="HI74" s="122"/>
      <c r="HJ74" s="122"/>
      <c r="HK74" s="122"/>
      <c r="HL74" s="122"/>
      <c r="HM74" s="122"/>
      <c r="HN74" s="122"/>
      <c r="HO74" s="122"/>
      <c r="HP74" s="122"/>
      <c r="HQ74" s="122"/>
      <c r="HR74" s="122"/>
      <c r="HS74" s="122"/>
      <c r="HT74" s="122"/>
      <c r="HU74" s="122"/>
      <c r="HV74" s="122"/>
      <c r="HW74" s="122"/>
      <c r="HX74" s="122"/>
      <c r="HY74" s="122"/>
      <c r="HZ74" s="122"/>
      <c r="IA74" s="122"/>
      <c r="IB74" s="122"/>
      <c r="IC74" s="122"/>
      <c r="ID74" s="122"/>
      <c r="IE74" s="122"/>
      <c r="IF74" s="122"/>
      <c r="IG74" s="122"/>
      <c r="IH74" s="122"/>
      <c r="II74" s="122"/>
      <c r="IJ74" s="122"/>
      <c r="IK74" s="122"/>
      <c r="IL74" s="122"/>
      <c r="IM74" s="122"/>
      <c r="IN74" s="122"/>
      <c r="IO74" s="122"/>
      <c r="IP74" s="122"/>
      <c r="IQ74" s="122"/>
      <c r="IR74" s="122"/>
      <c r="IS74" s="122"/>
      <c r="IT74" s="122"/>
      <c r="IU74" s="122"/>
      <c r="IV74" s="122"/>
    </row>
    <row r="75" spans="1:256" s="129" customFormat="1" ht="15" customHeight="1" x14ac:dyDescent="0.25">
      <c r="A75" s="124"/>
      <c r="B75" s="115"/>
      <c r="C75" s="125"/>
      <c r="D75" s="123"/>
      <c r="E75" s="119"/>
      <c r="F75" s="116"/>
      <c r="G75" s="118"/>
      <c r="H75" s="116"/>
      <c r="I75" s="116"/>
      <c r="J75" s="116"/>
      <c r="K75" s="116"/>
      <c r="L75" s="125"/>
      <c r="M75" s="118"/>
      <c r="N75" s="118"/>
      <c r="O75" s="118"/>
      <c r="P75" s="116"/>
      <c r="Q75" s="128"/>
      <c r="R75" s="118"/>
      <c r="S75" s="115"/>
      <c r="T75" s="115"/>
    </row>
    <row r="76" spans="1:256" s="115" customFormat="1" ht="15" customHeight="1" x14ac:dyDescent="0.25">
      <c r="A76" s="124"/>
      <c r="C76" s="125"/>
      <c r="D76" s="123"/>
      <c r="E76" s="119"/>
      <c r="F76" s="116"/>
      <c r="G76" s="118"/>
      <c r="H76" s="116"/>
      <c r="I76" s="116"/>
      <c r="J76" s="116"/>
      <c r="K76" s="116"/>
      <c r="L76" s="125"/>
      <c r="M76" s="118"/>
      <c r="N76" s="118"/>
      <c r="O76" s="118"/>
      <c r="P76" s="116"/>
      <c r="Q76" s="128"/>
      <c r="R76" s="118"/>
      <c r="U76" s="129"/>
      <c r="V76" s="129"/>
      <c r="W76" s="129"/>
      <c r="X76" s="129"/>
      <c r="Y76" s="129"/>
      <c r="Z76" s="129"/>
      <c r="AA76" s="129"/>
      <c r="AB76" s="129"/>
      <c r="AC76" s="129"/>
      <c r="AD76" s="129"/>
      <c r="AE76" s="129"/>
      <c r="AF76" s="129"/>
      <c r="AG76" s="129"/>
      <c r="AH76" s="129"/>
      <c r="AI76" s="129"/>
      <c r="AJ76" s="129"/>
      <c r="AK76" s="129"/>
      <c r="AL76" s="129"/>
      <c r="AM76" s="129"/>
      <c r="AN76" s="129"/>
      <c r="AO76" s="129"/>
      <c r="AP76" s="129"/>
      <c r="AQ76" s="129"/>
      <c r="AR76" s="129"/>
      <c r="AS76" s="129"/>
      <c r="AT76" s="129"/>
      <c r="AU76" s="129"/>
      <c r="AV76" s="129"/>
      <c r="AW76" s="129"/>
      <c r="AX76" s="129"/>
      <c r="AY76" s="129"/>
      <c r="AZ76" s="129"/>
      <c r="BA76" s="129"/>
      <c r="BB76" s="129"/>
      <c r="BC76" s="129"/>
      <c r="BD76" s="129"/>
      <c r="BE76" s="129"/>
      <c r="BF76" s="129"/>
      <c r="BG76" s="129"/>
      <c r="BH76" s="129"/>
      <c r="BI76" s="129"/>
      <c r="BJ76" s="129"/>
      <c r="BK76" s="129"/>
      <c r="BL76" s="129"/>
      <c r="BM76" s="129"/>
      <c r="BN76" s="129"/>
      <c r="BO76" s="129"/>
      <c r="BP76" s="129"/>
      <c r="BQ76" s="129"/>
      <c r="BR76" s="129"/>
      <c r="BS76" s="129"/>
      <c r="BT76" s="129"/>
      <c r="BU76" s="129"/>
      <c r="BV76" s="129"/>
      <c r="BW76" s="129"/>
      <c r="BX76" s="129"/>
      <c r="BY76" s="129"/>
      <c r="BZ76" s="129"/>
      <c r="CA76" s="129"/>
      <c r="CB76" s="129"/>
      <c r="CC76" s="129"/>
      <c r="CD76" s="129"/>
      <c r="CE76" s="129"/>
      <c r="CF76" s="129"/>
      <c r="CG76" s="129"/>
      <c r="CH76" s="129"/>
      <c r="CI76" s="129"/>
      <c r="CJ76" s="129"/>
      <c r="CK76" s="129"/>
      <c r="CL76" s="129"/>
      <c r="CM76" s="129"/>
      <c r="CN76" s="129"/>
      <c r="CO76" s="129"/>
      <c r="CP76" s="129"/>
      <c r="CQ76" s="129"/>
      <c r="CR76" s="129"/>
      <c r="CS76" s="129"/>
      <c r="CT76" s="129"/>
      <c r="CU76" s="129"/>
      <c r="CV76" s="129"/>
      <c r="CW76" s="129"/>
      <c r="CX76" s="129"/>
      <c r="CY76" s="129"/>
      <c r="CZ76" s="129"/>
      <c r="DA76" s="129"/>
      <c r="DB76" s="129"/>
      <c r="DC76" s="129"/>
      <c r="DD76" s="129"/>
      <c r="DE76" s="129"/>
      <c r="DF76" s="129"/>
      <c r="DG76" s="129"/>
      <c r="DH76" s="129"/>
      <c r="DI76" s="129"/>
      <c r="DJ76" s="129"/>
      <c r="DK76" s="129"/>
      <c r="DL76" s="129"/>
      <c r="DM76" s="129"/>
      <c r="DN76" s="129"/>
      <c r="DO76" s="129"/>
      <c r="DP76" s="129"/>
      <c r="DQ76" s="129"/>
      <c r="DR76" s="129"/>
      <c r="DS76" s="129"/>
      <c r="DT76" s="129"/>
      <c r="DU76" s="129"/>
      <c r="DV76" s="129"/>
      <c r="DW76" s="129"/>
      <c r="DX76" s="129"/>
      <c r="DY76" s="129"/>
      <c r="DZ76" s="129"/>
      <c r="EA76" s="129"/>
      <c r="EB76" s="129"/>
      <c r="EC76" s="129"/>
      <c r="ED76" s="129"/>
      <c r="EE76" s="129"/>
      <c r="EF76" s="129"/>
      <c r="EG76" s="129"/>
      <c r="EH76" s="129"/>
      <c r="EI76" s="129"/>
      <c r="EJ76" s="129"/>
      <c r="EK76" s="129"/>
      <c r="EL76" s="129"/>
      <c r="EM76" s="129"/>
      <c r="EN76" s="129"/>
      <c r="EO76" s="129"/>
      <c r="EP76" s="129"/>
      <c r="EQ76" s="129"/>
      <c r="ER76" s="129"/>
      <c r="ES76" s="129"/>
      <c r="ET76" s="129"/>
      <c r="EU76" s="129"/>
      <c r="EV76" s="129"/>
      <c r="EW76" s="129"/>
      <c r="EX76" s="129"/>
      <c r="EY76" s="129"/>
      <c r="EZ76" s="129"/>
      <c r="FA76" s="129"/>
      <c r="FB76" s="129"/>
      <c r="FC76" s="129"/>
      <c r="FD76" s="129"/>
      <c r="FE76" s="129"/>
      <c r="FF76" s="129"/>
      <c r="FG76" s="129"/>
      <c r="FH76" s="129"/>
      <c r="FI76" s="129"/>
      <c r="FJ76" s="129"/>
      <c r="FK76" s="129"/>
      <c r="FL76" s="129"/>
      <c r="FM76" s="129"/>
      <c r="FN76" s="129"/>
      <c r="FO76" s="129"/>
      <c r="FP76" s="129"/>
      <c r="FQ76" s="129"/>
      <c r="FR76" s="129"/>
      <c r="FS76" s="129"/>
      <c r="FT76" s="129"/>
      <c r="FU76" s="129"/>
      <c r="FV76" s="129"/>
      <c r="FW76" s="129"/>
      <c r="FX76" s="129"/>
      <c r="FY76" s="129"/>
      <c r="FZ76" s="129"/>
      <c r="GA76" s="129"/>
      <c r="GB76" s="129"/>
      <c r="GC76" s="129"/>
      <c r="GD76" s="129"/>
      <c r="GE76" s="129"/>
      <c r="GF76" s="129"/>
      <c r="GG76" s="129"/>
      <c r="GH76" s="129"/>
      <c r="GI76" s="129"/>
      <c r="GJ76" s="129"/>
      <c r="GK76" s="129"/>
      <c r="GL76" s="129"/>
      <c r="GM76" s="129"/>
      <c r="GN76" s="129"/>
      <c r="GO76" s="129"/>
      <c r="GP76" s="129"/>
      <c r="GQ76" s="129"/>
      <c r="GR76" s="129"/>
      <c r="GS76" s="129"/>
      <c r="GT76" s="129"/>
      <c r="GU76" s="129"/>
      <c r="GV76" s="129"/>
      <c r="GW76" s="129"/>
      <c r="GX76" s="129"/>
      <c r="GY76" s="129"/>
      <c r="GZ76" s="129"/>
      <c r="HA76" s="129"/>
      <c r="HB76" s="129"/>
      <c r="HC76" s="129"/>
      <c r="HD76" s="129"/>
      <c r="HE76" s="129"/>
      <c r="HF76" s="129"/>
      <c r="HG76" s="129"/>
      <c r="HH76" s="129"/>
      <c r="HI76" s="129"/>
      <c r="HJ76" s="129"/>
      <c r="HK76" s="129"/>
      <c r="HL76" s="129"/>
      <c r="HM76" s="129"/>
      <c r="HN76" s="129"/>
      <c r="HO76" s="129"/>
      <c r="HP76" s="129"/>
      <c r="HQ76" s="129"/>
      <c r="HR76" s="129"/>
      <c r="HS76" s="129"/>
      <c r="HT76" s="129"/>
      <c r="HU76" s="129"/>
      <c r="HV76" s="129"/>
      <c r="HW76" s="129"/>
      <c r="HX76" s="129"/>
      <c r="HY76" s="129"/>
      <c r="HZ76" s="129"/>
      <c r="IA76" s="129"/>
      <c r="IB76" s="129"/>
      <c r="IC76" s="129"/>
      <c r="ID76" s="129"/>
      <c r="IE76" s="129"/>
      <c r="IF76" s="129"/>
      <c r="IG76" s="129"/>
      <c r="IH76" s="129"/>
      <c r="II76" s="129"/>
      <c r="IJ76" s="129"/>
      <c r="IK76" s="129"/>
      <c r="IL76" s="129"/>
      <c r="IM76" s="129"/>
      <c r="IN76" s="129"/>
      <c r="IO76" s="129"/>
      <c r="IP76" s="129"/>
      <c r="IQ76" s="129"/>
      <c r="IR76" s="129"/>
      <c r="IS76" s="129"/>
      <c r="IT76" s="129"/>
      <c r="IU76" s="129"/>
      <c r="IV76" s="129"/>
    </row>
    <row r="77" spans="1:256" s="115" customFormat="1" ht="15" customHeight="1" x14ac:dyDescent="0.25">
      <c r="A77" s="124"/>
      <c r="C77" s="125"/>
      <c r="D77" s="123"/>
      <c r="E77" s="119"/>
      <c r="F77" s="116"/>
      <c r="G77" s="118"/>
      <c r="H77" s="116"/>
      <c r="I77" s="116"/>
      <c r="J77" s="116"/>
      <c r="K77" s="116"/>
      <c r="L77" s="125"/>
      <c r="M77" s="131"/>
      <c r="N77" s="131"/>
      <c r="O77" s="131"/>
      <c r="P77" s="118"/>
      <c r="Q77" s="123"/>
      <c r="R77" s="118"/>
      <c r="U77" s="121"/>
      <c r="V77" s="121"/>
      <c r="W77" s="121"/>
      <c r="X77" s="121"/>
      <c r="Y77" s="121"/>
      <c r="Z77" s="121"/>
      <c r="AA77" s="121"/>
      <c r="AB77" s="121"/>
      <c r="AC77" s="121"/>
      <c r="AD77" s="121"/>
      <c r="AE77" s="121"/>
      <c r="AF77" s="121"/>
      <c r="AG77" s="121"/>
      <c r="AH77" s="121"/>
      <c r="AI77" s="121"/>
      <c r="AJ77" s="121"/>
      <c r="AK77" s="121"/>
      <c r="AL77" s="121"/>
      <c r="AM77" s="121"/>
      <c r="AN77" s="121"/>
      <c r="AO77" s="121"/>
      <c r="AP77" s="121"/>
      <c r="AQ77" s="121"/>
      <c r="AR77" s="121"/>
      <c r="AS77" s="121"/>
      <c r="AT77" s="121"/>
      <c r="AU77" s="121"/>
      <c r="AV77" s="121"/>
      <c r="AW77" s="121"/>
      <c r="AX77" s="121"/>
      <c r="AY77" s="121"/>
      <c r="AZ77" s="121"/>
      <c r="BA77" s="121"/>
      <c r="BB77" s="121"/>
      <c r="BC77" s="121"/>
      <c r="BD77" s="121"/>
      <c r="BE77" s="121"/>
      <c r="BF77" s="121"/>
      <c r="BG77" s="121"/>
      <c r="BH77" s="121"/>
      <c r="BI77" s="121"/>
      <c r="BJ77" s="121"/>
      <c r="BK77" s="121"/>
      <c r="BL77" s="121"/>
      <c r="BM77" s="121"/>
      <c r="BN77" s="121"/>
      <c r="BO77" s="121"/>
      <c r="BP77" s="121"/>
      <c r="BQ77" s="121"/>
      <c r="BR77" s="121"/>
      <c r="BS77" s="121"/>
      <c r="BT77" s="121"/>
      <c r="BU77" s="121"/>
      <c r="BV77" s="121"/>
      <c r="BW77" s="121"/>
      <c r="BX77" s="121"/>
      <c r="BY77" s="121"/>
      <c r="BZ77" s="121"/>
      <c r="CA77" s="121"/>
      <c r="CB77" s="121"/>
      <c r="CC77" s="121"/>
      <c r="CD77" s="121"/>
      <c r="CE77" s="121"/>
      <c r="CF77" s="121"/>
      <c r="CG77" s="121"/>
      <c r="CH77" s="121"/>
      <c r="CI77" s="121"/>
      <c r="CJ77" s="121"/>
      <c r="CK77" s="121"/>
      <c r="CL77" s="121"/>
      <c r="CM77" s="121"/>
      <c r="CN77" s="121"/>
      <c r="CO77" s="121"/>
      <c r="CP77" s="121"/>
      <c r="CQ77" s="121"/>
      <c r="CR77" s="121"/>
      <c r="CS77" s="121"/>
      <c r="CT77" s="121"/>
      <c r="CU77" s="121"/>
      <c r="CV77" s="121"/>
      <c r="CW77" s="121"/>
      <c r="CX77" s="121"/>
      <c r="CY77" s="121"/>
      <c r="CZ77" s="121"/>
      <c r="DA77" s="121"/>
      <c r="DB77" s="121"/>
      <c r="DC77" s="121"/>
      <c r="DD77" s="121"/>
      <c r="DE77" s="121"/>
      <c r="DF77" s="121"/>
      <c r="DG77" s="121"/>
      <c r="DH77" s="121"/>
      <c r="DI77" s="121"/>
      <c r="DJ77" s="121"/>
      <c r="DK77" s="121"/>
      <c r="DL77" s="121"/>
      <c r="DM77" s="121"/>
      <c r="DN77" s="121"/>
      <c r="DO77" s="121"/>
      <c r="DP77" s="121"/>
      <c r="DQ77" s="121"/>
      <c r="DR77" s="121"/>
      <c r="DS77" s="121"/>
      <c r="DT77" s="121"/>
      <c r="DU77" s="121"/>
      <c r="DV77" s="121"/>
      <c r="DW77" s="121"/>
      <c r="DX77" s="121"/>
      <c r="DY77" s="121"/>
      <c r="DZ77" s="121"/>
      <c r="EA77" s="121"/>
      <c r="EB77" s="121"/>
      <c r="EC77" s="121"/>
      <c r="ED77" s="121"/>
      <c r="EE77" s="121"/>
      <c r="EF77" s="121"/>
      <c r="EG77" s="121"/>
      <c r="EH77" s="121"/>
      <c r="EI77" s="121"/>
      <c r="EJ77" s="121"/>
      <c r="EK77" s="121"/>
      <c r="EL77" s="121"/>
      <c r="EM77" s="121"/>
      <c r="EN77" s="121"/>
      <c r="EO77" s="121"/>
      <c r="EP77" s="121"/>
      <c r="EQ77" s="121"/>
      <c r="ER77" s="121"/>
      <c r="ES77" s="121"/>
      <c r="ET77" s="121"/>
      <c r="EU77" s="121"/>
      <c r="EV77" s="121"/>
      <c r="EW77" s="121"/>
      <c r="EX77" s="121"/>
      <c r="EY77" s="121"/>
      <c r="EZ77" s="121"/>
      <c r="FA77" s="121"/>
      <c r="FB77" s="121"/>
      <c r="FC77" s="121"/>
      <c r="FD77" s="121"/>
      <c r="FE77" s="121"/>
      <c r="FF77" s="121"/>
      <c r="FG77" s="121"/>
      <c r="FH77" s="121"/>
      <c r="FI77" s="121"/>
      <c r="FJ77" s="121"/>
      <c r="FK77" s="121"/>
      <c r="FL77" s="121"/>
      <c r="FM77" s="121"/>
      <c r="FN77" s="121"/>
      <c r="FO77" s="121"/>
      <c r="FP77" s="121"/>
      <c r="FQ77" s="121"/>
      <c r="FR77" s="121"/>
      <c r="FS77" s="121"/>
      <c r="FT77" s="121"/>
      <c r="FU77" s="121"/>
      <c r="FV77" s="121"/>
      <c r="FW77" s="121"/>
      <c r="FX77" s="121"/>
      <c r="FY77" s="121"/>
      <c r="FZ77" s="121"/>
      <c r="GA77" s="121"/>
      <c r="GB77" s="121"/>
      <c r="GC77" s="121"/>
      <c r="GD77" s="121"/>
      <c r="GE77" s="121"/>
      <c r="GF77" s="121"/>
      <c r="GG77" s="121"/>
      <c r="GH77" s="121"/>
      <c r="GI77" s="121"/>
      <c r="GJ77" s="121"/>
      <c r="GK77" s="121"/>
      <c r="GL77" s="121"/>
      <c r="GM77" s="121"/>
      <c r="GN77" s="121"/>
      <c r="GO77" s="121"/>
      <c r="GP77" s="121"/>
      <c r="GQ77" s="121"/>
      <c r="GR77" s="121"/>
      <c r="GS77" s="121"/>
      <c r="GT77" s="121"/>
      <c r="GU77" s="121"/>
      <c r="GV77" s="121"/>
      <c r="GW77" s="121"/>
      <c r="GX77" s="121"/>
      <c r="GY77" s="121"/>
      <c r="GZ77" s="121"/>
      <c r="HA77" s="121"/>
      <c r="HB77" s="121"/>
      <c r="HC77" s="121"/>
      <c r="HD77" s="121"/>
      <c r="HE77" s="121"/>
      <c r="HF77" s="121"/>
      <c r="HG77" s="121"/>
      <c r="HH77" s="121"/>
      <c r="HI77" s="121"/>
      <c r="HJ77" s="121"/>
      <c r="HK77" s="121"/>
      <c r="HL77" s="121"/>
      <c r="HM77" s="121"/>
      <c r="HN77" s="121"/>
      <c r="HO77" s="121"/>
      <c r="HP77" s="121"/>
      <c r="HQ77" s="121"/>
      <c r="HR77" s="121"/>
      <c r="HS77" s="121"/>
      <c r="HT77" s="121"/>
      <c r="HU77" s="121"/>
      <c r="HV77" s="121"/>
      <c r="HW77" s="121"/>
      <c r="HX77" s="121"/>
      <c r="HY77" s="121"/>
      <c r="HZ77" s="121"/>
      <c r="IA77" s="121"/>
      <c r="IB77" s="121"/>
      <c r="IC77" s="121"/>
      <c r="ID77" s="121"/>
      <c r="IE77" s="121"/>
      <c r="IF77" s="121"/>
      <c r="IG77" s="121"/>
      <c r="IH77" s="121"/>
      <c r="II77" s="121"/>
      <c r="IJ77" s="121"/>
      <c r="IK77" s="121"/>
      <c r="IL77" s="121"/>
      <c r="IM77" s="121"/>
      <c r="IN77" s="121"/>
      <c r="IO77" s="121"/>
      <c r="IP77" s="121"/>
      <c r="IQ77" s="121"/>
      <c r="IR77" s="121"/>
      <c r="IS77" s="121"/>
      <c r="IT77" s="121"/>
      <c r="IU77" s="121"/>
      <c r="IV77" s="121"/>
    </row>
    <row r="78" spans="1:256" s="115" customFormat="1" ht="15" customHeight="1" x14ac:dyDescent="0.25">
      <c r="A78" s="132"/>
      <c r="B78" s="131"/>
      <c r="C78" s="131"/>
      <c r="D78" s="132"/>
      <c r="E78" s="132"/>
      <c r="F78" s="101"/>
      <c r="G78" s="131"/>
      <c r="H78" s="131"/>
      <c r="I78" s="131"/>
      <c r="J78" s="131"/>
      <c r="K78" s="131"/>
      <c r="L78" s="131"/>
      <c r="M78" s="122"/>
      <c r="N78" s="122"/>
      <c r="O78" s="122"/>
      <c r="P78" s="131"/>
      <c r="Q78" s="132"/>
      <c r="R78" s="122"/>
      <c r="S78" s="122"/>
      <c r="T78" s="122"/>
      <c r="U78" s="121"/>
      <c r="V78" s="121"/>
      <c r="W78" s="121"/>
      <c r="X78" s="121"/>
      <c r="Y78" s="121"/>
      <c r="Z78" s="121"/>
      <c r="AA78" s="121"/>
      <c r="AB78" s="121"/>
      <c r="AC78" s="121"/>
      <c r="AD78" s="121"/>
      <c r="AE78" s="121"/>
      <c r="AF78" s="121"/>
      <c r="AG78" s="121"/>
      <c r="AH78" s="121"/>
      <c r="AI78" s="121"/>
      <c r="AJ78" s="121"/>
      <c r="AK78" s="121"/>
      <c r="AL78" s="121"/>
      <c r="AM78" s="121"/>
      <c r="AN78" s="121"/>
      <c r="AO78" s="121"/>
      <c r="AP78" s="121"/>
      <c r="AQ78" s="121"/>
      <c r="AR78" s="121"/>
      <c r="AS78" s="121"/>
      <c r="AT78" s="121"/>
      <c r="AU78" s="121"/>
      <c r="AV78" s="121"/>
      <c r="AW78" s="121"/>
      <c r="AX78" s="121"/>
      <c r="AY78" s="121"/>
      <c r="AZ78" s="121"/>
      <c r="BA78" s="121"/>
      <c r="BB78" s="121"/>
      <c r="BC78" s="121"/>
      <c r="BD78" s="121"/>
      <c r="BE78" s="121"/>
      <c r="BF78" s="121"/>
      <c r="BG78" s="121"/>
      <c r="BH78" s="121"/>
      <c r="BI78" s="121"/>
      <c r="BJ78" s="121"/>
      <c r="BK78" s="121"/>
      <c r="BL78" s="121"/>
      <c r="BM78" s="121"/>
      <c r="BN78" s="121"/>
      <c r="BO78" s="121"/>
      <c r="BP78" s="121"/>
      <c r="BQ78" s="121"/>
      <c r="BR78" s="121"/>
      <c r="BS78" s="121"/>
      <c r="BT78" s="121"/>
      <c r="BU78" s="121"/>
      <c r="BV78" s="121"/>
      <c r="BW78" s="121"/>
      <c r="BX78" s="121"/>
      <c r="BY78" s="121"/>
      <c r="BZ78" s="121"/>
      <c r="CA78" s="121"/>
      <c r="CB78" s="121"/>
      <c r="CC78" s="121"/>
      <c r="CD78" s="121"/>
      <c r="CE78" s="121"/>
      <c r="CF78" s="121"/>
      <c r="CG78" s="121"/>
      <c r="CH78" s="121"/>
      <c r="CI78" s="121"/>
      <c r="CJ78" s="121"/>
      <c r="CK78" s="121"/>
      <c r="CL78" s="121"/>
      <c r="CM78" s="121"/>
      <c r="CN78" s="121"/>
      <c r="CO78" s="121"/>
      <c r="CP78" s="121"/>
      <c r="CQ78" s="121"/>
      <c r="CR78" s="121"/>
      <c r="CS78" s="121"/>
      <c r="CT78" s="121"/>
      <c r="CU78" s="121"/>
      <c r="CV78" s="121"/>
      <c r="CW78" s="121"/>
      <c r="CX78" s="121"/>
      <c r="CY78" s="121"/>
      <c r="CZ78" s="121"/>
      <c r="DA78" s="121"/>
      <c r="DB78" s="121"/>
      <c r="DC78" s="121"/>
      <c r="DD78" s="121"/>
      <c r="DE78" s="121"/>
      <c r="DF78" s="121"/>
      <c r="DG78" s="121"/>
      <c r="DH78" s="121"/>
      <c r="DI78" s="121"/>
      <c r="DJ78" s="121"/>
      <c r="DK78" s="121"/>
      <c r="DL78" s="121"/>
      <c r="DM78" s="121"/>
      <c r="DN78" s="121"/>
      <c r="DO78" s="121"/>
      <c r="DP78" s="121"/>
      <c r="DQ78" s="121"/>
      <c r="DR78" s="121"/>
      <c r="DS78" s="121"/>
      <c r="DT78" s="121"/>
      <c r="DU78" s="121"/>
      <c r="DV78" s="121"/>
      <c r="DW78" s="121"/>
      <c r="DX78" s="121"/>
      <c r="DY78" s="121"/>
      <c r="DZ78" s="121"/>
      <c r="EA78" s="121"/>
      <c r="EB78" s="121"/>
      <c r="EC78" s="121"/>
      <c r="ED78" s="121"/>
      <c r="EE78" s="121"/>
      <c r="EF78" s="121"/>
      <c r="EG78" s="121"/>
      <c r="EH78" s="121"/>
      <c r="EI78" s="121"/>
      <c r="EJ78" s="121"/>
      <c r="EK78" s="121"/>
      <c r="EL78" s="121"/>
      <c r="EM78" s="121"/>
      <c r="EN78" s="121"/>
      <c r="EO78" s="121"/>
      <c r="EP78" s="121"/>
      <c r="EQ78" s="121"/>
      <c r="ER78" s="121"/>
      <c r="ES78" s="121"/>
      <c r="ET78" s="121"/>
      <c r="EU78" s="121"/>
      <c r="EV78" s="121"/>
      <c r="EW78" s="121"/>
      <c r="EX78" s="121"/>
      <c r="EY78" s="121"/>
      <c r="EZ78" s="121"/>
      <c r="FA78" s="121"/>
      <c r="FB78" s="121"/>
      <c r="FC78" s="121"/>
      <c r="FD78" s="121"/>
      <c r="FE78" s="121"/>
      <c r="FF78" s="121"/>
      <c r="FG78" s="121"/>
      <c r="FH78" s="121"/>
      <c r="FI78" s="121"/>
      <c r="FJ78" s="121"/>
      <c r="FK78" s="121"/>
      <c r="FL78" s="121"/>
      <c r="FM78" s="121"/>
      <c r="FN78" s="121"/>
      <c r="FO78" s="121"/>
      <c r="FP78" s="121"/>
      <c r="FQ78" s="121"/>
      <c r="FR78" s="121"/>
      <c r="FS78" s="121"/>
      <c r="FT78" s="121"/>
      <c r="FU78" s="121"/>
      <c r="FV78" s="121"/>
      <c r="FW78" s="121"/>
      <c r="FX78" s="121"/>
      <c r="FY78" s="121"/>
      <c r="FZ78" s="121"/>
      <c r="GA78" s="121"/>
      <c r="GB78" s="121"/>
      <c r="GC78" s="121"/>
      <c r="GD78" s="121"/>
      <c r="GE78" s="121"/>
      <c r="GF78" s="121"/>
      <c r="GG78" s="121"/>
      <c r="GH78" s="121"/>
      <c r="GI78" s="121"/>
      <c r="GJ78" s="121"/>
      <c r="GK78" s="121"/>
      <c r="GL78" s="121"/>
      <c r="GM78" s="121"/>
      <c r="GN78" s="121"/>
      <c r="GO78" s="121"/>
      <c r="GP78" s="121"/>
      <c r="GQ78" s="121"/>
      <c r="GR78" s="121"/>
      <c r="GS78" s="121"/>
      <c r="GT78" s="121"/>
      <c r="GU78" s="121"/>
      <c r="GV78" s="121"/>
      <c r="GW78" s="121"/>
      <c r="GX78" s="121"/>
      <c r="GY78" s="121"/>
      <c r="GZ78" s="121"/>
      <c r="HA78" s="121"/>
      <c r="HB78" s="121"/>
      <c r="HC78" s="121"/>
      <c r="HD78" s="121"/>
      <c r="HE78" s="121"/>
      <c r="HF78" s="121"/>
      <c r="HG78" s="121"/>
      <c r="HH78" s="121"/>
      <c r="HI78" s="121"/>
      <c r="HJ78" s="121"/>
      <c r="HK78" s="121"/>
      <c r="HL78" s="121"/>
      <c r="HM78" s="121"/>
      <c r="HN78" s="121"/>
      <c r="HO78" s="121"/>
      <c r="HP78" s="121"/>
      <c r="HQ78" s="121"/>
      <c r="HR78" s="121"/>
      <c r="HS78" s="121"/>
      <c r="HT78" s="121"/>
      <c r="HU78" s="121"/>
      <c r="HV78" s="121"/>
      <c r="HW78" s="121"/>
      <c r="HX78" s="121"/>
      <c r="HY78" s="121"/>
      <c r="HZ78" s="121"/>
      <c r="IA78" s="121"/>
      <c r="IB78" s="121"/>
      <c r="IC78" s="121"/>
      <c r="ID78" s="121"/>
      <c r="IE78" s="121"/>
      <c r="IF78" s="121"/>
      <c r="IG78" s="121"/>
      <c r="IH78" s="121"/>
      <c r="II78" s="121"/>
      <c r="IJ78" s="121"/>
      <c r="IK78" s="121"/>
      <c r="IL78" s="121"/>
      <c r="IM78" s="121"/>
      <c r="IN78" s="121"/>
      <c r="IO78" s="121"/>
      <c r="IP78" s="121"/>
      <c r="IQ78" s="121"/>
      <c r="IR78" s="121"/>
      <c r="IS78" s="121"/>
      <c r="IT78" s="121"/>
      <c r="IU78" s="121"/>
      <c r="IV78" s="121"/>
    </row>
    <row r="79" spans="1:256" s="122" customFormat="1" x14ac:dyDescent="0.25">
      <c r="A79" s="124"/>
      <c r="B79" s="115"/>
      <c r="C79" s="125"/>
      <c r="D79" s="126"/>
      <c r="E79" s="119"/>
      <c r="F79" s="116"/>
      <c r="G79" s="118"/>
      <c r="H79" s="125"/>
      <c r="I79" s="125"/>
      <c r="J79" s="125"/>
      <c r="K79" s="116"/>
      <c r="L79" s="125"/>
      <c r="M79" s="118"/>
      <c r="N79" s="118"/>
      <c r="O79" s="118"/>
      <c r="P79" s="125"/>
      <c r="Q79" s="123"/>
      <c r="R79" s="118"/>
      <c r="S79" s="115"/>
      <c r="T79" s="115"/>
      <c r="U79" s="121"/>
      <c r="V79" s="121"/>
      <c r="W79" s="121"/>
      <c r="X79" s="121"/>
      <c r="Y79" s="121"/>
      <c r="Z79" s="121"/>
      <c r="AA79" s="121"/>
      <c r="AB79" s="121"/>
      <c r="AC79" s="121"/>
      <c r="AD79" s="121"/>
      <c r="AE79" s="121"/>
      <c r="AF79" s="121"/>
      <c r="AG79" s="121"/>
      <c r="AH79" s="121"/>
      <c r="AI79" s="121"/>
      <c r="AJ79" s="121"/>
      <c r="AK79" s="121"/>
      <c r="AL79" s="121"/>
      <c r="AM79" s="121"/>
      <c r="AN79" s="121"/>
      <c r="AO79" s="121"/>
      <c r="AP79" s="121"/>
      <c r="AQ79" s="121"/>
      <c r="AR79" s="121"/>
      <c r="AS79" s="121"/>
      <c r="AT79" s="121"/>
      <c r="AU79" s="121"/>
      <c r="AV79" s="121"/>
      <c r="AW79" s="121"/>
      <c r="AX79" s="121"/>
      <c r="AY79" s="121"/>
      <c r="AZ79" s="121"/>
      <c r="BA79" s="121"/>
      <c r="BB79" s="121"/>
      <c r="BC79" s="121"/>
      <c r="BD79" s="121"/>
      <c r="BE79" s="121"/>
      <c r="BF79" s="121"/>
      <c r="BG79" s="121"/>
      <c r="BH79" s="121"/>
      <c r="BI79" s="121"/>
      <c r="BJ79" s="121"/>
      <c r="BK79" s="121"/>
      <c r="BL79" s="121"/>
      <c r="BM79" s="121"/>
      <c r="BN79" s="121"/>
      <c r="BO79" s="121"/>
      <c r="BP79" s="121"/>
      <c r="BQ79" s="121"/>
      <c r="BR79" s="121"/>
      <c r="BS79" s="121"/>
      <c r="BT79" s="121"/>
      <c r="BU79" s="121"/>
      <c r="BV79" s="121"/>
      <c r="BW79" s="121"/>
      <c r="BX79" s="121"/>
      <c r="BY79" s="121"/>
      <c r="BZ79" s="121"/>
      <c r="CA79" s="121"/>
      <c r="CB79" s="121"/>
      <c r="CC79" s="121"/>
      <c r="CD79" s="121"/>
      <c r="CE79" s="121"/>
      <c r="CF79" s="121"/>
      <c r="CG79" s="121"/>
      <c r="CH79" s="121"/>
      <c r="CI79" s="121"/>
      <c r="CJ79" s="121"/>
      <c r="CK79" s="121"/>
      <c r="CL79" s="121"/>
      <c r="CM79" s="121"/>
      <c r="CN79" s="121"/>
      <c r="CO79" s="121"/>
      <c r="CP79" s="121"/>
      <c r="CQ79" s="121"/>
      <c r="CR79" s="121"/>
      <c r="CS79" s="121"/>
      <c r="CT79" s="121"/>
      <c r="CU79" s="121"/>
      <c r="CV79" s="121"/>
      <c r="CW79" s="121"/>
      <c r="CX79" s="121"/>
      <c r="CY79" s="121"/>
      <c r="CZ79" s="121"/>
      <c r="DA79" s="121"/>
      <c r="DB79" s="121"/>
      <c r="DC79" s="121"/>
      <c r="DD79" s="121"/>
      <c r="DE79" s="121"/>
      <c r="DF79" s="121"/>
      <c r="DG79" s="121"/>
      <c r="DH79" s="121"/>
      <c r="DI79" s="121"/>
      <c r="DJ79" s="121"/>
      <c r="DK79" s="121"/>
      <c r="DL79" s="121"/>
      <c r="DM79" s="121"/>
      <c r="DN79" s="121"/>
      <c r="DO79" s="121"/>
      <c r="DP79" s="121"/>
      <c r="DQ79" s="121"/>
      <c r="DR79" s="121"/>
      <c r="DS79" s="121"/>
      <c r="DT79" s="121"/>
      <c r="DU79" s="121"/>
      <c r="DV79" s="121"/>
      <c r="DW79" s="121"/>
      <c r="DX79" s="121"/>
      <c r="DY79" s="121"/>
      <c r="DZ79" s="121"/>
      <c r="EA79" s="121"/>
      <c r="EB79" s="121"/>
      <c r="EC79" s="121"/>
      <c r="ED79" s="121"/>
      <c r="EE79" s="121"/>
      <c r="EF79" s="121"/>
      <c r="EG79" s="121"/>
      <c r="EH79" s="121"/>
      <c r="EI79" s="121"/>
      <c r="EJ79" s="121"/>
      <c r="EK79" s="121"/>
      <c r="EL79" s="121"/>
      <c r="EM79" s="121"/>
      <c r="EN79" s="121"/>
      <c r="EO79" s="121"/>
      <c r="EP79" s="121"/>
      <c r="EQ79" s="121"/>
      <c r="ER79" s="121"/>
      <c r="ES79" s="121"/>
      <c r="ET79" s="121"/>
      <c r="EU79" s="121"/>
      <c r="EV79" s="121"/>
      <c r="EW79" s="121"/>
      <c r="EX79" s="121"/>
      <c r="EY79" s="121"/>
      <c r="EZ79" s="121"/>
      <c r="FA79" s="121"/>
      <c r="FB79" s="121"/>
      <c r="FC79" s="121"/>
      <c r="FD79" s="121"/>
      <c r="FE79" s="121"/>
      <c r="FF79" s="121"/>
      <c r="FG79" s="121"/>
      <c r="FH79" s="121"/>
      <c r="FI79" s="121"/>
      <c r="FJ79" s="121"/>
      <c r="FK79" s="121"/>
      <c r="FL79" s="121"/>
      <c r="FM79" s="121"/>
      <c r="FN79" s="121"/>
      <c r="FO79" s="121"/>
      <c r="FP79" s="121"/>
      <c r="FQ79" s="121"/>
      <c r="FR79" s="121"/>
      <c r="FS79" s="121"/>
      <c r="FT79" s="121"/>
      <c r="FU79" s="121"/>
      <c r="FV79" s="121"/>
      <c r="FW79" s="121"/>
      <c r="FX79" s="121"/>
      <c r="FY79" s="121"/>
      <c r="FZ79" s="121"/>
      <c r="GA79" s="121"/>
      <c r="GB79" s="121"/>
      <c r="GC79" s="121"/>
      <c r="GD79" s="121"/>
      <c r="GE79" s="121"/>
      <c r="GF79" s="121"/>
      <c r="GG79" s="121"/>
      <c r="GH79" s="121"/>
      <c r="GI79" s="121"/>
      <c r="GJ79" s="121"/>
      <c r="GK79" s="121"/>
      <c r="GL79" s="121"/>
      <c r="GM79" s="121"/>
      <c r="GN79" s="121"/>
      <c r="GO79" s="121"/>
      <c r="GP79" s="121"/>
      <c r="GQ79" s="121"/>
      <c r="GR79" s="121"/>
      <c r="GS79" s="121"/>
      <c r="GT79" s="121"/>
      <c r="GU79" s="121"/>
      <c r="GV79" s="121"/>
      <c r="GW79" s="121"/>
      <c r="GX79" s="121"/>
      <c r="GY79" s="121"/>
      <c r="GZ79" s="121"/>
      <c r="HA79" s="121"/>
      <c r="HB79" s="121"/>
      <c r="HC79" s="121"/>
      <c r="HD79" s="121"/>
      <c r="HE79" s="121"/>
      <c r="HF79" s="121"/>
      <c r="HG79" s="121"/>
      <c r="HH79" s="121"/>
      <c r="HI79" s="121"/>
      <c r="HJ79" s="121"/>
      <c r="HK79" s="121"/>
      <c r="HL79" s="121"/>
      <c r="HM79" s="121"/>
      <c r="HN79" s="121"/>
      <c r="HO79" s="121"/>
      <c r="HP79" s="121"/>
      <c r="HQ79" s="121"/>
      <c r="HR79" s="121"/>
      <c r="HS79" s="121"/>
      <c r="HT79" s="121"/>
      <c r="HU79" s="121"/>
      <c r="HV79" s="121"/>
      <c r="HW79" s="121"/>
      <c r="HX79" s="121"/>
      <c r="HY79" s="121"/>
      <c r="HZ79" s="121"/>
      <c r="IA79" s="121"/>
      <c r="IB79" s="121"/>
      <c r="IC79" s="121"/>
      <c r="ID79" s="121"/>
      <c r="IE79" s="121"/>
      <c r="IF79" s="121"/>
      <c r="IG79" s="121"/>
      <c r="IH79" s="121"/>
      <c r="II79" s="121"/>
      <c r="IJ79" s="121"/>
      <c r="IK79" s="121"/>
      <c r="IL79" s="121"/>
      <c r="IM79" s="121"/>
      <c r="IN79" s="121"/>
      <c r="IO79" s="121"/>
      <c r="IP79" s="121"/>
      <c r="IQ79" s="121"/>
      <c r="IR79" s="121"/>
      <c r="IS79" s="121"/>
      <c r="IT79" s="121"/>
      <c r="IU79" s="121"/>
      <c r="IV79" s="121"/>
    </row>
    <row r="80" spans="1:256" s="152" customFormat="1" x14ac:dyDescent="0.25">
      <c r="A80" s="124"/>
      <c r="B80" s="115"/>
      <c r="C80" s="125"/>
      <c r="D80" s="126"/>
      <c r="E80" s="127"/>
      <c r="F80" s="116"/>
      <c r="G80" s="118"/>
      <c r="H80" s="116"/>
      <c r="I80" s="116"/>
      <c r="J80" s="116"/>
      <c r="K80" s="116"/>
      <c r="L80" s="125"/>
      <c r="M80" s="131"/>
      <c r="N80" s="131"/>
      <c r="O80" s="131"/>
      <c r="P80" s="118"/>
      <c r="Q80" s="128"/>
      <c r="R80" s="118"/>
      <c r="S80" s="115"/>
      <c r="T80" s="115"/>
      <c r="U80" s="121"/>
      <c r="V80" s="121"/>
      <c r="W80" s="121"/>
      <c r="X80" s="121"/>
      <c r="Y80" s="121"/>
      <c r="Z80" s="121"/>
      <c r="AA80" s="121"/>
      <c r="AB80" s="121"/>
      <c r="AC80" s="121"/>
      <c r="AD80" s="121"/>
      <c r="AE80" s="121"/>
      <c r="AF80" s="121"/>
      <c r="AG80" s="121"/>
      <c r="AH80" s="121"/>
      <c r="AI80" s="121"/>
      <c r="AJ80" s="121"/>
      <c r="AK80" s="121"/>
      <c r="AL80" s="121"/>
      <c r="AM80" s="121"/>
      <c r="AN80" s="121"/>
      <c r="AO80" s="121"/>
      <c r="AP80" s="121"/>
      <c r="AQ80" s="121"/>
      <c r="AR80" s="121"/>
      <c r="AS80" s="121"/>
      <c r="AT80" s="121"/>
      <c r="AU80" s="121"/>
      <c r="AV80" s="121"/>
      <c r="AW80" s="121"/>
      <c r="AX80" s="121"/>
      <c r="AY80" s="121"/>
      <c r="AZ80" s="121"/>
      <c r="BA80" s="121"/>
      <c r="BB80" s="121"/>
      <c r="BC80" s="121"/>
      <c r="BD80" s="121"/>
      <c r="BE80" s="121"/>
      <c r="BF80" s="121"/>
      <c r="BG80" s="121"/>
      <c r="BH80" s="121"/>
      <c r="BI80" s="121"/>
      <c r="BJ80" s="121"/>
      <c r="BK80" s="121"/>
      <c r="BL80" s="121"/>
      <c r="BM80" s="121"/>
      <c r="BN80" s="121"/>
      <c r="BO80" s="121"/>
      <c r="BP80" s="121"/>
      <c r="BQ80" s="121"/>
      <c r="BR80" s="121"/>
      <c r="BS80" s="121"/>
      <c r="BT80" s="121"/>
      <c r="BU80" s="121"/>
      <c r="BV80" s="121"/>
      <c r="BW80" s="121"/>
      <c r="BX80" s="121"/>
      <c r="BY80" s="121"/>
      <c r="BZ80" s="121"/>
      <c r="CA80" s="121"/>
      <c r="CB80" s="121"/>
      <c r="CC80" s="121"/>
      <c r="CD80" s="121"/>
      <c r="CE80" s="121"/>
      <c r="CF80" s="121"/>
      <c r="CG80" s="121"/>
      <c r="CH80" s="121"/>
      <c r="CI80" s="121"/>
      <c r="CJ80" s="121"/>
      <c r="CK80" s="121"/>
      <c r="CL80" s="121"/>
      <c r="CM80" s="121"/>
      <c r="CN80" s="121"/>
      <c r="CO80" s="121"/>
      <c r="CP80" s="121"/>
      <c r="CQ80" s="121"/>
      <c r="CR80" s="121"/>
      <c r="CS80" s="121"/>
      <c r="CT80" s="121"/>
      <c r="CU80" s="121"/>
      <c r="CV80" s="121"/>
      <c r="CW80" s="121"/>
      <c r="CX80" s="121"/>
      <c r="CY80" s="121"/>
      <c r="CZ80" s="121"/>
      <c r="DA80" s="121"/>
      <c r="DB80" s="121"/>
      <c r="DC80" s="121"/>
      <c r="DD80" s="121"/>
      <c r="DE80" s="121"/>
      <c r="DF80" s="121"/>
      <c r="DG80" s="121"/>
      <c r="DH80" s="121"/>
      <c r="DI80" s="121"/>
      <c r="DJ80" s="121"/>
      <c r="DK80" s="121"/>
      <c r="DL80" s="121"/>
      <c r="DM80" s="121"/>
      <c r="DN80" s="121"/>
      <c r="DO80" s="121"/>
      <c r="DP80" s="121"/>
      <c r="DQ80" s="121"/>
      <c r="DR80" s="121"/>
      <c r="DS80" s="121"/>
      <c r="DT80" s="121"/>
      <c r="DU80" s="121"/>
      <c r="DV80" s="121"/>
      <c r="DW80" s="121"/>
      <c r="DX80" s="121"/>
      <c r="DY80" s="121"/>
      <c r="DZ80" s="121"/>
      <c r="EA80" s="121"/>
      <c r="EB80" s="121"/>
      <c r="EC80" s="121"/>
      <c r="ED80" s="121"/>
      <c r="EE80" s="121"/>
      <c r="EF80" s="121"/>
      <c r="EG80" s="121"/>
      <c r="EH80" s="121"/>
      <c r="EI80" s="121"/>
      <c r="EJ80" s="121"/>
      <c r="EK80" s="121"/>
      <c r="EL80" s="121"/>
      <c r="EM80" s="121"/>
      <c r="EN80" s="121"/>
      <c r="EO80" s="121"/>
      <c r="EP80" s="121"/>
      <c r="EQ80" s="121"/>
      <c r="ER80" s="121"/>
      <c r="ES80" s="121"/>
      <c r="ET80" s="121"/>
      <c r="EU80" s="121"/>
      <c r="EV80" s="121"/>
      <c r="EW80" s="121"/>
      <c r="EX80" s="121"/>
      <c r="EY80" s="121"/>
      <c r="EZ80" s="121"/>
      <c r="FA80" s="121"/>
      <c r="FB80" s="121"/>
      <c r="FC80" s="121"/>
      <c r="FD80" s="121"/>
      <c r="FE80" s="121"/>
      <c r="FF80" s="121"/>
      <c r="FG80" s="121"/>
      <c r="FH80" s="121"/>
      <c r="FI80" s="121"/>
      <c r="FJ80" s="121"/>
      <c r="FK80" s="121"/>
      <c r="FL80" s="121"/>
      <c r="FM80" s="121"/>
      <c r="FN80" s="121"/>
      <c r="FO80" s="121"/>
      <c r="FP80" s="121"/>
      <c r="FQ80" s="121"/>
      <c r="FR80" s="121"/>
      <c r="FS80" s="121"/>
      <c r="FT80" s="121"/>
      <c r="FU80" s="121"/>
      <c r="FV80" s="121"/>
      <c r="FW80" s="121"/>
      <c r="FX80" s="121"/>
      <c r="FY80" s="121"/>
      <c r="FZ80" s="121"/>
      <c r="GA80" s="121"/>
      <c r="GB80" s="121"/>
      <c r="GC80" s="121"/>
      <c r="GD80" s="121"/>
      <c r="GE80" s="121"/>
      <c r="GF80" s="121"/>
      <c r="GG80" s="121"/>
      <c r="GH80" s="121"/>
      <c r="GI80" s="121"/>
      <c r="GJ80" s="121"/>
      <c r="GK80" s="121"/>
      <c r="GL80" s="121"/>
      <c r="GM80" s="121"/>
      <c r="GN80" s="121"/>
      <c r="GO80" s="121"/>
      <c r="GP80" s="121"/>
      <c r="GQ80" s="121"/>
      <c r="GR80" s="121"/>
      <c r="GS80" s="121"/>
      <c r="GT80" s="121"/>
      <c r="GU80" s="121"/>
      <c r="GV80" s="121"/>
      <c r="GW80" s="121"/>
      <c r="GX80" s="121"/>
      <c r="GY80" s="121"/>
      <c r="GZ80" s="121"/>
      <c r="HA80" s="121"/>
      <c r="HB80" s="121"/>
      <c r="HC80" s="121"/>
      <c r="HD80" s="121"/>
      <c r="HE80" s="121"/>
      <c r="HF80" s="121"/>
      <c r="HG80" s="121"/>
      <c r="HH80" s="121"/>
      <c r="HI80" s="121"/>
      <c r="HJ80" s="121"/>
      <c r="HK80" s="121"/>
      <c r="HL80" s="121"/>
      <c r="HM80" s="121"/>
      <c r="HN80" s="121"/>
      <c r="HO80" s="121"/>
      <c r="HP80" s="121"/>
      <c r="HQ80" s="121"/>
      <c r="HR80" s="121"/>
      <c r="HS80" s="121"/>
      <c r="HT80" s="121"/>
      <c r="HU80" s="121"/>
      <c r="HV80" s="121"/>
      <c r="HW80" s="121"/>
      <c r="HX80" s="121"/>
      <c r="HY80" s="121"/>
      <c r="HZ80" s="121"/>
      <c r="IA80" s="121"/>
      <c r="IB80" s="121"/>
      <c r="IC80" s="121"/>
      <c r="ID80" s="121"/>
      <c r="IE80" s="121"/>
      <c r="IF80" s="121"/>
      <c r="IG80" s="121"/>
      <c r="IH80" s="121"/>
      <c r="II80" s="121"/>
      <c r="IJ80" s="121"/>
      <c r="IK80" s="121"/>
      <c r="IL80" s="121"/>
      <c r="IM80" s="121"/>
      <c r="IN80" s="121"/>
      <c r="IO80" s="121"/>
      <c r="IP80" s="121"/>
      <c r="IQ80" s="121"/>
      <c r="IR80" s="121"/>
      <c r="IS80" s="121"/>
      <c r="IT80" s="121"/>
      <c r="IU80" s="121"/>
      <c r="IV80" s="121"/>
    </row>
    <row r="81" spans="1:256" s="101" customFormat="1" x14ac:dyDescent="0.25">
      <c r="A81" s="133"/>
      <c r="B81" s="120"/>
      <c r="C81" s="134"/>
      <c r="D81" s="135"/>
      <c r="E81" s="136"/>
      <c r="F81" s="137"/>
      <c r="G81" s="138"/>
      <c r="H81" s="134"/>
      <c r="I81" s="137"/>
      <c r="J81" s="134"/>
      <c r="K81" s="137"/>
      <c r="L81" s="134"/>
      <c r="M81" s="134"/>
      <c r="N81" s="134"/>
      <c r="O81" s="134"/>
      <c r="P81" s="138"/>
      <c r="Q81" s="135"/>
      <c r="R81" s="138"/>
      <c r="S81" s="120"/>
      <c r="T81" s="120"/>
      <c r="U81" s="115"/>
      <c r="V81" s="115"/>
      <c r="W81" s="115"/>
      <c r="X81" s="115"/>
      <c r="Y81" s="115"/>
      <c r="Z81" s="115"/>
      <c r="AA81" s="115"/>
      <c r="AB81" s="115"/>
      <c r="AC81" s="115"/>
      <c r="AD81" s="115"/>
      <c r="AE81" s="115"/>
      <c r="AF81" s="115"/>
      <c r="AG81" s="115"/>
      <c r="AH81" s="115"/>
      <c r="AI81" s="115"/>
      <c r="AJ81" s="115"/>
      <c r="AK81" s="115"/>
      <c r="AL81" s="115"/>
      <c r="AM81" s="115"/>
      <c r="AN81" s="115"/>
      <c r="AO81" s="115"/>
      <c r="AP81" s="115"/>
      <c r="AQ81" s="115"/>
      <c r="AR81" s="115"/>
      <c r="AS81" s="115"/>
      <c r="AT81" s="115"/>
      <c r="AU81" s="115"/>
      <c r="AV81" s="115"/>
      <c r="AW81" s="115"/>
      <c r="AX81" s="115"/>
      <c r="AY81" s="115"/>
      <c r="AZ81" s="115"/>
      <c r="BA81" s="115"/>
      <c r="BB81" s="115"/>
      <c r="BC81" s="115"/>
      <c r="BD81" s="115"/>
      <c r="BE81" s="115"/>
      <c r="BF81" s="115"/>
      <c r="BG81" s="115"/>
      <c r="BH81" s="115"/>
      <c r="BI81" s="115"/>
      <c r="BJ81" s="115"/>
      <c r="BK81" s="115"/>
      <c r="BL81" s="115"/>
      <c r="BM81" s="115"/>
      <c r="BN81" s="115"/>
      <c r="BO81" s="115"/>
      <c r="BP81" s="115"/>
      <c r="BQ81" s="115"/>
      <c r="BR81" s="115"/>
      <c r="BS81" s="115"/>
      <c r="BT81" s="115"/>
      <c r="BU81" s="115"/>
      <c r="BV81" s="115"/>
      <c r="BW81" s="115"/>
      <c r="BX81" s="115"/>
      <c r="BY81" s="115"/>
      <c r="BZ81" s="115"/>
      <c r="CA81" s="115"/>
      <c r="CB81" s="115"/>
      <c r="CC81" s="115"/>
      <c r="CD81" s="115"/>
      <c r="CE81" s="115"/>
      <c r="CF81" s="115"/>
      <c r="CG81" s="115"/>
      <c r="CH81" s="115"/>
      <c r="CI81" s="115"/>
      <c r="CJ81" s="115"/>
      <c r="CK81" s="115"/>
      <c r="CL81" s="115"/>
      <c r="CM81" s="115"/>
      <c r="CN81" s="115"/>
      <c r="CO81" s="115"/>
      <c r="CP81" s="115"/>
      <c r="CQ81" s="115"/>
      <c r="CR81" s="115"/>
      <c r="CS81" s="115"/>
      <c r="CT81" s="115"/>
      <c r="CU81" s="115"/>
      <c r="CV81" s="115"/>
      <c r="CW81" s="115"/>
      <c r="CX81" s="115"/>
      <c r="CY81" s="115"/>
      <c r="CZ81" s="115"/>
      <c r="DA81" s="115"/>
      <c r="DB81" s="115"/>
      <c r="DC81" s="115"/>
      <c r="DD81" s="115"/>
      <c r="DE81" s="115"/>
      <c r="DF81" s="115"/>
      <c r="DG81" s="115"/>
      <c r="DH81" s="115"/>
      <c r="DI81" s="115"/>
      <c r="DJ81" s="115"/>
      <c r="DK81" s="115"/>
      <c r="DL81" s="115"/>
      <c r="DM81" s="115"/>
      <c r="DN81" s="115"/>
      <c r="DO81" s="115"/>
      <c r="DP81" s="115"/>
      <c r="DQ81" s="115"/>
      <c r="DR81" s="115"/>
      <c r="DS81" s="115"/>
      <c r="DT81" s="115"/>
      <c r="DU81" s="115"/>
      <c r="DV81" s="115"/>
      <c r="DW81" s="115"/>
      <c r="DX81" s="115"/>
      <c r="DY81" s="115"/>
      <c r="DZ81" s="115"/>
      <c r="EA81" s="115"/>
      <c r="EB81" s="115"/>
      <c r="EC81" s="115"/>
      <c r="ED81" s="115"/>
      <c r="EE81" s="115"/>
      <c r="EF81" s="115"/>
      <c r="EG81" s="115"/>
      <c r="EH81" s="115"/>
      <c r="EI81" s="115"/>
      <c r="EJ81" s="115"/>
      <c r="EK81" s="115"/>
      <c r="EL81" s="115"/>
      <c r="EM81" s="115"/>
      <c r="EN81" s="115"/>
      <c r="EO81" s="115"/>
      <c r="EP81" s="115"/>
      <c r="EQ81" s="115"/>
      <c r="ER81" s="115"/>
      <c r="ES81" s="115"/>
      <c r="ET81" s="115"/>
      <c r="EU81" s="115"/>
      <c r="EV81" s="115"/>
      <c r="EW81" s="115"/>
      <c r="EX81" s="115"/>
      <c r="EY81" s="115"/>
      <c r="EZ81" s="115"/>
      <c r="FA81" s="115"/>
      <c r="FB81" s="115"/>
      <c r="FC81" s="115"/>
      <c r="FD81" s="115"/>
      <c r="FE81" s="115"/>
      <c r="FF81" s="115"/>
      <c r="FG81" s="115"/>
      <c r="FH81" s="115"/>
      <c r="FI81" s="115"/>
      <c r="FJ81" s="115"/>
      <c r="FK81" s="115"/>
      <c r="FL81" s="115"/>
      <c r="FM81" s="115"/>
      <c r="FN81" s="115"/>
      <c r="FO81" s="115"/>
      <c r="FP81" s="115"/>
      <c r="FQ81" s="115"/>
      <c r="FR81" s="115"/>
      <c r="FS81" s="115"/>
      <c r="FT81" s="115"/>
      <c r="FU81" s="115"/>
      <c r="FV81" s="115"/>
      <c r="FW81" s="115"/>
      <c r="FX81" s="115"/>
      <c r="FY81" s="115"/>
      <c r="FZ81" s="115"/>
      <c r="GA81" s="115"/>
      <c r="GB81" s="115"/>
      <c r="GC81" s="115"/>
      <c r="GD81" s="115"/>
      <c r="GE81" s="115"/>
      <c r="GF81" s="115"/>
      <c r="GG81" s="115"/>
      <c r="GH81" s="115"/>
      <c r="GI81" s="115"/>
      <c r="GJ81" s="115"/>
      <c r="GK81" s="115"/>
      <c r="GL81" s="115"/>
      <c r="GM81" s="115"/>
      <c r="GN81" s="115"/>
      <c r="GO81" s="115"/>
      <c r="GP81" s="115"/>
      <c r="GQ81" s="115"/>
      <c r="GR81" s="115"/>
      <c r="GS81" s="115"/>
      <c r="GT81" s="115"/>
      <c r="GU81" s="115"/>
      <c r="GV81" s="115"/>
      <c r="GW81" s="115"/>
      <c r="GX81" s="115"/>
      <c r="GY81" s="115"/>
      <c r="GZ81" s="115"/>
      <c r="HA81" s="115"/>
      <c r="HB81" s="115"/>
      <c r="HC81" s="115"/>
      <c r="HD81" s="115"/>
      <c r="HE81" s="115"/>
      <c r="HF81" s="115"/>
      <c r="HG81" s="115"/>
      <c r="HH81" s="115"/>
      <c r="HI81" s="115"/>
      <c r="HJ81" s="115"/>
      <c r="HK81" s="115"/>
      <c r="HL81" s="115"/>
      <c r="HM81" s="115"/>
      <c r="HN81" s="115"/>
      <c r="HO81" s="115"/>
      <c r="HP81" s="115"/>
      <c r="HQ81" s="115"/>
      <c r="HR81" s="115"/>
      <c r="HS81" s="115"/>
      <c r="HT81" s="115"/>
      <c r="HU81" s="115"/>
      <c r="HV81" s="115"/>
      <c r="HW81" s="115"/>
      <c r="HX81" s="115"/>
      <c r="HY81" s="115"/>
      <c r="HZ81" s="115"/>
      <c r="IA81" s="115"/>
      <c r="IB81" s="115"/>
      <c r="IC81" s="115"/>
      <c r="ID81" s="115"/>
      <c r="IE81" s="115"/>
      <c r="IF81" s="115"/>
      <c r="IG81" s="115"/>
      <c r="IH81" s="115"/>
      <c r="II81" s="115"/>
      <c r="IJ81" s="115"/>
      <c r="IK81" s="115"/>
      <c r="IL81" s="115"/>
      <c r="IM81" s="115"/>
      <c r="IN81" s="115"/>
      <c r="IO81" s="115"/>
      <c r="IP81" s="115"/>
      <c r="IQ81" s="115"/>
      <c r="IR81" s="115"/>
      <c r="IS81" s="115"/>
      <c r="IT81" s="115"/>
      <c r="IU81" s="115"/>
      <c r="IV81" s="115"/>
    </row>
    <row r="82" spans="1:256" s="100" customFormat="1" ht="15" customHeight="1" x14ac:dyDescent="0.25">
      <c r="A82" s="133"/>
      <c r="B82" s="120"/>
      <c r="C82" s="134"/>
      <c r="D82" s="135"/>
      <c r="E82" s="136"/>
      <c r="F82" s="137"/>
      <c r="G82" s="138"/>
      <c r="H82" s="134"/>
      <c r="I82" s="137"/>
      <c r="J82" s="134"/>
      <c r="K82" s="137"/>
      <c r="L82" s="134"/>
      <c r="M82" s="134"/>
      <c r="N82" s="134"/>
      <c r="O82" s="134"/>
      <c r="P82" s="138"/>
      <c r="Q82" s="135"/>
      <c r="R82" s="138"/>
      <c r="S82" s="120"/>
      <c r="T82" s="120"/>
      <c r="U82" s="115"/>
      <c r="V82" s="115"/>
      <c r="W82" s="115"/>
      <c r="X82" s="115"/>
      <c r="Y82" s="115"/>
      <c r="Z82" s="115"/>
      <c r="AA82" s="115"/>
      <c r="AB82" s="115"/>
      <c r="AC82" s="115"/>
      <c r="AD82" s="115"/>
      <c r="AE82" s="115"/>
      <c r="AF82" s="115"/>
      <c r="AG82" s="115"/>
      <c r="AH82" s="115"/>
      <c r="AI82" s="115"/>
      <c r="AJ82" s="115"/>
      <c r="AK82" s="115"/>
      <c r="AL82" s="115"/>
      <c r="AM82" s="115"/>
      <c r="AN82" s="115"/>
      <c r="AO82" s="115"/>
      <c r="AP82" s="115"/>
      <c r="AQ82" s="115"/>
      <c r="AR82" s="115"/>
      <c r="AS82" s="115"/>
      <c r="AT82" s="115"/>
      <c r="AU82" s="115"/>
      <c r="AV82" s="115"/>
      <c r="AW82" s="115"/>
      <c r="AX82" s="115"/>
      <c r="AY82" s="115"/>
      <c r="AZ82" s="115"/>
      <c r="BA82" s="115"/>
      <c r="BB82" s="115"/>
      <c r="BC82" s="115"/>
      <c r="BD82" s="115"/>
      <c r="BE82" s="115"/>
      <c r="BF82" s="115"/>
      <c r="BG82" s="115"/>
      <c r="BH82" s="115"/>
      <c r="BI82" s="115"/>
      <c r="BJ82" s="115"/>
      <c r="BK82" s="115"/>
      <c r="BL82" s="115"/>
      <c r="BM82" s="115"/>
      <c r="BN82" s="115"/>
      <c r="BO82" s="115"/>
      <c r="BP82" s="115"/>
      <c r="BQ82" s="115"/>
      <c r="BR82" s="115"/>
      <c r="BS82" s="115"/>
      <c r="BT82" s="115"/>
      <c r="BU82" s="115"/>
      <c r="BV82" s="115"/>
      <c r="BW82" s="115"/>
      <c r="BX82" s="115"/>
      <c r="BY82" s="115"/>
      <c r="BZ82" s="115"/>
      <c r="CA82" s="115"/>
      <c r="CB82" s="115"/>
      <c r="CC82" s="115"/>
      <c r="CD82" s="115"/>
      <c r="CE82" s="115"/>
      <c r="CF82" s="115"/>
      <c r="CG82" s="115"/>
      <c r="CH82" s="115"/>
      <c r="CI82" s="115"/>
      <c r="CJ82" s="115"/>
      <c r="CK82" s="115"/>
      <c r="CL82" s="115"/>
      <c r="CM82" s="115"/>
      <c r="CN82" s="115"/>
      <c r="CO82" s="115"/>
      <c r="CP82" s="115"/>
      <c r="CQ82" s="115"/>
      <c r="CR82" s="115"/>
      <c r="CS82" s="115"/>
      <c r="CT82" s="115"/>
      <c r="CU82" s="115"/>
      <c r="CV82" s="115"/>
      <c r="CW82" s="115"/>
      <c r="CX82" s="115"/>
      <c r="CY82" s="115"/>
      <c r="CZ82" s="115"/>
      <c r="DA82" s="115"/>
      <c r="DB82" s="115"/>
      <c r="DC82" s="115"/>
      <c r="DD82" s="115"/>
      <c r="DE82" s="115"/>
      <c r="DF82" s="115"/>
      <c r="DG82" s="115"/>
      <c r="DH82" s="115"/>
      <c r="DI82" s="115"/>
      <c r="DJ82" s="115"/>
      <c r="DK82" s="115"/>
      <c r="DL82" s="115"/>
      <c r="DM82" s="115"/>
      <c r="DN82" s="115"/>
      <c r="DO82" s="115"/>
      <c r="DP82" s="115"/>
      <c r="DQ82" s="115"/>
      <c r="DR82" s="115"/>
      <c r="DS82" s="115"/>
      <c r="DT82" s="115"/>
      <c r="DU82" s="115"/>
      <c r="DV82" s="115"/>
      <c r="DW82" s="115"/>
      <c r="DX82" s="115"/>
      <c r="DY82" s="115"/>
      <c r="DZ82" s="115"/>
      <c r="EA82" s="115"/>
      <c r="EB82" s="115"/>
      <c r="EC82" s="115"/>
      <c r="ED82" s="115"/>
      <c r="EE82" s="115"/>
      <c r="EF82" s="115"/>
      <c r="EG82" s="115"/>
      <c r="EH82" s="115"/>
      <c r="EI82" s="115"/>
      <c r="EJ82" s="115"/>
      <c r="EK82" s="115"/>
      <c r="EL82" s="115"/>
      <c r="EM82" s="115"/>
      <c r="EN82" s="115"/>
      <c r="EO82" s="115"/>
      <c r="EP82" s="115"/>
      <c r="EQ82" s="115"/>
      <c r="ER82" s="115"/>
      <c r="ES82" s="115"/>
      <c r="ET82" s="115"/>
      <c r="EU82" s="115"/>
      <c r="EV82" s="115"/>
      <c r="EW82" s="115"/>
      <c r="EX82" s="115"/>
      <c r="EY82" s="115"/>
      <c r="EZ82" s="115"/>
      <c r="FA82" s="115"/>
      <c r="FB82" s="115"/>
      <c r="FC82" s="115"/>
      <c r="FD82" s="115"/>
      <c r="FE82" s="115"/>
      <c r="FF82" s="115"/>
      <c r="FG82" s="115"/>
      <c r="FH82" s="115"/>
      <c r="FI82" s="115"/>
      <c r="FJ82" s="115"/>
      <c r="FK82" s="115"/>
      <c r="FL82" s="115"/>
      <c r="FM82" s="115"/>
      <c r="FN82" s="115"/>
      <c r="FO82" s="115"/>
      <c r="FP82" s="115"/>
      <c r="FQ82" s="115"/>
      <c r="FR82" s="115"/>
      <c r="FS82" s="115"/>
      <c r="FT82" s="115"/>
      <c r="FU82" s="115"/>
      <c r="FV82" s="115"/>
      <c r="FW82" s="115"/>
      <c r="FX82" s="115"/>
      <c r="FY82" s="115"/>
      <c r="FZ82" s="115"/>
      <c r="GA82" s="115"/>
      <c r="GB82" s="115"/>
      <c r="GC82" s="115"/>
      <c r="GD82" s="115"/>
      <c r="GE82" s="115"/>
      <c r="GF82" s="115"/>
      <c r="GG82" s="115"/>
      <c r="GH82" s="115"/>
      <c r="GI82" s="115"/>
      <c r="GJ82" s="115"/>
      <c r="GK82" s="115"/>
      <c r="GL82" s="115"/>
      <c r="GM82" s="115"/>
      <c r="GN82" s="115"/>
      <c r="GO82" s="115"/>
      <c r="GP82" s="115"/>
      <c r="GQ82" s="115"/>
      <c r="GR82" s="115"/>
      <c r="GS82" s="115"/>
      <c r="GT82" s="115"/>
      <c r="GU82" s="115"/>
      <c r="GV82" s="115"/>
      <c r="GW82" s="115"/>
      <c r="GX82" s="115"/>
      <c r="GY82" s="115"/>
      <c r="GZ82" s="115"/>
      <c r="HA82" s="115"/>
      <c r="HB82" s="115"/>
      <c r="HC82" s="115"/>
      <c r="HD82" s="115"/>
      <c r="HE82" s="115"/>
      <c r="HF82" s="115"/>
      <c r="HG82" s="115"/>
      <c r="HH82" s="115"/>
      <c r="HI82" s="115"/>
      <c r="HJ82" s="115"/>
      <c r="HK82" s="115"/>
      <c r="HL82" s="115"/>
      <c r="HM82" s="115"/>
      <c r="HN82" s="115"/>
      <c r="HO82" s="115"/>
      <c r="HP82" s="115"/>
      <c r="HQ82" s="115"/>
      <c r="HR82" s="115"/>
      <c r="HS82" s="115"/>
      <c r="HT82" s="115"/>
      <c r="HU82" s="115"/>
      <c r="HV82" s="115"/>
      <c r="HW82" s="115"/>
      <c r="HX82" s="115"/>
      <c r="HY82" s="115"/>
      <c r="HZ82" s="115"/>
      <c r="IA82" s="115"/>
      <c r="IB82" s="115"/>
      <c r="IC82" s="115"/>
      <c r="ID82" s="115"/>
      <c r="IE82" s="115"/>
      <c r="IF82" s="115"/>
      <c r="IG82" s="115"/>
      <c r="IH82" s="115"/>
      <c r="II82" s="115"/>
      <c r="IJ82" s="115"/>
      <c r="IK82" s="115"/>
      <c r="IL82" s="115"/>
      <c r="IM82" s="115"/>
      <c r="IN82" s="115"/>
      <c r="IO82" s="115"/>
      <c r="IP82" s="115"/>
      <c r="IQ82" s="115"/>
      <c r="IR82" s="115"/>
      <c r="IS82" s="115"/>
      <c r="IT82" s="115"/>
      <c r="IU82" s="115"/>
      <c r="IV82" s="115"/>
    </row>
    <row r="83" spans="1:256" s="152" customFormat="1" x14ac:dyDescent="0.25">
      <c r="A83" s="139"/>
      <c r="B83" s="121"/>
      <c r="C83" s="140"/>
      <c r="D83" s="141"/>
      <c r="E83" s="142"/>
      <c r="F83" s="143"/>
      <c r="G83" s="140"/>
      <c r="H83" s="140"/>
      <c r="I83" s="143"/>
      <c r="J83" s="140"/>
      <c r="K83" s="112"/>
      <c r="L83" s="140"/>
      <c r="M83" s="140"/>
      <c r="N83" s="140"/>
      <c r="O83" s="140"/>
      <c r="P83" s="144"/>
      <c r="Q83" s="141"/>
      <c r="R83" s="144"/>
      <c r="S83" s="121"/>
      <c r="T83" s="121"/>
      <c r="U83" s="115"/>
      <c r="V83" s="115"/>
      <c r="W83" s="115"/>
      <c r="X83" s="115"/>
      <c r="Y83" s="115"/>
      <c r="Z83" s="115"/>
      <c r="AA83" s="115"/>
      <c r="AB83" s="115"/>
      <c r="AC83" s="115"/>
      <c r="AD83" s="115"/>
      <c r="AE83" s="115"/>
      <c r="AF83" s="115"/>
      <c r="AG83" s="115"/>
      <c r="AH83" s="115"/>
      <c r="AI83" s="115"/>
      <c r="AJ83" s="115"/>
      <c r="AK83" s="115"/>
      <c r="AL83" s="115"/>
      <c r="AM83" s="115"/>
      <c r="AN83" s="115"/>
      <c r="AO83" s="115"/>
      <c r="AP83" s="115"/>
      <c r="AQ83" s="115"/>
      <c r="AR83" s="115"/>
      <c r="AS83" s="115"/>
      <c r="AT83" s="115"/>
      <c r="AU83" s="115"/>
      <c r="AV83" s="115"/>
      <c r="AW83" s="115"/>
      <c r="AX83" s="115"/>
      <c r="AY83" s="115"/>
      <c r="AZ83" s="115"/>
      <c r="BA83" s="115"/>
      <c r="BB83" s="115"/>
      <c r="BC83" s="115"/>
      <c r="BD83" s="115"/>
      <c r="BE83" s="115"/>
      <c r="BF83" s="115"/>
      <c r="BG83" s="115"/>
      <c r="BH83" s="115"/>
      <c r="BI83" s="115"/>
      <c r="BJ83" s="115"/>
      <c r="BK83" s="115"/>
      <c r="BL83" s="115"/>
      <c r="BM83" s="115"/>
      <c r="BN83" s="115"/>
      <c r="BO83" s="115"/>
      <c r="BP83" s="115"/>
      <c r="BQ83" s="115"/>
      <c r="BR83" s="115"/>
      <c r="BS83" s="115"/>
      <c r="BT83" s="115"/>
      <c r="BU83" s="115"/>
      <c r="BV83" s="115"/>
      <c r="BW83" s="115"/>
      <c r="BX83" s="115"/>
      <c r="BY83" s="115"/>
      <c r="BZ83" s="115"/>
      <c r="CA83" s="115"/>
      <c r="CB83" s="115"/>
      <c r="CC83" s="115"/>
      <c r="CD83" s="115"/>
      <c r="CE83" s="115"/>
      <c r="CF83" s="115"/>
      <c r="CG83" s="115"/>
      <c r="CH83" s="115"/>
      <c r="CI83" s="115"/>
      <c r="CJ83" s="115"/>
      <c r="CK83" s="115"/>
      <c r="CL83" s="115"/>
      <c r="CM83" s="115"/>
      <c r="CN83" s="115"/>
      <c r="CO83" s="115"/>
      <c r="CP83" s="115"/>
      <c r="CQ83" s="115"/>
      <c r="CR83" s="115"/>
      <c r="CS83" s="115"/>
      <c r="CT83" s="115"/>
      <c r="CU83" s="115"/>
      <c r="CV83" s="115"/>
      <c r="CW83" s="115"/>
      <c r="CX83" s="115"/>
      <c r="CY83" s="115"/>
      <c r="CZ83" s="115"/>
      <c r="DA83" s="115"/>
      <c r="DB83" s="115"/>
      <c r="DC83" s="115"/>
      <c r="DD83" s="115"/>
      <c r="DE83" s="115"/>
      <c r="DF83" s="115"/>
      <c r="DG83" s="115"/>
      <c r="DH83" s="115"/>
      <c r="DI83" s="115"/>
      <c r="DJ83" s="115"/>
      <c r="DK83" s="115"/>
      <c r="DL83" s="115"/>
      <c r="DM83" s="115"/>
      <c r="DN83" s="115"/>
      <c r="DO83" s="115"/>
      <c r="DP83" s="115"/>
      <c r="DQ83" s="115"/>
      <c r="DR83" s="115"/>
      <c r="DS83" s="115"/>
      <c r="DT83" s="115"/>
      <c r="DU83" s="115"/>
      <c r="DV83" s="115"/>
      <c r="DW83" s="115"/>
      <c r="DX83" s="115"/>
      <c r="DY83" s="115"/>
      <c r="DZ83" s="115"/>
      <c r="EA83" s="115"/>
      <c r="EB83" s="115"/>
      <c r="EC83" s="115"/>
      <c r="ED83" s="115"/>
      <c r="EE83" s="115"/>
      <c r="EF83" s="115"/>
      <c r="EG83" s="115"/>
      <c r="EH83" s="115"/>
      <c r="EI83" s="115"/>
      <c r="EJ83" s="115"/>
      <c r="EK83" s="115"/>
      <c r="EL83" s="115"/>
      <c r="EM83" s="115"/>
      <c r="EN83" s="115"/>
      <c r="EO83" s="115"/>
      <c r="EP83" s="115"/>
      <c r="EQ83" s="115"/>
      <c r="ER83" s="115"/>
      <c r="ES83" s="115"/>
      <c r="ET83" s="115"/>
      <c r="EU83" s="115"/>
      <c r="EV83" s="115"/>
      <c r="EW83" s="115"/>
      <c r="EX83" s="115"/>
      <c r="EY83" s="115"/>
      <c r="EZ83" s="115"/>
      <c r="FA83" s="115"/>
      <c r="FB83" s="115"/>
      <c r="FC83" s="115"/>
      <c r="FD83" s="115"/>
      <c r="FE83" s="115"/>
      <c r="FF83" s="115"/>
      <c r="FG83" s="115"/>
      <c r="FH83" s="115"/>
      <c r="FI83" s="115"/>
      <c r="FJ83" s="115"/>
      <c r="FK83" s="115"/>
      <c r="FL83" s="115"/>
      <c r="FM83" s="115"/>
      <c r="FN83" s="115"/>
      <c r="FO83" s="115"/>
      <c r="FP83" s="115"/>
      <c r="FQ83" s="115"/>
      <c r="FR83" s="115"/>
      <c r="FS83" s="115"/>
      <c r="FT83" s="115"/>
      <c r="FU83" s="115"/>
      <c r="FV83" s="115"/>
      <c r="FW83" s="115"/>
      <c r="FX83" s="115"/>
      <c r="FY83" s="115"/>
      <c r="FZ83" s="115"/>
      <c r="GA83" s="115"/>
      <c r="GB83" s="115"/>
      <c r="GC83" s="115"/>
      <c r="GD83" s="115"/>
      <c r="GE83" s="115"/>
      <c r="GF83" s="115"/>
      <c r="GG83" s="115"/>
      <c r="GH83" s="115"/>
      <c r="GI83" s="115"/>
      <c r="GJ83" s="115"/>
      <c r="GK83" s="115"/>
      <c r="GL83" s="115"/>
      <c r="GM83" s="115"/>
      <c r="GN83" s="115"/>
      <c r="GO83" s="115"/>
      <c r="GP83" s="115"/>
      <c r="GQ83" s="115"/>
      <c r="GR83" s="115"/>
      <c r="GS83" s="115"/>
      <c r="GT83" s="115"/>
      <c r="GU83" s="115"/>
      <c r="GV83" s="115"/>
      <c r="GW83" s="115"/>
      <c r="GX83" s="115"/>
      <c r="GY83" s="115"/>
      <c r="GZ83" s="115"/>
      <c r="HA83" s="115"/>
      <c r="HB83" s="115"/>
      <c r="HC83" s="115"/>
      <c r="HD83" s="115"/>
      <c r="HE83" s="115"/>
      <c r="HF83" s="115"/>
      <c r="HG83" s="115"/>
      <c r="HH83" s="115"/>
      <c r="HI83" s="115"/>
      <c r="HJ83" s="115"/>
      <c r="HK83" s="115"/>
      <c r="HL83" s="115"/>
      <c r="HM83" s="115"/>
      <c r="HN83" s="115"/>
      <c r="HO83" s="115"/>
      <c r="HP83" s="115"/>
      <c r="HQ83" s="115"/>
      <c r="HR83" s="115"/>
      <c r="HS83" s="115"/>
      <c r="HT83" s="115"/>
      <c r="HU83" s="115"/>
      <c r="HV83" s="115"/>
      <c r="HW83" s="115"/>
      <c r="HX83" s="115"/>
      <c r="HY83" s="115"/>
      <c r="HZ83" s="115"/>
      <c r="IA83" s="115"/>
      <c r="IB83" s="115"/>
      <c r="IC83" s="115"/>
      <c r="ID83" s="115"/>
      <c r="IE83" s="115"/>
      <c r="IF83" s="115"/>
      <c r="IG83" s="115"/>
      <c r="IH83" s="115"/>
      <c r="II83" s="115"/>
      <c r="IJ83" s="115"/>
      <c r="IK83" s="115"/>
      <c r="IL83" s="115"/>
      <c r="IM83" s="115"/>
      <c r="IN83" s="115"/>
      <c r="IO83" s="115"/>
      <c r="IP83" s="115"/>
      <c r="IQ83" s="115"/>
      <c r="IR83" s="115"/>
      <c r="IS83" s="115"/>
      <c r="IT83" s="115"/>
      <c r="IU83" s="115"/>
      <c r="IV83" s="115"/>
    </row>
    <row r="84" spans="1:256" s="152" customFormat="1" x14ac:dyDescent="0.25">
      <c r="A84" s="132"/>
      <c r="B84" s="131"/>
      <c r="C84" s="131"/>
      <c r="D84" s="132"/>
      <c r="E84" s="132"/>
      <c r="F84" s="101"/>
      <c r="G84" s="131"/>
      <c r="H84" s="131"/>
      <c r="I84" s="131"/>
      <c r="J84" s="131"/>
      <c r="K84" s="112"/>
      <c r="L84" s="131"/>
      <c r="M84" s="122"/>
      <c r="N84" s="122"/>
      <c r="O84" s="131"/>
      <c r="P84" s="131"/>
      <c r="Q84" s="132"/>
      <c r="R84" s="122"/>
      <c r="S84" s="122"/>
      <c r="T84" s="122"/>
      <c r="U84" s="122"/>
      <c r="V84" s="122"/>
      <c r="W84" s="122"/>
      <c r="X84" s="122"/>
      <c r="Y84" s="122"/>
      <c r="Z84" s="122"/>
      <c r="AA84" s="122"/>
      <c r="AB84" s="122"/>
      <c r="AC84" s="122"/>
      <c r="AD84" s="122"/>
      <c r="AE84" s="122"/>
      <c r="AF84" s="122"/>
      <c r="AG84" s="122"/>
      <c r="AH84" s="122"/>
      <c r="AI84" s="122"/>
      <c r="AJ84" s="122"/>
      <c r="AK84" s="122"/>
      <c r="AL84" s="122"/>
      <c r="AM84" s="122"/>
      <c r="AN84" s="122"/>
      <c r="AO84" s="122"/>
      <c r="AP84" s="122"/>
      <c r="AQ84" s="122"/>
      <c r="AR84" s="122"/>
      <c r="AS84" s="122"/>
      <c r="AT84" s="122"/>
      <c r="AU84" s="122"/>
      <c r="AV84" s="122"/>
      <c r="AW84" s="122"/>
      <c r="AX84" s="122"/>
      <c r="AY84" s="122"/>
      <c r="AZ84" s="122"/>
      <c r="BA84" s="122"/>
      <c r="BB84" s="122"/>
      <c r="BC84" s="122"/>
      <c r="BD84" s="122"/>
      <c r="BE84" s="122"/>
      <c r="BF84" s="122"/>
      <c r="BG84" s="122"/>
      <c r="BH84" s="122"/>
      <c r="BI84" s="122"/>
      <c r="BJ84" s="122"/>
      <c r="BK84" s="122"/>
      <c r="BL84" s="122"/>
      <c r="BM84" s="122"/>
      <c r="BN84" s="122"/>
      <c r="BO84" s="122"/>
      <c r="BP84" s="122"/>
      <c r="BQ84" s="122"/>
      <c r="BR84" s="122"/>
      <c r="BS84" s="122"/>
      <c r="BT84" s="122"/>
      <c r="BU84" s="122"/>
      <c r="BV84" s="122"/>
      <c r="BW84" s="122"/>
      <c r="BX84" s="122"/>
      <c r="BY84" s="122"/>
      <c r="BZ84" s="122"/>
      <c r="CA84" s="122"/>
      <c r="CB84" s="122"/>
      <c r="CC84" s="122"/>
      <c r="CD84" s="122"/>
      <c r="CE84" s="122"/>
      <c r="CF84" s="122"/>
      <c r="CG84" s="122"/>
      <c r="CH84" s="122"/>
      <c r="CI84" s="122"/>
      <c r="CJ84" s="122"/>
      <c r="CK84" s="122"/>
      <c r="CL84" s="122"/>
      <c r="CM84" s="122"/>
      <c r="CN84" s="122"/>
      <c r="CO84" s="122"/>
      <c r="CP84" s="122"/>
      <c r="CQ84" s="122"/>
      <c r="CR84" s="122"/>
      <c r="CS84" s="122"/>
      <c r="CT84" s="122"/>
      <c r="CU84" s="122"/>
      <c r="CV84" s="122"/>
      <c r="CW84" s="122"/>
      <c r="CX84" s="122"/>
      <c r="CY84" s="122"/>
      <c r="CZ84" s="122"/>
      <c r="DA84" s="122"/>
      <c r="DB84" s="122"/>
      <c r="DC84" s="122"/>
      <c r="DD84" s="122"/>
      <c r="DE84" s="122"/>
      <c r="DF84" s="122"/>
      <c r="DG84" s="122"/>
      <c r="DH84" s="122"/>
      <c r="DI84" s="122"/>
      <c r="DJ84" s="122"/>
      <c r="DK84" s="122"/>
      <c r="DL84" s="122"/>
      <c r="DM84" s="122"/>
      <c r="DN84" s="122"/>
      <c r="DO84" s="122"/>
      <c r="DP84" s="122"/>
      <c r="DQ84" s="122"/>
      <c r="DR84" s="122"/>
      <c r="DS84" s="122"/>
      <c r="DT84" s="122"/>
      <c r="DU84" s="122"/>
      <c r="DV84" s="122"/>
      <c r="DW84" s="122"/>
      <c r="DX84" s="122"/>
      <c r="DY84" s="122"/>
      <c r="DZ84" s="122"/>
      <c r="EA84" s="122"/>
      <c r="EB84" s="122"/>
      <c r="EC84" s="122"/>
      <c r="ED84" s="122"/>
      <c r="EE84" s="122"/>
      <c r="EF84" s="122"/>
      <c r="EG84" s="122"/>
      <c r="EH84" s="122"/>
      <c r="EI84" s="122"/>
      <c r="EJ84" s="122"/>
      <c r="EK84" s="122"/>
      <c r="EL84" s="122"/>
      <c r="EM84" s="122"/>
      <c r="EN84" s="122"/>
      <c r="EO84" s="122"/>
      <c r="EP84" s="122"/>
      <c r="EQ84" s="122"/>
      <c r="ER84" s="122"/>
      <c r="ES84" s="122"/>
      <c r="ET84" s="122"/>
      <c r="EU84" s="122"/>
      <c r="EV84" s="122"/>
      <c r="EW84" s="122"/>
      <c r="EX84" s="122"/>
      <c r="EY84" s="122"/>
      <c r="EZ84" s="122"/>
      <c r="FA84" s="122"/>
      <c r="FB84" s="122"/>
      <c r="FC84" s="122"/>
      <c r="FD84" s="122"/>
      <c r="FE84" s="122"/>
      <c r="FF84" s="122"/>
      <c r="FG84" s="122"/>
      <c r="FH84" s="122"/>
      <c r="FI84" s="122"/>
      <c r="FJ84" s="122"/>
      <c r="FK84" s="122"/>
      <c r="FL84" s="122"/>
      <c r="FM84" s="122"/>
      <c r="FN84" s="122"/>
      <c r="FO84" s="122"/>
      <c r="FP84" s="122"/>
      <c r="FQ84" s="122"/>
      <c r="FR84" s="122"/>
      <c r="FS84" s="122"/>
      <c r="FT84" s="122"/>
      <c r="FU84" s="122"/>
      <c r="FV84" s="122"/>
      <c r="FW84" s="122"/>
      <c r="FX84" s="122"/>
      <c r="FY84" s="122"/>
      <c r="FZ84" s="122"/>
      <c r="GA84" s="122"/>
      <c r="GB84" s="122"/>
      <c r="GC84" s="122"/>
      <c r="GD84" s="122"/>
      <c r="GE84" s="122"/>
      <c r="GF84" s="122"/>
      <c r="GG84" s="122"/>
      <c r="GH84" s="122"/>
      <c r="GI84" s="122"/>
      <c r="GJ84" s="122"/>
      <c r="GK84" s="122"/>
      <c r="GL84" s="122"/>
      <c r="GM84" s="122"/>
      <c r="GN84" s="122"/>
      <c r="GO84" s="122"/>
      <c r="GP84" s="122"/>
      <c r="GQ84" s="122"/>
      <c r="GR84" s="122"/>
      <c r="GS84" s="122"/>
      <c r="GT84" s="122"/>
      <c r="GU84" s="122"/>
      <c r="GV84" s="122"/>
      <c r="GW84" s="122"/>
      <c r="GX84" s="122"/>
      <c r="GY84" s="122"/>
      <c r="GZ84" s="122"/>
      <c r="HA84" s="122"/>
      <c r="HB84" s="122"/>
      <c r="HC84" s="122"/>
      <c r="HD84" s="122"/>
      <c r="HE84" s="122"/>
      <c r="HF84" s="122"/>
      <c r="HG84" s="122"/>
      <c r="HH84" s="122"/>
      <c r="HI84" s="122"/>
      <c r="HJ84" s="122"/>
      <c r="HK84" s="122"/>
      <c r="HL84" s="122"/>
      <c r="HM84" s="122"/>
      <c r="HN84" s="122"/>
      <c r="HO84" s="122"/>
      <c r="HP84" s="122"/>
      <c r="HQ84" s="122"/>
      <c r="HR84" s="122"/>
      <c r="HS84" s="122"/>
      <c r="HT84" s="122"/>
      <c r="HU84" s="122"/>
      <c r="HV84" s="122"/>
      <c r="HW84" s="122"/>
      <c r="HX84" s="122"/>
      <c r="HY84" s="122"/>
      <c r="HZ84" s="122"/>
      <c r="IA84" s="122"/>
      <c r="IB84" s="122"/>
      <c r="IC84" s="122"/>
      <c r="ID84" s="122"/>
      <c r="IE84" s="122"/>
      <c r="IF84" s="122"/>
      <c r="IG84" s="122"/>
      <c r="IH84" s="122"/>
      <c r="II84" s="122"/>
      <c r="IJ84" s="122"/>
      <c r="IK84" s="122"/>
      <c r="IL84" s="122"/>
      <c r="IM84" s="122"/>
      <c r="IN84" s="122"/>
      <c r="IO84" s="122"/>
      <c r="IP84" s="122"/>
      <c r="IQ84" s="122"/>
      <c r="IR84" s="122"/>
      <c r="IS84" s="122"/>
      <c r="IT84" s="122"/>
      <c r="IU84" s="122"/>
      <c r="IV84" s="122"/>
    </row>
    <row r="85" spans="1:256" s="152" customFormat="1" x14ac:dyDescent="0.25">
      <c r="A85" s="132"/>
      <c r="B85" s="131"/>
      <c r="C85" s="131"/>
      <c r="D85" s="132"/>
      <c r="E85" s="132"/>
      <c r="F85" s="101"/>
      <c r="G85" s="131"/>
      <c r="H85" s="131"/>
      <c r="I85" s="131"/>
      <c r="J85" s="131"/>
      <c r="K85" s="112"/>
      <c r="L85" s="131"/>
      <c r="M85" s="122"/>
      <c r="N85" s="131"/>
      <c r="O85" s="122"/>
      <c r="P85" s="131"/>
      <c r="Q85" s="132"/>
      <c r="R85" s="122"/>
      <c r="S85" s="122"/>
      <c r="T85" s="122"/>
      <c r="U85" s="120"/>
      <c r="V85" s="120"/>
      <c r="W85" s="120"/>
      <c r="X85" s="120"/>
      <c r="Y85" s="120"/>
      <c r="Z85" s="120"/>
      <c r="AA85" s="120"/>
      <c r="AB85" s="120"/>
      <c r="AC85" s="120"/>
      <c r="AD85" s="120"/>
      <c r="AE85" s="120"/>
      <c r="AF85" s="120"/>
      <c r="AG85" s="120"/>
      <c r="AH85" s="120"/>
      <c r="AI85" s="120"/>
      <c r="AJ85" s="120"/>
      <c r="AK85" s="120"/>
      <c r="AL85" s="120"/>
      <c r="AM85" s="120"/>
      <c r="AN85" s="120"/>
      <c r="AO85" s="120"/>
      <c r="AP85" s="120"/>
      <c r="AQ85" s="120"/>
      <c r="AR85" s="120"/>
      <c r="AS85" s="120"/>
      <c r="AT85" s="120"/>
      <c r="AU85" s="120"/>
      <c r="AV85" s="120"/>
      <c r="AW85" s="120"/>
      <c r="AX85" s="120"/>
      <c r="AY85" s="120"/>
      <c r="AZ85" s="120"/>
      <c r="BA85" s="120"/>
      <c r="BB85" s="120"/>
      <c r="BC85" s="120"/>
      <c r="BD85" s="120"/>
      <c r="BE85" s="120"/>
      <c r="BF85" s="120"/>
      <c r="BG85" s="120"/>
      <c r="BH85" s="120"/>
      <c r="BI85" s="120"/>
      <c r="BJ85" s="120"/>
      <c r="BK85" s="120"/>
      <c r="BL85" s="120"/>
      <c r="BM85" s="120"/>
      <c r="BN85" s="120"/>
      <c r="BO85" s="120"/>
      <c r="BP85" s="120"/>
      <c r="BQ85" s="120"/>
      <c r="BR85" s="120"/>
      <c r="BS85" s="120"/>
      <c r="BT85" s="120"/>
      <c r="BU85" s="120"/>
      <c r="BV85" s="120"/>
      <c r="BW85" s="120"/>
      <c r="BX85" s="120"/>
      <c r="BY85" s="120"/>
      <c r="BZ85" s="120"/>
      <c r="CA85" s="120"/>
      <c r="CB85" s="120"/>
      <c r="CC85" s="120"/>
      <c r="CD85" s="120"/>
      <c r="CE85" s="120"/>
      <c r="CF85" s="120"/>
      <c r="CG85" s="120"/>
      <c r="CH85" s="120"/>
      <c r="CI85" s="120"/>
      <c r="CJ85" s="120"/>
      <c r="CK85" s="120"/>
      <c r="CL85" s="120"/>
      <c r="CM85" s="120"/>
      <c r="CN85" s="120"/>
      <c r="CO85" s="120"/>
      <c r="CP85" s="120"/>
      <c r="CQ85" s="120"/>
      <c r="CR85" s="120"/>
      <c r="CS85" s="120"/>
      <c r="CT85" s="120"/>
      <c r="CU85" s="120"/>
      <c r="CV85" s="120"/>
      <c r="CW85" s="120"/>
      <c r="CX85" s="120"/>
      <c r="CY85" s="120"/>
      <c r="CZ85" s="120"/>
      <c r="DA85" s="120"/>
      <c r="DB85" s="120"/>
      <c r="DC85" s="120"/>
      <c r="DD85" s="120"/>
      <c r="DE85" s="120"/>
      <c r="DF85" s="120"/>
      <c r="DG85" s="120"/>
      <c r="DH85" s="120"/>
      <c r="DI85" s="120"/>
      <c r="DJ85" s="120"/>
      <c r="DK85" s="120"/>
      <c r="DL85" s="120"/>
      <c r="DM85" s="120"/>
      <c r="DN85" s="120"/>
      <c r="DO85" s="120"/>
      <c r="DP85" s="120"/>
      <c r="DQ85" s="120"/>
      <c r="DR85" s="120"/>
      <c r="DS85" s="120"/>
      <c r="DT85" s="120"/>
      <c r="DU85" s="120"/>
      <c r="DV85" s="120"/>
      <c r="DW85" s="120"/>
      <c r="DX85" s="120"/>
      <c r="DY85" s="120"/>
      <c r="DZ85" s="120"/>
      <c r="EA85" s="120"/>
      <c r="EB85" s="120"/>
      <c r="EC85" s="120"/>
      <c r="ED85" s="120"/>
      <c r="EE85" s="120"/>
      <c r="EF85" s="120"/>
      <c r="EG85" s="120"/>
      <c r="EH85" s="120"/>
      <c r="EI85" s="120"/>
      <c r="EJ85" s="120"/>
      <c r="EK85" s="120"/>
      <c r="EL85" s="120"/>
      <c r="EM85" s="120"/>
      <c r="EN85" s="120"/>
      <c r="EO85" s="120"/>
      <c r="EP85" s="120"/>
      <c r="EQ85" s="120"/>
      <c r="ER85" s="120"/>
      <c r="ES85" s="120"/>
      <c r="ET85" s="120"/>
      <c r="EU85" s="120"/>
      <c r="EV85" s="120"/>
      <c r="EW85" s="120"/>
      <c r="EX85" s="120"/>
      <c r="EY85" s="120"/>
      <c r="EZ85" s="120"/>
      <c r="FA85" s="120"/>
      <c r="FB85" s="120"/>
      <c r="FC85" s="120"/>
      <c r="FD85" s="120"/>
      <c r="FE85" s="120"/>
      <c r="FF85" s="120"/>
      <c r="FG85" s="120"/>
      <c r="FH85" s="120"/>
      <c r="FI85" s="120"/>
      <c r="FJ85" s="120"/>
      <c r="FK85" s="120"/>
      <c r="FL85" s="120"/>
      <c r="FM85" s="120"/>
      <c r="FN85" s="120"/>
      <c r="FO85" s="120"/>
      <c r="FP85" s="120"/>
      <c r="FQ85" s="120"/>
      <c r="FR85" s="120"/>
      <c r="FS85" s="120"/>
      <c r="FT85" s="120"/>
      <c r="FU85" s="120"/>
      <c r="FV85" s="120"/>
      <c r="FW85" s="120"/>
      <c r="FX85" s="120"/>
      <c r="FY85" s="120"/>
      <c r="FZ85" s="120"/>
      <c r="GA85" s="120"/>
      <c r="GB85" s="120"/>
      <c r="GC85" s="120"/>
      <c r="GD85" s="120"/>
      <c r="GE85" s="120"/>
      <c r="GF85" s="120"/>
      <c r="GG85" s="120"/>
      <c r="GH85" s="120"/>
      <c r="GI85" s="120"/>
      <c r="GJ85" s="120"/>
      <c r="GK85" s="120"/>
      <c r="GL85" s="120"/>
      <c r="GM85" s="120"/>
      <c r="GN85" s="120"/>
      <c r="GO85" s="120"/>
      <c r="GP85" s="120"/>
      <c r="GQ85" s="120"/>
      <c r="GR85" s="120"/>
      <c r="GS85" s="120"/>
      <c r="GT85" s="120"/>
      <c r="GU85" s="120"/>
      <c r="GV85" s="120"/>
      <c r="GW85" s="120"/>
      <c r="GX85" s="120"/>
      <c r="GY85" s="120"/>
      <c r="GZ85" s="120"/>
      <c r="HA85" s="120"/>
      <c r="HB85" s="120"/>
      <c r="HC85" s="120"/>
      <c r="HD85" s="120"/>
      <c r="HE85" s="120"/>
      <c r="HF85" s="120"/>
      <c r="HG85" s="120"/>
      <c r="HH85" s="120"/>
      <c r="HI85" s="120"/>
      <c r="HJ85" s="120"/>
      <c r="HK85" s="120"/>
      <c r="HL85" s="120"/>
      <c r="HM85" s="120"/>
      <c r="HN85" s="120"/>
      <c r="HO85" s="120"/>
      <c r="HP85" s="120"/>
      <c r="HQ85" s="120"/>
      <c r="HR85" s="120"/>
      <c r="HS85" s="120"/>
      <c r="HT85" s="120"/>
      <c r="HU85" s="120"/>
      <c r="HV85" s="120"/>
      <c r="HW85" s="120"/>
      <c r="HX85" s="120"/>
      <c r="HY85" s="120"/>
      <c r="HZ85" s="120"/>
      <c r="IA85" s="120"/>
      <c r="IB85" s="120"/>
      <c r="IC85" s="120"/>
      <c r="ID85" s="120"/>
      <c r="IE85" s="120"/>
      <c r="IF85" s="120"/>
      <c r="IG85" s="120"/>
      <c r="IH85" s="120"/>
      <c r="II85" s="120"/>
      <c r="IJ85" s="120"/>
      <c r="IK85" s="120"/>
      <c r="IL85" s="120"/>
      <c r="IM85" s="120"/>
      <c r="IN85" s="120"/>
      <c r="IO85" s="120"/>
      <c r="IP85" s="120"/>
      <c r="IQ85" s="120"/>
      <c r="IR85" s="120"/>
      <c r="IS85" s="120"/>
      <c r="IT85" s="120"/>
      <c r="IU85" s="120"/>
      <c r="IV85" s="120"/>
    </row>
    <row r="86" spans="1:256" s="152" customFormat="1" x14ac:dyDescent="0.25">
      <c r="A86" s="132"/>
      <c r="B86" s="131"/>
      <c r="C86" s="131"/>
      <c r="D86" s="132"/>
      <c r="E86" s="132"/>
      <c r="F86" s="101"/>
      <c r="G86" s="131"/>
      <c r="H86" s="131"/>
      <c r="I86" s="131"/>
      <c r="J86" s="131"/>
      <c r="K86" s="112"/>
      <c r="L86" s="131"/>
      <c r="M86" s="131"/>
      <c r="N86" s="131"/>
      <c r="O86" s="131"/>
      <c r="P86" s="131"/>
      <c r="Q86" s="132"/>
      <c r="R86" s="122"/>
      <c r="S86" s="122"/>
      <c r="T86" s="122"/>
      <c r="U86" s="120"/>
      <c r="V86" s="120"/>
      <c r="W86" s="120"/>
      <c r="X86" s="120"/>
      <c r="Y86" s="120"/>
      <c r="Z86" s="120"/>
      <c r="AA86" s="120"/>
      <c r="AB86" s="120"/>
      <c r="AC86" s="120"/>
      <c r="AD86" s="120"/>
      <c r="AE86" s="120"/>
      <c r="AF86" s="120"/>
      <c r="AG86" s="120"/>
      <c r="AH86" s="120"/>
      <c r="AI86" s="120"/>
      <c r="AJ86" s="120"/>
      <c r="AK86" s="120"/>
      <c r="AL86" s="120"/>
      <c r="AM86" s="120"/>
      <c r="AN86" s="120"/>
      <c r="AO86" s="120"/>
      <c r="AP86" s="120"/>
      <c r="AQ86" s="120"/>
      <c r="AR86" s="120"/>
      <c r="AS86" s="120"/>
      <c r="AT86" s="120"/>
      <c r="AU86" s="120"/>
      <c r="AV86" s="120"/>
      <c r="AW86" s="120"/>
      <c r="AX86" s="120"/>
      <c r="AY86" s="120"/>
      <c r="AZ86" s="120"/>
      <c r="BA86" s="120"/>
      <c r="BB86" s="120"/>
      <c r="BC86" s="120"/>
      <c r="BD86" s="120"/>
      <c r="BE86" s="120"/>
      <c r="BF86" s="120"/>
      <c r="BG86" s="120"/>
      <c r="BH86" s="120"/>
      <c r="BI86" s="120"/>
      <c r="BJ86" s="120"/>
      <c r="BK86" s="120"/>
      <c r="BL86" s="120"/>
      <c r="BM86" s="120"/>
      <c r="BN86" s="120"/>
      <c r="BO86" s="120"/>
      <c r="BP86" s="120"/>
      <c r="BQ86" s="120"/>
      <c r="BR86" s="120"/>
      <c r="BS86" s="120"/>
      <c r="BT86" s="120"/>
      <c r="BU86" s="120"/>
      <c r="BV86" s="120"/>
      <c r="BW86" s="120"/>
      <c r="BX86" s="120"/>
      <c r="BY86" s="120"/>
      <c r="BZ86" s="120"/>
      <c r="CA86" s="120"/>
      <c r="CB86" s="120"/>
      <c r="CC86" s="120"/>
      <c r="CD86" s="120"/>
      <c r="CE86" s="120"/>
      <c r="CF86" s="120"/>
      <c r="CG86" s="120"/>
      <c r="CH86" s="120"/>
      <c r="CI86" s="120"/>
      <c r="CJ86" s="120"/>
      <c r="CK86" s="120"/>
      <c r="CL86" s="120"/>
      <c r="CM86" s="120"/>
      <c r="CN86" s="120"/>
      <c r="CO86" s="120"/>
      <c r="CP86" s="120"/>
      <c r="CQ86" s="120"/>
      <c r="CR86" s="120"/>
      <c r="CS86" s="120"/>
      <c r="CT86" s="120"/>
      <c r="CU86" s="120"/>
      <c r="CV86" s="120"/>
      <c r="CW86" s="120"/>
      <c r="CX86" s="120"/>
      <c r="CY86" s="120"/>
      <c r="CZ86" s="120"/>
      <c r="DA86" s="120"/>
      <c r="DB86" s="120"/>
      <c r="DC86" s="120"/>
      <c r="DD86" s="120"/>
      <c r="DE86" s="120"/>
      <c r="DF86" s="120"/>
      <c r="DG86" s="120"/>
      <c r="DH86" s="120"/>
      <c r="DI86" s="120"/>
      <c r="DJ86" s="120"/>
      <c r="DK86" s="120"/>
      <c r="DL86" s="120"/>
      <c r="DM86" s="120"/>
      <c r="DN86" s="120"/>
      <c r="DO86" s="120"/>
      <c r="DP86" s="120"/>
      <c r="DQ86" s="120"/>
      <c r="DR86" s="120"/>
      <c r="DS86" s="120"/>
      <c r="DT86" s="120"/>
      <c r="DU86" s="120"/>
      <c r="DV86" s="120"/>
      <c r="DW86" s="120"/>
      <c r="DX86" s="120"/>
      <c r="DY86" s="120"/>
      <c r="DZ86" s="120"/>
      <c r="EA86" s="120"/>
      <c r="EB86" s="120"/>
      <c r="EC86" s="120"/>
      <c r="ED86" s="120"/>
      <c r="EE86" s="120"/>
      <c r="EF86" s="120"/>
      <c r="EG86" s="120"/>
      <c r="EH86" s="120"/>
      <c r="EI86" s="120"/>
      <c r="EJ86" s="120"/>
      <c r="EK86" s="120"/>
      <c r="EL86" s="120"/>
      <c r="EM86" s="120"/>
      <c r="EN86" s="120"/>
      <c r="EO86" s="120"/>
      <c r="EP86" s="120"/>
      <c r="EQ86" s="120"/>
      <c r="ER86" s="120"/>
      <c r="ES86" s="120"/>
      <c r="ET86" s="120"/>
      <c r="EU86" s="120"/>
      <c r="EV86" s="120"/>
      <c r="EW86" s="120"/>
      <c r="EX86" s="120"/>
      <c r="EY86" s="120"/>
      <c r="EZ86" s="120"/>
      <c r="FA86" s="120"/>
      <c r="FB86" s="120"/>
      <c r="FC86" s="120"/>
      <c r="FD86" s="120"/>
      <c r="FE86" s="120"/>
      <c r="FF86" s="120"/>
      <c r="FG86" s="120"/>
      <c r="FH86" s="120"/>
      <c r="FI86" s="120"/>
      <c r="FJ86" s="120"/>
      <c r="FK86" s="120"/>
      <c r="FL86" s="120"/>
      <c r="FM86" s="120"/>
      <c r="FN86" s="120"/>
      <c r="FO86" s="120"/>
      <c r="FP86" s="120"/>
      <c r="FQ86" s="120"/>
      <c r="FR86" s="120"/>
      <c r="FS86" s="120"/>
      <c r="FT86" s="120"/>
      <c r="FU86" s="120"/>
      <c r="FV86" s="120"/>
      <c r="FW86" s="120"/>
      <c r="FX86" s="120"/>
      <c r="FY86" s="120"/>
      <c r="FZ86" s="120"/>
      <c r="GA86" s="120"/>
      <c r="GB86" s="120"/>
      <c r="GC86" s="120"/>
      <c r="GD86" s="120"/>
      <c r="GE86" s="120"/>
      <c r="GF86" s="120"/>
      <c r="GG86" s="120"/>
      <c r="GH86" s="120"/>
      <c r="GI86" s="120"/>
      <c r="GJ86" s="120"/>
      <c r="GK86" s="120"/>
      <c r="GL86" s="120"/>
      <c r="GM86" s="120"/>
      <c r="GN86" s="120"/>
      <c r="GO86" s="120"/>
      <c r="GP86" s="120"/>
      <c r="GQ86" s="120"/>
      <c r="GR86" s="120"/>
      <c r="GS86" s="120"/>
      <c r="GT86" s="120"/>
      <c r="GU86" s="120"/>
      <c r="GV86" s="120"/>
      <c r="GW86" s="120"/>
      <c r="GX86" s="120"/>
      <c r="GY86" s="120"/>
      <c r="GZ86" s="120"/>
      <c r="HA86" s="120"/>
      <c r="HB86" s="120"/>
      <c r="HC86" s="120"/>
      <c r="HD86" s="120"/>
      <c r="HE86" s="120"/>
      <c r="HF86" s="120"/>
      <c r="HG86" s="120"/>
      <c r="HH86" s="120"/>
      <c r="HI86" s="120"/>
      <c r="HJ86" s="120"/>
      <c r="HK86" s="120"/>
      <c r="HL86" s="120"/>
      <c r="HM86" s="120"/>
      <c r="HN86" s="120"/>
      <c r="HO86" s="120"/>
      <c r="HP86" s="120"/>
      <c r="HQ86" s="120"/>
      <c r="HR86" s="120"/>
      <c r="HS86" s="120"/>
      <c r="HT86" s="120"/>
      <c r="HU86" s="120"/>
      <c r="HV86" s="120"/>
      <c r="HW86" s="120"/>
      <c r="HX86" s="120"/>
      <c r="HY86" s="120"/>
      <c r="HZ86" s="120"/>
      <c r="IA86" s="120"/>
      <c r="IB86" s="120"/>
      <c r="IC86" s="120"/>
      <c r="ID86" s="120"/>
      <c r="IE86" s="120"/>
      <c r="IF86" s="120"/>
      <c r="IG86" s="120"/>
      <c r="IH86" s="120"/>
      <c r="II86" s="120"/>
      <c r="IJ86" s="120"/>
      <c r="IK86" s="120"/>
      <c r="IL86" s="120"/>
      <c r="IM86" s="120"/>
      <c r="IN86" s="120"/>
      <c r="IO86" s="120"/>
      <c r="IP86" s="120"/>
      <c r="IQ86" s="120"/>
      <c r="IR86" s="120"/>
      <c r="IS86" s="120"/>
      <c r="IT86" s="120"/>
      <c r="IU86" s="120"/>
      <c r="IV86" s="120"/>
    </row>
    <row r="87" spans="1:256" s="152" customFormat="1" x14ac:dyDescent="0.25">
      <c r="A87" s="145"/>
      <c r="B87" s="129"/>
      <c r="C87" s="131"/>
      <c r="D87" s="132"/>
      <c r="E87" s="96"/>
      <c r="F87" s="101"/>
      <c r="G87" s="131"/>
      <c r="H87" s="131"/>
      <c r="I87" s="131"/>
      <c r="J87" s="114"/>
      <c r="K87" s="112"/>
      <c r="L87" s="131"/>
      <c r="M87" s="114"/>
      <c r="N87" s="114"/>
      <c r="O87" s="114"/>
      <c r="P87" s="114"/>
      <c r="Q87" s="132"/>
      <c r="R87" s="114"/>
      <c r="S87" s="129"/>
      <c r="T87" s="129"/>
      <c r="U87" s="120"/>
      <c r="V87" s="120"/>
      <c r="W87" s="120"/>
      <c r="X87" s="120"/>
      <c r="Y87" s="120"/>
      <c r="Z87" s="120"/>
      <c r="AA87" s="120"/>
      <c r="AB87" s="120"/>
      <c r="AC87" s="120"/>
      <c r="AD87" s="120"/>
      <c r="AE87" s="120"/>
      <c r="AF87" s="120"/>
      <c r="AG87" s="120"/>
      <c r="AH87" s="120"/>
      <c r="AI87" s="120"/>
      <c r="AJ87" s="120"/>
      <c r="AK87" s="120"/>
      <c r="AL87" s="120"/>
      <c r="AM87" s="120"/>
      <c r="AN87" s="120"/>
      <c r="AO87" s="120"/>
      <c r="AP87" s="120"/>
      <c r="AQ87" s="120"/>
      <c r="AR87" s="120"/>
      <c r="AS87" s="120"/>
      <c r="AT87" s="120"/>
      <c r="AU87" s="120"/>
      <c r="AV87" s="120"/>
      <c r="AW87" s="120"/>
      <c r="AX87" s="120"/>
      <c r="AY87" s="120"/>
      <c r="AZ87" s="120"/>
      <c r="BA87" s="120"/>
      <c r="BB87" s="120"/>
      <c r="BC87" s="120"/>
      <c r="BD87" s="120"/>
      <c r="BE87" s="120"/>
      <c r="BF87" s="120"/>
      <c r="BG87" s="120"/>
      <c r="BH87" s="120"/>
      <c r="BI87" s="120"/>
      <c r="BJ87" s="120"/>
      <c r="BK87" s="120"/>
      <c r="BL87" s="120"/>
      <c r="BM87" s="120"/>
      <c r="BN87" s="120"/>
      <c r="BO87" s="120"/>
      <c r="BP87" s="120"/>
      <c r="BQ87" s="120"/>
      <c r="BR87" s="120"/>
      <c r="BS87" s="120"/>
      <c r="BT87" s="120"/>
      <c r="BU87" s="120"/>
      <c r="BV87" s="120"/>
      <c r="BW87" s="120"/>
      <c r="BX87" s="120"/>
      <c r="BY87" s="120"/>
      <c r="BZ87" s="120"/>
      <c r="CA87" s="120"/>
      <c r="CB87" s="120"/>
      <c r="CC87" s="120"/>
      <c r="CD87" s="120"/>
      <c r="CE87" s="120"/>
      <c r="CF87" s="120"/>
      <c r="CG87" s="120"/>
      <c r="CH87" s="120"/>
      <c r="CI87" s="120"/>
      <c r="CJ87" s="120"/>
      <c r="CK87" s="120"/>
      <c r="CL87" s="120"/>
      <c r="CM87" s="120"/>
      <c r="CN87" s="120"/>
      <c r="CO87" s="120"/>
      <c r="CP87" s="120"/>
      <c r="CQ87" s="120"/>
      <c r="CR87" s="120"/>
      <c r="CS87" s="120"/>
      <c r="CT87" s="120"/>
      <c r="CU87" s="120"/>
      <c r="CV87" s="120"/>
      <c r="CW87" s="120"/>
      <c r="CX87" s="120"/>
      <c r="CY87" s="120"/>
      <c r="CZ87" s="120"/>
      <c r="DA87" s="120"/>
      <c r="DB87" s="120"/>
      <c r="DC87" s="120"/>
      <c r="DD87" s="120"/>
      <c r="DE87" s="120"/>
      <c r="DF87" s="120"/>
      <c r="DG87" s="120"/>
      <c r="DH87" s="120"/>
      <c r="DI87" s="120"/>
      <c r="DJ87" s="120"/>
      <c r="DK87" s="120"/>
      <c r="DL87" s="120"/>
      <c r="DM87" s="120"/>
      <c r="DN87" s="120"/>
      <c r="DO87" s="120"/>
      <c r="DP87" s="120"/>
      <c r="DQ87" s="120"/>
      <c r="DR87" s="120"/>
      <c r="DS87" s="120"/>
      <c r="DT87" s="120"/>
      <c r="DU87" s="120"/>
      <c r="DV87" s="120"/>
      <c r="DW87" s="120"/>
      <c r="DX87" s="120"/>
      <c r="DY87" s="120"/>
      <c r="DZ87" s="120"/>
      <c r="EA87" s="120"/>
      <c r="EB87" s="120"/>
      <c r="EC87" s="120"/>
      <c r="ED87" s="120"/>
      <c r="EE87" s="120"/>
      <c r="EF87" s="120"/>
      <c r="EG87" s="120"/>
      <c r="EH87" s="120"/>
      <c r="EI87" s="120"/>
      <c r="EJ87" s="120"/>
      <c r="EK87" s="120"/>
      <c r="EL87" s="120"/>
      <c r="EM87" s="120"/>
      <c r="EN87" s="120"/>
      <c r="EO87" s="120"/>
      <c r="EP87" s="120"/>
      <c r="EQ87" s="120"/>
      <c r="ER87" s="120"/>
      <c r="ES87" s="120"/>
      <c r="ET87" s="120"/>
      <c r="EU87" s="120"/>
      <c r="EV87" s="120"/>
      <c r="EW87" s="120"/>
      <c r="EX87" s="120"/>
      <c r="EY87" s="120"/>
      <c r="EZ87" s="120"/>
      <c r="FA87" s="120"/>
      <c r="FB87" s="120"/>
      <c r="FC87" s="120"/>
      <c r="FD87" s="120"/>
      <c r="FE87" s="120"/>
      <c r="FF87" s="120"/>
      <c r="FG87" s="120"/>
      <c r="FH87" s="120"/>
      <c r="FI87" s="120"/>
      <c r="FJ87" s="120"/>
      <c r="FK87" s="120"/>
      <c r="FL87" s="120"/>
      <c r="FM87" s="120"/>
      <c r="FN87" s="120"/>
      <c r="FO87" s="120"/>
      <c r="FP87" s="120"/>
      <c r="FQ87" s="120"/>
      <c r="FR87" s="120"/>
      <c r="FS87" s="120"/>
      <c r="FT87" s="120"/>
      <c r="FU87" s="120"/>
      <c r="FV87" s="120"/>
      <c r="FW87" s="120"/>
      <c r="FX87" s="120"/>
      <c r="FY87" s="120"/>
      <c r="FZ87" s="120"/>
      <c r="GA87" s="120"/>
      <c r="GB87" s="120"/>
      <c r="GC87" s="120"/>
      <c r="GD87" s="120"/>
      <c r="GE87" s="120"/>
      <c r="GF87" s="120"/>
      <c r="GG87" s="120"/>
      <c r="GH87" s="120"/>
      <c r="GI87" s="120"/>
      <c r="GJ87" s="120"/>
      <c r="GK87" s="120"/>
      <c r="GL87" s="120"/>
      <c r="GM87" s="120"/>
      <c r="GN87" s="120"/>
      <c r="GO87" s="120"/>
      <c r="GP87" s="120"/>
      <c r="GQ87" s="120"/>
      <c r="GR87" s="120"/>
      <c r="GS87" s="120"/>
      <c r="GT87" s="120"/>
      <c r="GU87" s="120"/>
      <c r="GV87" s="120"/>
      <c r="GW87" s="120"/>
      <c r="GX87" s="120"/>
      <c r="GY87" s="120"/>
      <c r="GZ87" s="120"/>
      <c r="HA87" s="120"/>
      <c r="HB87" s="120"/>
      <c r="HC87" s="120"/>
      <c r="HD87" s="120"/>
      <c r="HE87" s="120"/>
      <c r="HF87" s="120"/>
      <c r="HG87" s="120"/>
      <c r="HH87" s="120"/>
      <c r="HI87" s="120"/>
      <c r="HJ87" s="120"/>
      <c r="HK87" s="120"/>
      <c r="HL87" s="120"/>
      <c r="HM87" s="120"/>
      <c r="HN87" s="120"/>
      <c r="HO87" s="120"/>
      <c r="HP87" s="120"/>
      <c r="HQ87" s="120"/>
      <c r="HR87" s="120"/>
      <c r="HS87" s="120"/>
      <c r="HT87" s="120"/>
      <c r="HU87" s="120"/>
      <c r="HV87" s="120"/>
      <c r="HW87" s="120"/>
      <c r="HX87" s="120"/>
      <c r="HY87" s="120"/>
      <c r="HZ87" s="120"/>
      <c r="IA87" s="120"/>
      <c r="IB87" s="120"/>
      <c r="IC87" s="120"/>
      <c r="ID87" s="120"/>
      <c r="IE87" s="120"/>
      <c r="IF87" s="120"/>
      <c r="IG87" s="120"/>
      <c r="IH87" s="120"/>
      <c r="II87" s="120"/>
      <c r="IJ87" s="120"/>
      <c r="IK87" s="120"/>
      <c r="IL87" s="120"/>
      <c r="IM87" s="120"/>
      <c r="IN87" s="120"/>
      <c r="IO87" s="120"/>
      <c r="IP87" s="120"/>
      <c r="IQ87" s="120"/>
      <c r="IR87" s="120"/>
      <c r="IS87" s="120"/>
      <c r="IT87" s="120"/>
      <c r="IU87" s="120"/>
      <c r="IV87" s="120"/>
    </row>
    <row r="88" spans="1:256" s="152" customFormat="1" x14ac:dyDescent="0.25">
      <c r="A88" s="146"/>
      <c r="B88" s="125"/>
      <c r="C88" s="125"/>
      <c r="D88" s="123"/>
      <c r="E88" s="117"/>
      <c r="F88" s="116"/>
      <c r="G88" s="125"/>
      <c r="H88" s="125"/>
      <c r="I88" s="116"/>
      <c r="J88" s="125"/>
      <c r="K88" s="116"/>
      <c r="L88" s="125"/>
      <c r="M88" s="114"/>
      <c r="N88" s="114"/>
      <c r="O88" s="114"/>
      <c r="P88" s="125"/>
      <c r="Q88" s="128"/>
      <c r="R88" s="127"/>
      <c r="S88" s="127"/>
      <c r="T88" s="127"/>
      <c r="U88" s="120"/>
      <c r="V88" s="120"/>
      <c r="W88" s="120"/>
      <c r="X88" s="120"/>
      <c r="Y88" s="120"/>
      <c r="Z88" s="120"/>
      <c r="AA88" s="120"/>
      <c r="AB88" s="120"/>
      <c r="AC88" s="120"/>
      <c r="AD88" s="120"/>
      <c r="AE88" s="120"/>
      <c r="AF88" s="120"/>
      <c r="AG88" s="120"/>
      <c r="AH88" s="120"/>
      <c r="AI88" s="120"/>
      <c r="AJ88" s="120"/>
      <c r="AK88" s="120"/>
      <c r="AL88" s="120"/>
      <c r="AM88" s="120"/>
      <c r="AN88" s="120"/>
      <c r="AO88" s="120"/>
      <c r="AP88" s="120"/>
      <c r="AQ88" s="120"/>
      <c r="AR88" s="120"/>
      <c r="AS88" s="120"/>
      <c r="AT88" s="120"/>
      <c r="AU88" s="120"/>
      <c r="AV88" s="120"/>
      <c r="AW88" s="120"/>
      <c r="AX88" s="120"/>
      <c r="AY88" s="120"/>
      <c r="AZ88" s="120"/>
      <c r="BA88" s="120"/>
      <c r="BB88" s="120"/>
      <c r="BC88" s="120"/>
      <c r="BD88" s="120"/>
      <c r="BE88" s="120"/>
      <c r="BF88" s="120"/>
      <c r="BG88" s="120"/>
      <c r="BH88" s="120"/>
      <c r="BI88" s="120"/>
      <c r="BJ88" s="120"/>
      <c r="BK88" s="120"/>
      <c r="BL88" s="120"/>
      <c r="BM88" s="120"/>
      <c r="BN88" s="120"/>
      <c r="BO88" s="120"/>
      <c r="BP88" s="120"/>
      <c r="BQ88" s="120"/>
      <c r="BR88" s="120"/>
      <c r="BS88" s="120"/>
      <c r="BT88" s="120"/>
      <c r="BU88" s="120"/>
      <c r="BV88" s="120"/>
      <c r="BW88" s="120"/>
      <c r="BX88" s="120"/>
      <c r="BY88" s="120"/>
      <c r="BZ88" s="120"/>
      <c r="CA88" s="120"/>
      <c r="CB88" s="120"/>
      <c r="CC88" s="120"/>
      <c r="CD88" s="120"/>
      <c r="CE88" s="120"/>
      <c r="CF88" s="120"/>
      <c r="CG88" s="120"/>
      <c r="CH88" s="120"/>
      <c r="CI88" s="120"/>
      <c r="CJ88" s="120"/>
      <c r="CK88" s="120"/>
      <c r="CL88" s="120"/>
      <c r="CM88" s="120"/>
      <c r="CN88" s="120"/>
      <c r="CO88" s="120"/>
      <c r="CP88" s="120"/>
      <c r="CQ88" s="120"/>
      <c r="CR88" s="120"/>
      <c r="CS88" s="120"/>
      <c r="CT88" s="120"/>
      <c r="CU88" s="120"/>
      <c r="CV88" s="120"/>
      <c r="CW88" s="120"/>
      <c r="CX88" s="120"/>
      <c r="CY88" s="120"/>
      <c r="CZ88" s="120"/>
      <c r="DA88" s="120"/>
      <c r="DB88" s="120"/>
      <c r="DC88" s="120"/>
      <c r="DD88" s="120"/>
      <c r="DE88" s="120"/>
      <c r="DF88" s="120"/>
      <c r="DG88" s="120"/>
      <c r="DH88" s="120"/>
      <c r="DI88" s="120"/>
      <c r="DJ88" s="120"/>
      <c r="DK88" s="120"/>
      <c r="DL88" s="120"/>
      <c r="DM88" s="120"/>
      <c r="DN88" s="120"/>
      <c r="DO88" s="120"/>
      <c r="DP88" s="120"/>
      <c r="DQ88" s="120"/>
      <c r="DR88" s="120"/>
      <c r="DS88" s="120"/>
      <c r="DT88" s="120"/>
      <c r="DU88" s="120"/>
      <c r="DV88" s="120"/>
      <c r="DW88" s="120"/>
      <c r="DX88" s="120"/>
      <c r="DY88" s="120"/>
      <c r="DZ88" s="120"/>
      <c r="EA88" s="120"/>
      <c r="EB88" s="120"/>
      <c r="EC88" s="120"/>
      <c r="ED88" s="120"/>
      <c r="EE88" s="120"/>
      <c r="EF88" s="120"/>
      <c r="EG88" s="120"/>
      <c r="EH88" s="120"/>
      <c r="EI88" s="120"/>
      <c r="EJ88" s="120"/>
      <c r="EK88" s="120"/>
      <c r="EL88" s="120"/>
      <c r="EM88" s="120"/>
      <c r="EN88" s="120"/>
      <c r="EO88" s="120"/>
      <c r="EP88" s="120"/>
      <c r="EQ88" s="120"/>
      <c r="ER88" s="120"/>
      <c r="ES88" s="120"/>
      <c r="ET88" s="120"/>
      <c r="EU88" s="120"/>
      <c r="EV88" s="120"/>
      <c r="EW88" s="120"/>
      <c r="EX88" s="120"/>
      <c r="EY88" s="120"/>
      <c r="EZ88" s="120"/>
      <c r="FA88" s="120"/>
      <c r="FB88" s="120"/>
      <c r="FC88" s="120"/>
      <c r="FD88" s="120"/>
      <c r="FE88" s="120"/>
      <c r="FF88" s="120"/>
      <c r="FG88" s="120"/>
      <c r="FH88" s="120"/>
      <c r="FI88" s="120"/>
      <c r="FJ88" s="120"/>
      <c r="FK88" s="120"/>
      <c r="FL88" s="120"/>
      <c r="FM88" s="120"/>
      <c r="FN88" s="120"/>
      <c r="FO88" s="120"/>
      <c r="FP88" s="120"/>
      <c r="FQ88" s="120"/>
      <c r="FR88" s="120"/>
      <c r="FS88" s="120"/>
      <c r="FT88" s="120"/>
      <c r="FU88" s="120"/>
      <c r="FV88" s="120"/>
      <c r="FW88" s="120"/>
      <c r="FX88" s="120"/>
      <c r="FY88" s="120"/>
      <c r="FZ88" s="120"/>
      <c r="GA88" s="120"/>
      <c r="GB88" s="120"/>
      <c r="GC88" s="120"/>
      <c r="GD88" s="120"/>
      <c r="GE88" s="120"/>
      <c r="GF88" s="120"/>
      <c r="GG88" s="120"/>
      <c r="GH88" s="120"/>
      <c r="GI88" s="120"/>
      <c r="GJ88" s="120"/>
      <c r="GK88" s="120"/>
      <c r="GL88" s="120"/>
      <c r="GM88" s="120"/>
      <c r="GN88" s="120"/>
      <c r="GO88" s="120"/>
      <c r="GP88" s="120"/>
      <c r="GQ88" s="120"/>
      <c r="GR88" s="120"/>
      <c r="GS88" s="120"/>
      <c r="GT88" s="120"/>
      <c r="GU88" s="120"/>
      <c r="GV88" s="120"/>
      <c r="GW88" s="120"/>
      <c r="GX88" s="120"/>
      <c r="GY88" s="120"/>
      <c r="GZ88" s="120"/>
      <c r="HA88" s="120"/>
      <c r="HB88" s="120"/>
      <c r="HC88" s="120"/>
      <c r="HD88" s="120"/>
      <c r="HE88" s="120"/>
      <c r="HF88" s="120"/>
      <c r="HG88" s="120"/>
      <c r="HH88" s="120"/>
      <c r="HI88" s="120"/>
      <c r="HJ88" s="120"/>
      <c r="HK88" s="120"/>
      <c r="HL88" s="120"/>
      <c r="HM88" s="120"/>
      <c r="HN88" s="120"/>
      <c r="HO88" s="120"/>
      <c r="HP88" s="120"/>
      <c r="HQ88" s="120"/>
      <c r="HR88" s="120"/>
      <c r="HS88" s="120"/>
      <c r="HT88" s="120"/>
      <c r="HU88" s="120"/>
      <c r="HV88" s="120"/>
      <c r="HW88" s="120"/>
      <c r="HX88" s="120"/>
      <c r="HY88" s="120"/>
      <c r="HZ88" s="120"/>
      <c r="IA88" s="120"/>
      <c r="IB88" s="120"/>
      <c r="IC88" s="120"/>
      <c r="ID88" s="120"/>
      <c r="IE88" s="120"/>
      <c r="IF88" s="120"/>
      <c r="IG88" s="120"/>
      <c r="IH88" s="120"/>
      <c r="II88" s="120"/>
      <c r="IJ88" s="120"/>
      <c r="IK88" s="120"/>
      <c r="IL88" s="120"/>
      <c r="IM88" s="120"/>
      <c r="IN88" s="120"/>
      <c r="IO88" s="120"/>
      <c r="IP88" s="120"/>
      <c r="IQ88" s="120"/>
      <c r="IR88" s="120"/>
      <c r="IS88" s="120"/>
      <c r="IT88" s="120"/>
      <c r="IU88" s="120"/>
      <c r="IV88" s="120"/>
    </row>
    <row r="89" spans="1:256" s="152" customFormat="1" x14ac:dyDescent="0.25">
      <c r="A89" s="147"/>
      <c r="B89" s="148"/>
      <c r="C89" s="148"/>
      <c r="D89" s="149"/>
      <c r="E89" s="95"/>
      <c r="F89" s="101"/>
      <c r="G89" s="131"/>
      <c r="H89" s="148"/>
      <c r="I89" s="101"/>
      <c r="J89" s="148"/>
      <c r="K89" s="112"/>
      <c r="L89" s="148"/>
      <c r="M89" s="148"/>
      <c r="N89" s="148"/>
      <c r="O89" s="148"/>
      <c r="P89" s="148"/>
      <c r="Q89" s="150"/>
      <c r="R89" s="130"/>
      <c r="S89" s="130"/>
      <c r="T89" s="130"/>
      <c r="U89" s="129"/>
      <c r="V89" s="129"/>
      <c r="W89" s="129"/>
      <c r="X89" s="129"/>
      <c r="Y89" s="129"/>
      <c r="Z89" s="129"/>
      <c r="AA89" s="129"/>
      <c r="AB89" s="129"/>
      <c r="AC89" s="129"/>
      <c r="AD89" s="129"/>
      <c r="AE89" s="129"/>
      <c r="AF89" s="129"/>
      <c r="AG89" s="129"/>
      <c r="AH89" s="129"/>
      <c r="AI89" s="129"/>
      <c r="AJ89" s="129"/>
      <c r="AK89" s="129"/>
      <c r="AL89" s="129"/>
      <c r="AM89" s="129"/>
      <c r="AN89" s="129"/>
      <c r="AO89" s="129"/>
      <c r="AP89" s="129"/>
      <c r="AQ89" s="129"/>
      <c r="AR89" s="129"/>
      <c r="AS89" s="129"/>
      <c r="AT89" s="129"/>
      <c r="AU89" s="129"/>
      <c r="AV89" s="129"/>
      <c r="AW89" s="129"/>
      <c r="AX89" s="129"/>
      <c r="AY89" s="129"/>
      <c r="AZ89" s="129"/>
      <c r="BA89" s="129"/>
      <c r="BB89" s="129"/>
      <c r="BC89" s="129"/>
      <c r="BD89" s="129"/>
      <c r="BE89" s="129"/>
      <c r="BF89" s="129"/>
      <c r="BG89" s="129"/>
      <c r="BH89" s="129"/>
      <c r="BI89" s="129"/>
      <c r="BJ89" s="129"/>
      <c r="BK89" s="129"/>
      <c r="BL89" s="129"/>
      <c r="BM89" s="129"/>
      <c r="BN89" s="129"/>
      <c r="BO89" s="129"/>
      <c r="BP89" s="129"/>
      <c r="BQ89" s="129"/>
      <c r="BR89" s="129"/>
      <c r="BS89" s="129"/>
      <c r="BT89" s="129"/>
      <c r="BU89" s="129"/>
      <c r="BV89" s="129"/>
      <c r="BW89" s="129"/>
      <c r="BX89" s="129"/>
      <c r="BY89" s="129"/>
      <c r="BZ89" s="129"/>
      <c r="CA89" s="129"/>
      <c r="CB89" s="129"/>
      <c r="CC89" s="129"/>
      <c r="CD89" s="129"/>
      <c r="CE89" s="129"/>
      <c r="CF89" s="129"/>
      <c r="CG89" s="129"/>
      <c r="CH89" s="129"/>
      <c r="CI89" s="129"/>
      <c r="CJ89" s="129"/>
      <c r="CK89" s="129"/>
      <c r="CL89" s="129"/>
      <c r="CM89" s="129"/>
      <c r="CN89" s="129"/>
      <c r="CO89" s="129"/>
      <c r="CP89" s="129"/>
      <c r="CQ89" s="129"/>
      <c r="CR89" s="129"/>
      <c r="CS89" s="129"/>
      <c r="CT89" s="129"/>
      <c r="CU89" s="129"/>
      <c r="CV89" s="129"/>
      <c r="CW89" s="129"/>
      <c r="CX89" s="129"/>
      <c r="CY89" s="129"/>
      <c r="CZ89" s="129"/>
      <c r="DA89" s="129"/>
      <c r="DB89" s="129"/>
      <c r="DC89" s="129"/>
      <c r="DD89" s="129"/>
      <c r="DE89" s="129"/>
      <c r="DF89" s="129"/>
      <c r="DG89" s="129"/>
      <c r="DH89" s="129"/>
      <c r="DI89" s="129"/>
      <c r="DJ89" s="129"/>
      <c r="DK89" s="129"/>
      <c r="DL89" s="129"/>
      <c r="DM89" s="129"/>
      <c r="DN89" s="129"/>
      <c r="DO89" s="129"/>
      <c r="DP89" s="129"/>
      <c r="DQ89" s="129"/>
      <c r="DR89" s="129"/>
      <c r="DS89" s="129"/>
      <c r="DT89" s="129"/>
      <c r="DU89" s="129"/>
      <c r="DV89" s="129"/>
      <c r="DW89" s="129"/>
      <c r="DX89" s="129"/>
      <c r="DY89" s="129"/>
      <c r="DZ89" s="129"/>
      <c r="EA89" s="129"/>
      <c r="EB89" s="129"/>
      <c r="EC89" s="129"/>
      <c r="ED89" s="129"/>
      <c r="EE89" s="129"/>
      <c r="EF89" s="129"/>
      <c r="EG89" s="129"/>
      <c r="EH89" s="129"/>
      <c r="EI89" s="129"/>
      <c r="EJ89" s="129"/>
      <c r="EK89" s="129"/>
      <c r="EL89" s="129"/>
      <c r="EM89" s="129"/>
      <c r="EN89" s="129"/>
      <c r="EO89" s="129"/>
      <c r="EP89" s="129"/>
      <c r="EQ89" s="129"/>
      <c r="ER89" s="129"/>
      <c r="ES89" s="129"/>
      <c r="ET89" s="129"/>
      <c r="EU89" s="129"/>
      <c r="EV89" s="129"/>
      <c r="EW89" s="129"/>
      <c r="EX89" s="129"/>
      <c r="EY89" s="129"/>
      <c r="EZ89" s="129"/>
      <c r="FA89" s="129"/>
      <c r="FB89" s="129"/>
      <c r="FC89" s="129"/>
      <c r="FD89" s="129"/>
      <c r="FE89" s="129"/>
      <c r="FF89" s="129"/>
      <c r="FG89" s="129"/>
      <c r="FH89" s="129"/>
      <c r="FI89" s="129"/>
      <c r="FJ89" s="129"/>
      <c r="FK89" s="129"/>
      <c r="FL89" s="129"/>
      <c r="FM89" s="129"/>
      <c r="FN89" s="129"/>
      <c r="FO89" s="129"/>
      <c r="FP89" s="129"/>
      <c r="FQ89" s="129"/>
      <c r="FR89" s="129"/>
      <c r="FS89" s="129"/>
      <c r="FT89" s="129"/>
      <c r="FU89" s="129"/>
      <c r="FV89" s="129"/>
      <c r="FW89" s="129"/>
      <c r="FX89" s="129"/>
      <c r="FY89" s="129"/>
      <c r="FZ89" s="129"/>
      <c r="GA89" s="129"/>
      <c r="GB89" s="129"/>
      <c r="GC89" s="129"/>
      <c r="GD89" s="129"/>
      <c r="GE89" s="129"/>
      <c r="GF89" s="129"/>
      <c r="GG89" s="129"/>
      <c r="GH89" s="129"/>
      <c r="GI89" s="129"/>
      <c r="GJ89" s="129"/>
      <c r="GK89" s="129"/>
      <c r="GL89" s="129"/>
      <c r="GM89" s="129"/>
      <c r="GN89" s="129"/>
      <c r="GO89" s="129"/>
      <c r="GP89" s="129"/>
      <c r="GQ89" s="129"/>
      <c r="GR89" s="129"/>
      <c r="GS89" s="129"/>
      <c r="GT89" s="129"/>
      <c r="GU89" s="129"/>
      <c r="GV89" s="129"/>
      <c r="GW89" s="129"/>
      <c r="GX89" s="129"/>
      <c r="GY89" s="129"/>
      <c r="GZ89" s="129"/>
      <c r="HA89" s="129"/>
      <c r="HB89" s="129"/>
      <c r="HC89" s="129"/>
      <c r="HD89" s="129"/>
      <c r="HE89" s="129"/>
      <c r="HF89" s="129"/>
      <c r="HG89" s="129"/>
      <c r="HH89" s="129"/>
      <c r="HI89" s="129"/>
      <c r="HJ89" s="129"/>
      <c r="HK89" s="129"/>
      <c r="HL89" s="129"/>
      <c r="HM89" s="129"/>
      <c r="HN89" s="129"/>
      <c r="HO89" s="129"/>
      <c r="HP89" s="129"/>
      <c r="HQ89" s="129"/>
      <c r="HR89" s="129"/>
      <c r="HS89" s="129"/>
      <c r="HT89" s="129"/>
      <c r="HU89" s="129"/>
      <c r="HV89" s="129"/>
      <c r="HW89" s="129"/>
      <c r="HX89" s="129"/>
      <c r="HY89" s="129"/>
      <c r="HZ89" s="129"/>
      <c r="IA89" s="129"/>
      <c r="IB89" s="129"/>
      <c r="IC89" s="129"/>
      <c r="ID89" s="129"/>
      <c r="IE89" s="129"/>
      <c r="IF89" s="129"/>
      <c r="IG89" s="129"/>
      <c r="IH89" s="129"/>
      <c r="II89" s="129"/>
      <c r="IJ89" s="129"/>
      <c r="IK89" s="129"/>
      <c r="IL89" s="129"/>
      <c r="IM89" s="129"/>
      <c r="IN89" s="129"/>
      <c r="IO89" s="129"/>
      <c r="IP89" s="129"/>
      <c r="IQ89" s="129"/>
      <c r="IR89" s="129"/>
      <c r="IS89" s="129"/>
      <c r="IT89" s="129"/>
      <c r="IU89" s="129"/>
      <c r="IV89" s="129"/>
    </row>
    <row r="90" spans="1:256" s="152" customFormat="1" x14ac:dyDescent="0.25">
      <c r="A90" s="151"/>
      <c r="B90" s="131"/>
      <c r="C90" s="131"/>
      <c r="D90" s="132"/>
      <c r="E90" s="122"/>
      <c r="F90" s="101"/>
      <c r="G90" s="131"/>
      <c r="H90" s="148"/>
      <c r="I90" s="101"/>
      <c r="J90" s="148"/>
      <c r="K90" s="112"/>
      <c r="L90" s="148"/>
      <c r="M90" s="148"/>
      <c r="N90" s="148"/>
      <c r="O90" s="148"/>
      <c r="P90" s="131"/>
      <c r="Q90" s="132"/>
      <c r="R90" s="122"/>
      <c r="S90" s="122"/>
      <c r="T90" s="122"/>
      <c r="U90" s="115"/>
      <c r="V90" s="115"/>
      <c r="W90" s="115"/>
      <c r="X90" s="115"/>
      <c r="Y90" s="115"/>
      <c r="Z90" s="115"/>
      <c r="AA90" s="115"/>
      <c r="AB90" s="115"/>
      <c r="AC90" s="115"/>
      <c r="AD90" s="115"/>
      <c r="AE90" s="115"/>
      <c r="AF90" s="115"/>
      <c r="AG90" s="115"/>
      <c r="AH90" s="115"/>
      <c r="AI90" s="115"/>
      <c r="AJ90" s="115"/>
      <c r="AK90" s="115"/>
      <c r="AL90" s="115"/>
      <c r="AM90" s="115"/>
      <c r="AN90" s="115"/>
      <c r="AO90" s="115"/>
      <c r="AP90" s="115"/>
      <c r="AQ90" s="115"/>
      <c r="AR90" s="115"/>
      <c r="AS90" s="115"/>
      <c r="AT90" s="115"/>
      <c r="AU90" s="115"/>
      <c r="AV90" s="115"/>
      <c r="AW90" s="115"/>
      <c r="AX90" s="115"/>
      <c r="AY90" s="115"/>
      <c r="AZ90" s="115"/>
      <c r="BA90" s="115"/>
      <c r="BB90" s="115"/>
      <c r="BC90" s="115"/>
      <c r="BD90" s="115"/>
      <c r="BE90" s="115"/>
      <c r="BF90" s="115"/>
      <c r="BG90" s="115"/>
      <c r="BH90" s="115"/>
      <c r="BI90" s="115"/>
      <c r="BJ90" s="115"/>
      <c r="BK90" s="115"/>
      <c r="BL90" s="115"/>
      <c r="BM90" s="115"/>
      <c r="BN90" s="115"/>
      <c r="BO90" s="115"/>
      <c r="BP90" s="115"/>
      <c r="BQ90" s="115"/>
      <c r="BR90" s="115"/>
      <c r="BS90" s="115"/>
      <c r="BT90" s="115"/>
      <c r="BU90" s="115"/>
      <c r="BV90" s="115"/>
      <c r="BW90" s="115"/>
      <c r="BX90" s="115"/>
      <c r="BY90" s="115"/>
      <c r="BZ90" s="115"/>
      <c r="CA90" s="115"/>
      <c r="CB90" s="115"/>
      <c r="CC90" s="115"/>
      <c r="CD90" s="115"/>
      <c r="CE90" s="115"/>
      <c r="CF90" s="115"/>
      <c r="CG90" s="115"/>
      <c r="CH90" s="115"/>
      <c r="CI90" s="115"/>
      <c r="CJ90" s="115"/>
      <c r="CK90" s="115"/>
      <c r="CL90" s="115"/>
      <c r="CM90" s="115"/>
      <c r="CN90" s="115"/>
      <c r="CO90" s="115"/>
      <c r="CP90" s="115"/>
      <c r="CQ90" s="115"/>
      <c r="CR90" s="115"/>
      <c r="CS90" s="115"/>
      <c r="CT90" s="115"/>
      <c r="CU90" s="115"/>
      <c r="CV90" s="115"/>
      <c r="CW90" s="115"/>
      <c r="CX90" s="115"/>
      <c r="CY90" s="115"/>
      <c r="CZ90" s="115"/>
      <c r="DA90" s="115"/>
      <c r="DB90" s="115"/>
      <c r="DC90" s="115"/>
      <c r="DD90" s="115"/>
      <c r="DE90" s="115"/>
      <c r="DF90" s="115"/>
      <c r="DG90" s="115"/>
      <c r="DH90" s="115"/>
      <c r="DI90" s="115"/>
      <c r="DJ90" s="115"/>
      <c r="DK90" s="115"/>
      <c r="DL90" s="115"/>
      <c r="DM90" s="115"/>
      <c r="DN90" s="115"/>
      <c r="DO90" s="115"/>
      <c r="DP90" s="115"/>
      <c r="DQ90" s="115"/>
      <c r="DR90" s="115"/>
      <c r="DS90" s="115"/>
      <c r="DT90" s="115"/>
      <c r="DU90" s="115"/>
      <c r="DV90" s="115"/>
      <c r="DW90" s="115"/>
      <c r="DX90" s="115"/>
      <c r="DY90" s="115"/>
      <c r="DZ90" s="115"/>
      <c r="EA90" s="115"/>
      <c r="EB90" s="115"/>
      <c r="EC90" s="115"/>
      <c r="ED90" s="115"/>
      <c r="EE90" s="115"/>
      <c r="EF90" s="115"/>
      <c r="EG90" s="115"/>
      <c r="EH90" s="115"/>
      <c r="EI90" s="115"/>
      <c r="EJ90" s="115"/>
      <c r="EK90" s="115"/>
      <c r="EL90" s="115"/>
      <c r="EM90" s="115"/>
      <c r="EN90" s="115"/>
      <c r="EO90" s="115"/>
      <c r="EP90" s="115"/>
      <c r="EQ90" s="115"/>
      <c r="ER90" s="115"/>
      <c r="ES90" s="115"/>
      <c r="ET90" s="115"/>
      <c r="EU90" s="115"/>
      <c r="EV90" s="115"/>
      <c r="EW90" s="115"/>
      <c r="EX90" s="115"/>
      <c r="EY90" s="115"/>
      <c r="EZ90" s="115"/>
      <c r="FA90" s="115"/>
      <c r="FB90" s="115"/>
      <c r="FC90" s="115"/>
      <c r="FD90" s="115"/>
      <c r="FE90" s="115"/>
      <c r="FF90" s="115"/>
      <c r="FG90" s="115"/>
      <c r="FH90" s="115"/>
      <c r="FI90" s="115"/>
      <c r="FJ90" s="115"/>
      <c r="FK90" s="115"/>
      <c r="FL90" s="115"/>
      <c r="FM90" s="115"/>
      <c r="FN90" s="115"/>
      <c r="FO90" s="115"/>
      <c r="FP90" s="115"/>
      <c r="FQ90" s="115"/>
      <c r="FR90" s="115"/>
      <c r="FS90" s="115"/>
      <c r="FT90" s="115"/>
      <c r="FU90" s="115"/>
      <c r="FV90" s="115"/>
      <c r="FW90" s="115"/>
      <c r="FX90" s="115"/>
      <c r="FY90" s="115"/>
      <c r="FZ90" s="115"/>
      <c r="GA90" s="115"/>
      <c r="GB90" s="115"/>
      <c r="GC90" s="115"/>
      <c r="GD90" s="115"/>
      <c r="GE90" s="115"/>
      <c r="GF90" s="115"/>
      <c r="GG90" s="115"/>
      <c r="GH90" s="115"/>
      <c r="GI90" s="115"/>
      <c r="GJ90" s="115"/>
      <c r="GK90" s="115"/>
      <c r="GL90" s="115"/>
      <c r="GM90" s="115"/>
      <c r="GN90" s="115"/>
      <c r="GO90" s="115"/>
      <c r="GP90" s="115"/>
      <c r="GQ90" s="115"/>
      <c r="GR90" s="115"/>
      <c r="GS90" s="115"/>
      <c r="GT90" s="115"/>
      <c r="GU90" s="115"/>
      <c r="GV90" s="115"/>
      <c r="GW90" s="115"/>
      <c r="GX90" s="115"/>
      <c r="GY90" s="115"/>
      <c r="GZ90" s="115"/>
      <c r="HA90" s="115"/>
      <c r="HB90" s="115"/>
      <c r="HC90" s="115"/>
      <c r="HD90" s="115"/>
      <c r="HE90" s="115"/>
      <c r="HF90" s="115"/>
      <c r="HG90" s="115"/>
      <c r="HH90" s="115"/>
      <c r="HI90" s="115"/>
      <c r="HJ90" s="115"/>
      <c r="HK90" s="115"/>
      <c r="HL90" s="115"/>
      <c r="HM90" s="115"/>
      <c r="HN90" s="115"/>
      <c r="HO90" s="115"/>
      <c r="HP90" s="115"/>
      <c r="HQ90" s="115"/>
      <c r="HR90" s="115"/>
      <c r="HS90" s="115"/>
      <c r="HT90" s="115"/>
      <c r="HU90" s="115"/>
      <c r="HV90" s="115"/>
      <c r="HW90" s="115"/>
      <c r="HX90" s="115"/>
      <c r="HY90" s="115"/>
      <c r="HZ90" s="115"/>
      <c r="IA90" s="115"/>
      <c r="IB90" s="115"/>
      <c r="IC90" s="115"/>
      <c r="ID90" s="115"/>
      <c r="IE90" s="115"/>
      <c r="IF90" s="115"/>
      <c r="IG90" s="115"/>
      <c r="IH90" s="115"/>
      <c r="II90" s="115"/>
      <c r="IJ90" s="115"/>
      <c r="IK90" s="115"/>
      <c r="IL90" s="115"/>
      <c r="IM90" s="115"/>
      <c r="IN90" s="115"/>
      <c r="IO90" s="115"/>
      <c r="IP90" s="115"/>
      <c r="IQ90" s="115"/>
      <c r="IR90" s="115"/>
      <c r="IS90" s="115"/>
      <c r="IT90" s="115"/>
      <c r="IU90" s="115"/>
      <c r="IV90" s="115"/>
    </row>
    <row r="91" spans="1:256" s="152" customFormat="1" x14ac:dyDescent="0.25">
      <c r="A91" s="122"/>
      <c r="B91" s="131"/>
      <c r="C91" s="131"/>
      <c r="D91" s="122"/>
      <c r="E91" s="122"/>
      <c r="F91" s="148"/>
      <c r="G91" s="131"/>
      <c r="H91" s="148"/>
      <c r="I91" s="131"/>
      <c r="J91" s="131"/>
      <c r="K91" s="131"/>
      <c r="L91" s="122"/>
      <c r="M91" s="131"/>
      <c r="N91" s="131"/>
      <c r="O91" s="131"/>
      <c r="P91" s="131"/>
      <c r="Q91" s="122"/>
      <c r="R91" s="122"/>
      <c r="S91" s="122"/>
      <c r="T91" s="122"/>
      <c r="U91" s="115"/>
      <c r="V91" s="115"/>
      <c r="W91" s="115"/>
      <c r="X91" s="115"/>
      <c r="Y91" s="115"/>
      <c r="Z91" s="115"/>
      <c r="AA91" s="115"/>
      <c r="AB91" s="115"/>
      <c r="AC91" s="115"/>
      <c r="AD91" s="115"/>
      <c r="AE91" s="115"/>
      <c r="AF91" s="115"/>
      <c r="AG91" s="115"/>
      <c r="AH91" s="115"/>
      <c r="AI91" s="115"/>
      <c r="AJ91" s="115"/>
      <c r="AK91" s="115"/>
      <c r="AL91" s="115"/>
      <c r="AM91" s="115"/>
      <c r="AN91" s="115"/>
      <c r="AO91" s="115"/>
      <c r="AP91" s="115"/>
      <c r="AQ91" s="115"/>
      <c r="AR91" s="115"/>
      <c r="AS91" s="115"/>
      <c r="AT91" s="115"/>
      <c r="AU91" s="115"/>
      <c r="AV91" s="115"/>
      <c r="AW91" s="115"/>
      <c r="AX91" s="115"/>
      <c r="AY91" s="115"/>
      <c r="AZ91" s="115"/>
      <c r="BA91" s="115"/>
      <c r="BB91" s="115"/>
      <c r="BC91" s="115"/>
      <c r="BD91" s="115"/>
      <c r="BE91" s="115"/>
      <c r="BF91" s="115"/>
      <c r="BG91" s="115"/>
      <c r="BH91" s="115"/>
      <c r="BI91" s="115"/>
      <c r="BJ91" s="115"/>
      <c r="BK91" s="115"/>
      <c r="BL91" s="115"/>
      <c r="BM91" s="115"/>
      <c r="BN91" s="115"/>
      <c r="BO91" s="115"/>
      <c r="BP91" s="115"/>
      <c r="BQ91" s="115"/>
      <c r="BR91" s="115"/>
      <c r="BS91" s="115"/>
      <c r="BT91" s="115"/>
      <c r="BU91" s="115"/>
      <c r="BV91" s="115"/>
      <c r="BW91" s="115"/>
      <c r="BX91" s="115"/>
      <c r="BY91" s="115"/>
      <c r="BZ91" s="115"/>
      <c r="CA91" s="115"/>
      <c r="CB91" s="115"/>
      <c r="CC91" s="115"/>
      <c r="CD91" s="115"/>
      <c r="CE91" s="115"/>
      <c r="CF91" s="115"/>
      <c r="CG91" s="115"/>
      <c r="CH91" s="115"/>
      <c r="CI91" s="115"/>
      <c r="CJ91" s="115"/>
      <c r="CK91" s="115"/>
      <c r="CL91" s="115"/>
      <c r="CM91" s="115"/>
      <c r="CN91" s="115"/>
      <c r="CO91" s="115"/>
      <c r="CP91" s="115"/>
      <c r="CQ91" s="115"/>
      <c r="CR91" s="115"/>
      <c r="CS91" s="115"/>
      <c r="CT91" s="115"/>
      <c r="CU91" s="115"/>
      <c r="CV91" s="115"/>
      <c r="CW91" s="115"/>
      <c r="CX91" s="115"/>
      <c r="CY91" s="115"/>
      <c r="CZ91" s="115"/>
      <c r="DA91" s="115"/>
      <c r="DB91" s="115"/>
      <c r="DC91" s="115"/>
      <c r="DD91" s="115"/>
      <c r="DE91" s="115"/>
      <c r="DF91" s="115"/>
      <c r="DG91" s="115"/>
      <c r="DH91" s="115"/>
      <c r="DI91" s="115"/>
      <c r="DJ91" s="115"/>
      <c r="DK91" s="115"/>
      <c r="DL91" s="115"/>
      <c r="DM91" s="115"/>
      <c r="DN91" s="115"/>
      <c r="DO91" s="115"/>
      <c r="DP91" s="115"/>
      <c r="DQ91" s="115"/>
      <c r="DR91" s="115"/>
      <c r="DS91" s="115"/>
      <c r="DT91" s="115"/>
      <c r="DU91" s="115"/>
      <c r="DV91" s="115"/>
      <c r="DW91" s="115"/>
      <c r="DX91" s="115"/>
      <c r="DY91" s="115"/>
      <c r="DZ91" s="115"/>
      <c r="EA91" s="115"/>
      <c r="EB91" s="115"/>
      <c r="EC91" s="115"/>
      <c r="ED91" s="115"/>
      <c r="EE91" s="115"/>
      <c r="EF91" s="115"/>
      <c r="EG91" s="115"/>
      <c r="EH91" s="115"/>
      <c r="EI91" s="115"/>
      <c r="EJ91" s="115"/>
      <c r="EK91" s="115"/>
      <c r="EL91" s="115"/>
      <c r="EM91" s="115"/>
      <c r="EN91" s="115"/>
      <c r="EO91" s="115"/>
      <c r="EP91" s="115"/>
      <c r="EQ91" s="115"/>
      <c r="ER91" s="115"/>
      <c r="ES91" s="115"/>
      <c r="ET91" s="115"/>
      <c r="EU91" s="115"/>
      <c r="EV91" s="115"/>
      <c r="EW91" s="115"/>
      <c r="EX91" s="115"/>
      <c r="EY91" s="115"/>
      <c r="EZ91" s="115"/>
      <c r="FA91" s="115"/>
      <c r="FB91" s="115"/>
      <c r="FC91" s="115"/>
      <c r="FD91" s="115"/>
      <c r="FE91" s="115"/>
      <c r="FF91" s="115"/>
      <c r="FG91" s="115"/>
      <c r="FH91" s="115"/>
      <c r="FI91" s="115"/>
      <c r="FJ91" s="115"/>
      <c r="FK91" s="115"/>
      <c r="FL91" s="115"/>
      <c r="FM91" s="115"/>
      <c r="FN91" s="115"/>
      <c r="FO91" s="115"/>
      <c r="FP91" s="115"/>
      <c r="FQ91" s="115"/>
      <c r="FR91" s="115"/>
      <c r="FS91" s="115"/>
      <c r="FT91" s="115"/>
      <c r="FU91" s="115"/>
      <c r="FV91" s="115"/>
      <c r="FW91" s="115"/>
      <c r="FX91" s="115"/>
      <c r="FY91" s="115"/>
      <c r="FZ91" s="115"/>
      <c r="GA91" s="115"/>
      <c r="GB91" s="115"/>
      <c r="GC91" s="115"/>
      <c r="GD91" s="115"/>
      <c r="GE91" s="115"/>
      <c r="GF91" s="115"/>
      <c r="GG91" s="115"/>
      <c r="GH91" s="115"/>
      <c r="GI91" s="115"/>
      <c r="GJ91" s="115"/>
      <c r="GK91" s="115"/>
      <c r="GL91" s="115"/>
      <c r="GM91" s="115"/>
      <c r="GN91" s="115"/>
      <c r="GO91" s="115"/>
      <c r="GP91" s="115"/>
      <c r="GQ91" s="115"/>
      <c r="GR91" s="115"/>
      <c r="GS91" s="115"/>
      <c r="GT91" s="115"/>
      <c r="GU91" s="115"/>
      <c r="GV91" s="115"/>
      <c r="GW91" s="115"/>
      <c r="GX91" s="115"/>
      <c r="GY91" s="115"/>
      <c r="GZ91" s="115"/>
      <c r="HA91" s="115"/>
      <c r="HB91" s="115"/>
      <c r="HC91" s="115"/>
      <c r="HD91" s="115"/>
      <c r="HE91" s="115"/>
      <c r="HF91" s="115"/>
      <c r="HG91" s="115"/>
      <c r="HH91" s="115"/>
      <c r="HI91" s="115"/>
      <c r="HJ91" s="115"/>
      <c r="HK91" s="115"/>
      <c r="HL91" s="115"/>
      <c r="HM91" s="115"/>
      <c r="HN91" s="115"/>
      <c r="HO91" s="115"/>
      <c r="HP91" s="115"/>
      <c r="HQ91" s="115"/>
      <c r="HR91" s="115"/>
      <c r="HS91" s="115"/>
      <c r="HT91" s="115"/>
      <c r="HU91" s="115"/>
      <c r="HV91" s="115"/>
      <c r="HW91" s="115"/>
      <c r="HX91" s="115"/>
      <c r="HY91" s="115"/>
      <c r="HZ91" s="115"/>
      <c r="IA91" s="115"/>
      <c r="IB91" s="115"/>
      <c r="IC91" s="115"/>
      <c r="ID91" s="115"/>
      <c r="IE91" s="115"/>
      <c r="IF91" s="115"/>
      <c r="IG91" s="115"/>
      <c r="IH91" s="115"/>
      <c r="II91" s="115"/>
      <c r="IJ91" s="115"/>
      <c r="IK91" s="115"/>
      <c r="IL91" s="115"/>
      <c r="IM91" s="115"/>
      <c r="IN91" s="115"/>
      <c r="IO91" s="115"/>
      <c r="IP91" s="115"/>
      <c r="IQ91" s="115"/>
      <c r="IR91" s="115"/>
      <c r="IS91" s="115"/>
      <c r="IT91" s="115"/>
      <c r="IU91" s="115"/>
      <c r="IV91" s="115"/>
    </row>
    <row r="92" spans="1:256" s="152" customFormat="1" x14ac:dyDescent="0.25">
      <c r="A92" s="145"/>
      <c r="B92" s="129"/>
      <c r="C92" s="148"/>
      <c r="D92" s="150"/>
      <c r="E92" s="96"/>
      <c r="F92" s="148"/>
      <c r="G92" s="148"/>
      <c r="H92" s="148"/>
      <c r="I92" s="148"/>
      <c r="J92" s="114"/>
      <c r="K92" s="148"/>
      <c r="L92" s="148"/>
      <c r="M92" s="114"/>
      <c r="N92" s="114"/>
      <c r="O92" s="114"/>
      <c r="P92" s="114"/>
      <c r="Q92" s="150"/>
      <c r="R92" s="114"/>
      <c r="S92" s="129"/>
      <c r="T92" s="129"/>
      <c r="U92" s="115"/>
      <c r="V92" s="115"/>
      <c r="W92" s="115"/>
      <c r="X92" s="115"/>
      <c r="Y92" s="115"/>
      <c r="Z92" s="115"/>
      <c r="AA92" s="115"/>
      <c r="AB92" s="115"/>
      <c r="AC92" s="115"/>
      <c r="AD92" s="115"/>
      <c r="AE92" s="115"/>
      <c r="AF92" s="115"/>
      <c r="AG92" s="115"/>
      <c r="AH92" s="115"/>
      <c r="AI92" s="115"/>
      <c r="AJ92" s="115"/>
      <c r="AK92" s="115"/>
      <c r="AL92" s="115"/>
      <c r="AM92" s="115"/>
      <c r="AN92" s="115"/>
      <c r="AO92" s="115"/>
      <c r="AP92" s="115"/>
      <c r="AQ92" s="115"/>
      <c r="AR92" s="115"/>
      <c r="AS92" s="115"/>
      <c r="AT92" s="115"/>
      <c r="AU92" s="115"/>
      <c r="AV92" s="115"/>
      <c r="AW92" s="115"/>
      <c r="AX92" s="115"/>
      <c r="AY92" s="115"/>
      <c r="AZ92" s="115"/>
      <c r="BA92" s="115"/>
      <c r="BB92" s="115"/>
      <c r="BC92" s="115"/>
      <c r="BD92" s="115"/>
      <c r="BE92" s="115"/>
      <c r="BF92" s="115"/>
      <c r="BG92" s="115"/>
      <c r="BH92" s="115"/>
      <c r="BI92" s="115"/>
      <c r="BJ92" s="115"/>
      <c r="BK92" s="115"/>
      <c r="BL92" s="115"/>
      <c r="BM92" s="115"/>
      <c r="BN92" s="115"/>
      <c r="BO92" s="115"/>
      <c r="BP92" s="115"/>
      <c r="BQ92" s="115"/>
      <c r="BR92" s="115"/>
      <c r="BS92" s="115"/>
      <c r="BT92" s="115"/>
      <c r="BU92" s="115"/>
      <c r="BV92" s="115"/>
      <c r="BW92" s="115"/>
      <c r="BX92" s="115"/>
      <c r="BY92" s="115"/>
      <c r="BZ92" s="115"/>
      <c r="CA92" s="115"/>
      <c r="CB92" s="115"/>
      <c r="CC92" s="115"/>
      <c r="CD92" s="115"/>
      <c r="CE92" s="115"/>
      <c r="CF92" s="115"/>
      <c r="CG92" s="115"/>
      <c r="CH92" s="115"/>
      <c r="CI92" s="115"/>
      <c r="CJ92" s="115"/>
      <c r="CK92" s="115"/>
      <c r="CL92" s="115"/>
      <c r="CM92" s="115"/>
      <c r="CN92" s="115"/>
      <c r="CO92" s="115"/>
      <c r="CP92" s="115"/>
      <c r="CQ92" s="115"/>
      <c r="CR92" s="115"/>
      <c r="CS92" s="115"/>
      <c r="CT92" s="115"/>
      <c r="CU92" s="115"/>
      <c r="CV92" s="115"/>
      <c r="CW92" s="115"/>
      <c r="CX92" s="115"/>
      <c r="CY92" s="115"/>
      <c r="CZ92" s="115"/>
      <c r="DA92" s="115"/>
      <c r="DB92" s="115"/>
      <c r="DC92" s="115"/>
      <c r="DD92" s="115"/>
      <c r="DE92" s="115"/>
      <c r="DF92" s="115"/>
      <c r="DG92" s="115"/>
      <c r="DH92" s="115"/>
      <c r="DI92" s="115"/>
      <c r="DJ92" s="115"/>
      <c r="DK92" s="115"/>
      <c r="DL92" s="115"/>
      <c r="DM92" s="115"/>
      <c r="DN92" s="115"/>
      <c r="DO92" s="115"/>
      <c r="DP92" s="115"/>
      <c r="DQ92" s="115"/>
      <c r="DR92" s="115"/>
      <c r="DS92" s="115"/>
      <c r="DT92" s="115"/>
      <c r="DU92" s="115"/>
      <c r="DV92" s="115"/>
      <c r="DW92" s="115"/>
      <c r="DX92" s="115"/>
      <c r="DY92" s="115"/>
      <c r="DZ92" s="115"/>
      <c r="EA92" s="115"/>
      <c r="EB92" s="115"/>
      <c r="EC92" s="115"/>
      <c r="ED92" s="115"/>
      <c r="EE92" s="115"/>
      <c r="EF92" s="115"/>
      <c r="EG92" s="115"/>
      <c r="EH92" s="115"/>
      <c r="EI92" s="115"/>
      <c r="EJ92" s="115"/>
      <c r="EK92" s="115"/>
      <c r="EL92" s="115"/>
      <c r="EM92" s="115"/>
      <c r="EN92" s="115"/>
      <c r="EO92" s="115"/>
      <c r="EP92" s="115"/>
      <c r="EQ92" s="115"/>
      <c r="ER92" s="115"/>
      <c r="ES92" s="115"/>
      <c r="ET92" s="115"/>
      <c r="EU92" s="115"/>
      <c r="EV92" s="115"/>
      <c r="EW92" s="115"/>
      <c r="EX92" s="115"/>
      <c r="EY92" s="115"/>
      <c r="EZ92" s="115"/>
      <c r="FA92" s="115"/>
      <c r="FB92" s="115"/>
      <c r="FC92" s="115"/>
      <c r="FD92" s="115"/>
      <c r="FE92" s="115"/>
      <c r="FF92" s="115"/>
      <c r="FG92" s="115"/>
      <c r="FH92" s="115"/>
      <c r="FI92" s="115"/>
      <c r="FJ92" s="115"/>
      <c r="FK92" s="115"/>
      <c r="FL92" s="115"/>
      <c r="FM92" s="115"/>
      <c r="FN92" s="115"/>
      <c r="FO92" s="115"/>
      <c r="FP92" s="115"/>
      <c r="FQ92" s="115"/>
      <c r="FR92" s="115"/>
      <c r="FS92" s="115"/>
      <c r="FT92" s="115"/>
      <c r="FU92" s="115"/>
      <c r="FV92" s="115"/>
      <c r="FW92" s="115"/>
      <c r="FX92" s="115"/>
      <c r="FY92" s="115"/>
      <c r="FZ92" s="115"/>
      <c r="GA92" s="115"/>
      <c r="GB92" s="115"/>
      <c r="GC92" s="115"/>
      <c r="GD92" s="115"/>
      <c r="GE92" s="115"/>
      <c r="GF92" s="115"/>
      <c r="GG92" s="115"/>
      <c r="GH92" s="115"/>
      <c r="GI92" s="115"/>
      <c r="GJ92" s="115"/>
      <c r="GK92" s="115"/>
      <c r="GL92" s="115"/>
      <c r="GM92" s="115"/>
      <c r="GN92" s="115"/>
      <c r="GO92" s="115"/>
      <c r="GP92" s="115"/>
      <c r="GQ92" s="115"/>
      <c r="GR92" s="115"/>
      <c r="GS92" s="115"/>
      <c r="GT92" s="115"/>
      <c r="GU92" s="115"/>
      <c r="GV92" s="115"/>
      <c r="GW92" s="115"/>
      <c r="GX92" s="115"/>
      <c r="GY92" s="115"/>
      <c r="GZ92" s="115"/>
      <c r="HA92" s="115"/>
      <c r="HB92" s="115"/>
      <c r="HC92" s="115"/>
      <c r="HD92" s="115"/>
      <c r="HE92" s="115"/>
      <c r="HF92" s="115"/>
      <c r="HG92" s="115"/>
      <c r="HH92" s="115"/>
      <c r="HI92" s="115"/>
      <c r="HJ92" s="115"/>
      <c r="HK92" s="115"/>
      <c r="HL92" s="115"/>
      <c r="HM92" s="115"/>
      <c r="HN92" s="115"/>
      <c r="HO92" s="115"/>
      <c r="HP92" s="115"/>
      <c r="HQ92" s="115"/>
      <c r="HR92" s="115"/>
      <c r="HS92" s="115"/>
      <c r="HT92" s="115"/>
      <c r="HU92" s="115"/>
      <c r="HV92" s="115"/>
      <c r="HW92" s="115"/>
      <c r="HX92" s="115"/>
      <c r="HY92" s="115"/>
      <c r="HZ92" s="115"/>
      <c r="IA92" s="115"/>
      <c r="IB92" s="115"/>
      <c r="IC92" s="115"/>
      <c r="ID92" s="115"/>
      <c r="IE92" s="115"/>
      <c r="IF92" s="115"/>
      <c r="IG92" s="115"/>
      <c r="IH92" s="115"/>
      <c r="II92" s="115"/>
      <c r="IJ92" s="115"/>
      <c r="IK92" s="115"/>
      <c r="IL92" s="115"/>
      <c r="IM92" s="115"/>
      <c r="IN92" s="115"/>
      <c r="IO92" s="115"/>
      <c r="IP92" s="115"/>
      <c r="IQ92" s="115"/>
      <c r="IR92" s="115"/>
      <c r="IS92" s="115"/>
      <c r="IT92" s="115"/>
      <c r="IU92" s="115"/>
      <c r="IV92" s="115"/>
    </row>
    <row r="93" spans="1:256" s="152" customFormat="1" x14ac:dyDescent="0.25">
      <c r="A93" s="145"/>
      <c r="B93" s="129"/>
      <c r="C93" s="131"/>
      <c r="D93" s="132"/>
      <c r="E93" s="96"/>
      <c r="F93" s="131"/>
      <c r="G93" s="131"/>
      <c r="H93" s="131"/>
      <c r="I93" s="131"/>
      <c r="J93" s="114"/>
      <c r="K93" s="131"/>
      <c r="L93" s="131"/>
      <c r="M93" s="114"/>
      <c r="N93" s="114"/>
      <c r="O93" s="114"/>
      <c r="P93" s="114"/>
      <c r="Q93" s="132"/>
      <c r="R93" s="114"/>
      <c r="S93" s="129"/>
      <c r="T93" s="129"/>
      <c r="U93" s="122"/>
      <c r="V93" s="122"/>
      <c r="W93" s="122"/>
      <c r="X93" s="122"/>
      <c r="Y93" s="122"/>
      <c r="Z93" s="122"/>
      <c r="AA93" s="122"/>
      <c r="AB93" s="122"/>
      <c r="AC93" s="122"/>
      <c r="AD93" s="122"/>
      <c r="AE93" s="122"/>
      <c r="AF93" s="122"/>
      <c r="AG93" s="122"/>
      <c r="AH93" s="122"/>
      <c r="AI93" s="122"/>
      <c r="AJ93" s="122"/>
      <c r="AK93" s="122"/>
      <c r="AL93" s="122"/>
      <c r="AM93" s="122"/>
      <c r="AN93" s="122"/>
      <c r="AO93" s="122"/>
      <c r="AP93" s="122"/>
      <c r="AQ93" s="122"/>
      <c r="AR93" s="122"/>
      <c r="AS93" s="122"/>
      <c r="AT93" s="122"/>
      <c r="AU93" s="122"/>
      <c r="AV93" s="122"/>
      <c r="AW93" s="122"/>
      <c r="AX93" s="122"/>
      <c r="AY93" s="122"/>
      <c r="AZ93" s="122"/>
      <c r="BA93" s="122"/>
      <c r="BB93" s="122"/>
      <c r="BC93" s="122"/>
      <c r="BD93" s="122"/>
      <c r="BE93" s="122"/>
      <c r="BF93" s="122"/>
      <c r="BG93" s="122"/>
      <c r="BH93" s="122"/>
      <c r="BI93" s="122"/>
      <c r="BJ93" s="122"/>
      <c r="BK93" s="122"/>
      <c r="BL93" s="122"/>
      <c r="BM93" s="122"/>
      <c r="BN93" s="122"/>
      <c r="BO93" s="122"/>
      <c r="BP93" s="122"/>
      <c r="BQ93" s="122"/>
      <c r="BR93" s="122"/>
      <c r="BS93" s="122"/>
      <c r="BT93" s="122"/>
      <c r="BU93" s="122"/>
      <c r="BV93" s="122"/>
      <c r="BW93" s="122"/>
      <c r="BX93" s="122"/>
      <c r="BY93" s="122"/>
      <c r="BZ93" s="122"/>
      <c r="CA93" s="122"/>
      <c r="CB93" s="122"/>
      <c r="CC93" s="122"/>
      <c r="CD93" s="122"/>
      <c r="CE93" s="122"/>
      <c r="CF93" s="122"/>
      <c r="CG93" s="122"/>
      <c r="CH93" s="122"/>
      <c r="CI93" s="122"/>
      <c r="CJ93" s="122"/>
      <c r="CK93" s="122"/>
      <c r="CL93" s="122"/>
      <c r="CM93" s="122"/>
      <c r="CN93" s="122"/>
      <c r="CO93" s="122"/>
      <c r="CP93" s="122"/>
      <c r="CQ93" s="122"/>
      <c r="CR93" s="122"/>
      <c r="CS93" s="122"/>
      <c r="CT93" s="122"/>
      <c r="CU93" s="122"/>
      <c r="CV93" s="122"/>
      <c r="CW93" s="122"/>
      <c r="CX93" s="122"/>
      <c r="CY93" s="122"/>
      <c r="CZ93" s="122"/>
      <c r="DA93" s="122"/>
      <c r="DB93" s="122"/>
      <c r="DC93" s="122"/>
      <c r="DD93" s="122"/>
      <c r="DE93" s="122"/>
      <c r="DF93" s="122"/>
      <c r="DG93" s="122"/>
      <c r="DH93" s="122"/>
      <c r="DI93" s="122"/>
      <c r="DJ93" s="122"/>
      <c r="DK93" s="122"/>
      <c r="DL93" s="122"/>
      <c r="DM93" s="122"/>
      <c r="DN93" s="122"/>
      <c r="DO93" s="122"/>
      <c r="DP93" s="122"/>
      <c r="DQ93" s="122"/>
      <c r="DR93" s="122"/>
      <c r="DS93" s="122"/>
      <c r="DT93" s="122"/>
      <c r="DU93" s="122"/>
      <c r="DV93" s="122"/>
      <c r="DW93" s="122"/>
      <c r="DX93" s="122"/>
      <c r="DY93" s="122"/>
      <c r="DZ93" s="122"/>
      <c r="EA93" s="122"/>
      <c r="EB93" s="122"/>
      <c r="EC93" s="122"/>
      <c r="ED93" s="122"/>
      <c r="EE93" s="122"/>
      <c r="EF93" s="122"/>
      <c r="EG93" s="122"/>
      <c r="EH93" s="122"/>
      <c r="EI93" s="122"/>
      <c r="EJ93" s="122"/>
      <c r="EK93" s="122"/>
      <c r="EL93" s="122"/>
      <c r="EM93" s="122"/>
      <c r="EN93" s="122"/>
      <c r="EO93" s="122"/>
      <c r="EP93" s="122"/>
      <c r="EQ93" s="122"/>
      <c r="ER93" s="122"/>
      <c r="ES93" s="122"/>
      <c r="ET93" s="122"/>
      <c r="EU93" s="122"/>
      <c r="EV93" s="122"/>
      <c r="EW93" s="122"/>
      <c r="EX93" s="122"/>
      <c r="EY93" s="122"/>
      <c r="EZ93" s="122"/>
      <c r="FA93" s="122"/>
      <c r="FB93" s="122"/>
      <c r="FC93" s="122"/>
      <c r="FD93" s="122"/>
      <c r="FE93" s="122"/>
      <c r="FF93" s="122"/>
      <c r="FG93" s="122"/>
      <c r="FH93" s="122"/>
      <c r="FI93" s="122"/>
      <c r="FJ93" s="122"/>
      <c r="FK93" s="122"/>
      <c r="FL93" s="122"/>
      <c r="FM93" s="122"/>
      <c r="FN93" s="122"/>
      <c r="FO93" s="122"/>
      <c r="FP93" s="122"/>
      <c r="FQ93" s="122"/>
      <c r="FR93" s="122"/>
      <c r="FS93" s="122"/>
      <c r="FT93" s="122"/>
      <c r="FU93" s="122"/>
      <c r="FV93" s="122"/>
      <c r="FW93" s="122"/>
      <c r="FX93" s="122"/>
      <c r="FY93" s="122"/>
      <c r="FZ93" s="122"/>
      <c r="GA93" s="122"/>
      <c r="GB93" s="122"/>
      <c r="GC93" s="122"/>
      <c r="GD93" s="122"/>
      <c r="GE93" s="122"/>
      <c r="GF93" s="122"/>
      <c r="GG93" s="122"/>
      <c r="GH93" s="122"/>
      <c r="GI93" s="122"/>
      <c r="GJ93" s="122"/>
      <c r="GK93" s="122"/>
      <c r="GL93" s="122"/>
      <c r="GM93" s="122"/>
      <c r="GN93" s="122"/>
      <c r="GO93" s="122"/>
      <c r="GP93" s="122"/>
      <c r="GQ93" s="122"/>
      <c r="GR93" s="122"/>
      <c r="GS93" s="122"/>
      <c r="GT93" s="122"/>
      <c r="GU93" s="122"/>
      <c r="GV93" s="122"/>
      <c r="GW93" s="122"/>
      <c r="GX93" s="122"/>
      <c r="GY93" s="122"/>
      <c r="GZ93" s="122"/>
      <c r="HA93" s="122"/>
      <c r="HB93" s="122"/>
      <c r="HC93" s="122"/>
      <c r="HD93" s="122"/>
      <c r="HE93" s="122"/>
      <c r="HF93" s="122"/>
      <c r="HG93" s="122"/>
      <c r="HH93" s="122"/>
      <c r="HI93" s="122"/>
      <c r="HJ93" s="122"/>
      <c r="HK93" s="122"/>
      <c r="HL93" s="122"/>
      <c r="HM93" s="122"/>
      <c r="HN93" s="122"/>
      <c r="HO93" s="122"/>
      <c r="HP93" s="122"/>
      <c r="HQ93" s="122"/>
      <c r="HR93" s="122"/>
      <c r="HS93" s="122"/>
      <c r="HT93" s="122"/>
      <c r="HU93" s="122"/>
      <c r="HV93" s="122"/>
      <c r="HW93" s="122"/>
      <c r="HX93" s="122"/>
      <c r="HY93" s="122"/>
      <c r="HZ93" s="122"/>
      <c r="IA93" s="122"/>
      <c r="IB93" s="122"/>
      <c r="IC93" s="122"/>
      <c r="ID93" s="122"/>
      <c r="IE93" s="122"/>
      <c r="IF93" s="122"/>
      <c r="IG93" s="122"/>
      <c r="IH93" s="122"/>
      <c r="II93" s="122"/>
      <c r="IJ93" s="122"/>
      <c r="IK93" s="122"/>
      <c r="IL93" s="122"/>
      <c r="IM93" s="122"/>
      <c r="IN93" s="122"/>
      <c r="IO93" s="122"/>
      <c r="IP93" s="122"/>
      <c r="IQ93" s="122"/>
      <c r="IR93" s="122"/>
      <c r="IS93" s="122"/>
      <c r="IT93" s="122"/>
      <c r="IU93" s="122"/>
      <c r="IV93" s="122"/>
    </row>
    <row r="94" spans="1:256" s="152" customFormat="1" x14ac:dyDescent="0.25">
      <c r="A94" s="139"/>
      <c r="B94" s="121"/>
      <c r="C94" s="140"/>
      <c r="D94" s="141"/>
      <c r="E94" s="142"/>
      <c r="F94" s="148"/>
      <c r="G94" s="140"/>
      <c r="H94" s="140"/>
      <c r="I94" s="143"/>
      <c r="J94" s="140"/>
      <c r="K94" s="112"/>
      <c r="L94" s="140"/>
      <c r="M94" s="140"/>
      <c r="N94" s="140"/>
      <c r="O94" s="140"/>
      <c r="P94" s="144"/>
      <c r="Q94" s="141"/>
      <c r="R94" s="144"/>
      <c r="S94" s="121"/>
      <c r="T94" s="121"/>
    </row>
    <row r="95" spans="1:256" s="152" customFormat="1" x14ac:dyDescent="0.25">
      <c r="A95" s="139"/>
      <c r="B95" s="121"/>
      <c r="C95" s="140"/>
      <c r="D95" s="141"/>
      <c r="E95" s="142"/>
      <c r="F95" s="148"/>
      <c r="G95" s="140"/>
      <c r="H95" s="140"/>
      <c r="I95" s="143"/>
      <c r="J95" s="140"/>
      <c r="K95" s="112"/>
      <c r="L95" s="140"/>
      <c r="M95" s="140"/>
      <c r="N95" s="140"/>
      <c r="O95" s="140"/>
      <c r="P95" s="144"/>
      <c r="Q95" s="141"/>
      <c r="R95" s="144"/>
      <c r="S95" s="121"/>
      <c r="T95" s="121"/>
      <c r="U95" s="101"/>
      <c r="V95" s="101"/>
      <c r="W95" s="101"/>
      <c r="X95" s="101"/>
      <c r="Y95" s="101"/>
      <c r="Z95" s="101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  <c r="AK95" s="101"/>
      <c r="AL95" s="101"/>
      <c r="AM95" s="101"/>
      <c r="AN95" s="101"/>
      <c r="AO95" s="101"/>
      <c r="AP95" s="101"/>
      <c r="AQ95" s="101"/>
      <c r="AR95" s="101"/>
      <c r="AS95" s="101"/>
      <c r="AT95" s="101"/>
      <c r="AU95" s="101"/>
      <c r="AV95" s="101"/>
      <c r="AW95" s="101"/>
      <c r="AX95" s="101"/>
      <c r="AY95" s="101"/>
      <c r="AZ95" s="101"/>
      <c r="BA95" s="101"/>
      <c r="BB95" s="101"/>
      <c r="BC95" s="101"/>
      <c r="BD95" s="101"/>
      <c r="BE95" s="101"/>
      <c r="BF95" s="101"/>
      <c r="BG95" s="101"/>
      <c r="BH95" s="101"/>
      <c r="BI95" s="101"/>
      <c r="BJ95" s="101"/>
      <c r="BK95" s="101"/>
      <c r="BL95" s="101"/>
      <c r="BM95" s="101"/>
      <c r="BN95" s="101"/>
      <c r="BO95" s="101"/>
      <c r="BP95" s="101"/>
      <c r="BQ95" s="101"/>
      <c r="BR95" s="101"/>
      <c r="BS95" s="101"/>
      <c r="BT95" s="101"/>
      <c r="BU95" s="101"/>
      <c r="BV95" s="101"/>
      <c r="BW95" s="101"/>
      <c r="BX95" s="101"/>
      <c r="BY95" s="101"/>
      <c r="BZ95" s="101"/>
      <c r="CA95" s="101"/>
      <c r="CB95" s="101"/>
      <c r="CC95" s="101"/>
      <c r="CD95" s="101"/>
      <c r="CE95" s="101"/>
      <c r="CF95" s="101"/>
      <c r="CG95" s="101"/>
      <c r="CH95" s="101"/>
      <c r="CI95" s="101"/>
      <c r="CJ95" s="101"/>
      <c r="CK95" s="101"/>
      <c r="CL95" s="101"/>
      <c r="CM95" s="101"/>
      <c r="CN95" s="101"/>
      <c r="CO95" s="101"/>
      <c r="CP95" s="101"/>
      <c r="CQ95" s="101"/>
      <c r="CR95" s="101"/>
      <c r="CS95" s="101"/>
      <c r="CT95" s="101"/>
      <c r="CU95" s="101"/>
      <c r="CV95" s="101"/>
      <c r="CW95" s="101"/>
      <c r="CX95" s="101"/>
      <c r="CY95" s="101"/>
      <c r="CZ95" s="101"/>
      <c r="DA95" s="101"/>
      <c r="DB95" s="101"/>
      <c r="DC95" s="101"/>
      <c r="DD95" s="101"/>
      <c r="DE95" s="101"/>
      <c r="DF95" s="101"/>
      <c r="DG95" s="101"/>
      <c r="DH95" s="101"/>
      <c r="DI95" s="101"/>
      <c r="DJ95" s="101"/>
      <c r="DK95" s="101"/>
      <c r="DL95" s="101"/>
      <c r="DM95" s="101"/>
      <c r="DN95" s="101"/>
      <c r="DO95" s="101"/>
      <c r="DP95" s="101"/>
      <c r="DQ95" s="101"/>
      <c r="DR95" s="101"/>
      <c r="DS95" s="101"/>
      <c r="DT95" s="101"/>
      <c r="DU95" s="101"/>
      <c r="DV95" s="101"/>
      <c r="DW95" s="101"/>
      <c r="DX95" s="101"/>
      <c r="DY95" s="101"/>
      <c r="DZ95" s="101"/>
      <c r="EA95" s="101"/>
      <c r="EB95" s="101"/>
      <c r="EC95" s="101"/>
      <c r="ED95" s="101"/>
      <c r="EE95" s="101"/>
      <c r="EF95" s="101"/>
      <c r="EG95" s="101"/>
      <c r="EH95" s="101"/>
      <c r="EI95" s="101"/>
      <c r="EJ95" s="101"/>
      <c r="EK95" s="101"/>
      <c r="EL95" s="101"/>
      <c r="EM95" s="101"/>
      <c r="EN95" s="101"/>
      <c r="EO95" s="101"/>
      <c r="EP95" s="101"/>
      <c r="EQ95" s="101"/>
      <c r="ER95" s="101"/>
      <c r="ES95" s="101"/>
      <c r="ET95" s="101"/>
      <c r="EU95" s="101"/>
      <c r="EV95" s="101"/>
      <c r="EW95" s="101"/>
      <c r="EX95" s="101"/>
      <c r="EY95" s="101"/>
      <c r="EZ95" s="101"/>
      <c r="FA95" s="101"/>
      <c r="FB95" s="101"/>
      <c r="FC95" s="101"/>
      <c r="FD95" s="101"/>
      <c r="FE95" s="101"/>
      <c r="FF95" s="101"/>
      <c r="FG95" s="101"/>
      <c r="FH95" s="101"/>
      <c r="FI95" s="101"/>
      <c r="FJ95" s="101"/>
      <c r="FK95" s="101"/>
      <c r="FL95" s="101"/>
      <c r="FM95" s="101"/>
      <c r="FN95" s="101"/>
      <c r="FO95" s="101"/>
      <c r="FP95" s="101"/>
      <c r="FQ95" s="101"/>
      <c r="FR95" s="101"/>
      <c r="FS95" s="101"/>
      <c r="FT95" s="101"/>
      <c r="FU95" s="101"/>
      <c r="FV95" s="101"/>
      <c r="FW95" s="101"/>
      <c r="FX95" s="101"/>
      <c r="FY95" s="101"/>
      <c r="FZ95" s="101"/>
      <c r="GA95" s="101"/>
      <c r="GB95" s="101"/>
      <c r="GC95" s="101"/>
      <c r="GD95" s="101"/>
      <c r="GE95" s="101"/>
      <c r="GF95" s="101"/>
      <c r="GG95" s="101"/>
      <c r="GH95" s="101"/>
      <c r="GI95" s="101"/>
      <c r="GJ95" s="101"/>
      <c r="GK95" s="101"/>
      <c r="GL95" s="101"/>
      <c r="GM95" s="101"/>
      <c r="GN95" s="101"/>
      <c r="GO95" s="101"/>
      <c r="GP95" s="101"/>
      <c r="GQ95" s="101"/>
      <c r="GR95" s="101"/>
      <c r="GS95" s="101"/>
      <c r="GT95" s="101"/>
      <c r="GU95" s="101"/>
      <c r="GV95" s="101"/>
      <c r="GW95" s="101"/>
      <c r="GX95" s="101"/>
      <c r="GY95" s="101"/>
      <c r="GZ95" s="101"/>
      <c r="HA95" s="101"/>
      <c r="HB95" s="101"/>
      <c r="HC95" s="101"/>
      <c r="HD95" s="101"/>
      <c r="HE95" s="101"/>
      <c r="HF95" s="101"/>
      <c r="HG95" s="101"/>
      <c r="HH95" s="101"/>
      <c r="HI95" s="101"/>
      <c r="HJ95" s="101"/>
      <c r="HK95" s="101"/>
      <c r="HL95" s="101"/>
      <c r="HM95" s="101"/>
      <c r="HN95" s="101"/>
      <c r="HO95" s="101"/>
      <c r="HP95" s="101"/>
      <c r="HQ95" s="101"/>
      <c r="HR95" s="101"/>
      <c r="HS95" s="101"/>
      <c r="HT95" s="101"/>
      <c r="HU95" s="101"/>
      <c r="HV95" s="101"/>
      <c r="HW95" s="101"/>
      <c r="HX95" s="101"/>
      <c r="HY95" s="101"/>
      <c r="HZ95" s="101"/>
      <c r="IA95" s="101"/>
      <c r="IB95" s="101"/>
      <c r="IC95" s="101"/>
      <c r="ID95" s="101"/>
      <c r="IE95" s="101"/>
      <c r="IF95" s="101"/>
      <c r="IG95" s="101"/>
      <c r="IH95" s="101"/>
      <c r="II95" s="101"/>
      <c r="IJ95" s="101"/>
      <c r="IK95" s="101"/>
      <c r="IL95" s="101"/>
      <c r="IM95" s="101"/>
      <c r="IN95" s="101"/>
      <c r="IO95" s="101"/>
      <c r="IP95" s="101"/>
      <c r="IQ95" s="101"/>
      <c r="IR95" s="101"/>
      <c r="IS95" s="101"/>
      <c r="IT95" s="101"/>
      <c r="IU95" s="101"/>
      <c r="IV95" s="101"/>
    </row>
    <row r="96" spans="1:256" s="122" customFormat="1" x14ac:dyDescent="0.25">
      <c r="A96" s="139"/>
      <c r="B96" s="121"/>
      <c r="C96" s="140"/>
      <c r="D96" s="141"/>
      <c r="E96" s="142"/>
      <c r="F96" s="148"/>
      <c r="G96" s="140"/>
      <c r="H96" s="140"/>
      <c r="I96" s="143"/>
      <c r="J96" s="140"/>
      <c r="K96" s="112"/>
      <c r="L96" s="140"/>
      <c r="M96" s="140"/>
      <c r="N96" s="140"/>
      <c r="O96" s="140"/>
      <c r="P96" s="144"/>
      <c r="Q96" s="141"/>
      <c r="R96" s="144"/>
      <c r="S96" s="121"/>
      <c r="T96" s="121"/>
      <c r="U96" s="100"/>
      <c r="V96" s="100"/>
      <c r="W96" s="100"/>
      <c r="X96" s="100"/>
      <c r="Y96" s="100"/>
      <c r="Z96" s="100"/>
      <c r="AA96" s="100"/>
      <c r="AB96" s="100"/>
      <c r="AC96" s="100"/>
      <c r="AD96" s="100"/>
      <c r="AE96" s="100"/>
      <c r="AF96" s="100"/>
      <c r="AG96" s="100"/>
      <c r="AH96" s="100"/>
      <c r="AI96" s="100"/>
      <c r="AJ96" s="100"/>
      <c r="AK96" s="100"/>
      <c r="AL96" s="100"/>
      <c r="AM96" s="100"/>
      <c r="AN96" s="100"/>
      <c r="AO96" s="100"/>
      <c r="AP96" s="100"/>
      <c r="AQ96" s="100"/>
      <c r="AR96" s="100"/>
      <c r="AS96" s="100"/>
      <c r="AT96" s="100"/>
      <c r="AU96" s="100"/>
      <c r="AV96" s="100"/>
      <c r="AW96" s="100"/>
      <c r="AX96" s="100"/>
      <c r="AY96" s="100"/>
      <c r="AZ96" s="100"/>
      <c r="BA96" s="100"/>
      <c r="BB96" s="100"/>
      <c r="BC96" s="100"/>
      <c r="BD96" s="100"/>
      <c r="BE96" s="100"/>
      <c r="BF96" s="100"/>
      <c r="BG96" s="100"/>
      <c r="BH96" s="100"/>
      <c r="BI96" s="100"/>
      <c r="BJ96" s="100"/>
      <c r="BK96" s="100"/>
      <c r="BL96" s="100"/>
      <c r="BM96" s="100"/>
      <c r="BN96" s="100"/>
      <c r="BO96" s="100"/>
      <c r="BP96" s="100"/>
      <c r="BQ96" s="100"/>
      <c r="BR96" s="100"/>
      <c r="BS96" s="100"/>
      <c r="BT96" s="100"/>
      <c r="BU96" s="100"/>
      <c r="BV96" s="100"/>
      <c r="BW96" s="100"/>
      <c r="BX96" s="100"/>
      <c r="BY96" s="100"/>
      <c r="BZ96" s="100"/>
      <c r="CA96" s="100"/>
      <c r="CB96" s="100"/>
      <c r="CC96" s="100"/>
      <c r="CD96" s="100"/>
      <c r="CE96" s="100"/>
      <c r="CF96" s="100"/>
      <c r="CG96" s="100"/>
      <c r="CH96" s="100"/>
      <c r="CI96" s="100"/>
      <c r="CJ96" s="100"/>
      <c r="CK96" s="100"/>
      <c r="CL96" s="100"/>
      <c r="CM96" s="100"/>
      <c r="CN96" s="100"/>
      <c r="CO96" s="100"/>
      <c r="CP96" s="100"/>
      <c r="CQ96" s="100"/>
      <c r="CR96" s="100"/>
      <c r="CS96" s="100"/>
      <c r="CT96" s="100"/>
      <c r="CU96" s="100"/>
      <c r="CV96" s="100"/>
      <c r="CW96" s="100"/>
      <c r="CX96" s="100"/>
      <c r="CY96" s="100"/>
      <c r="CZ96" s="100"/>
      <c r="DA96" s="100"/>
      <c r="DB96" s="100"/>
      <c r="DC96" s="100"/>
      <c r="DD96" s="100"/>
      <c r="DE96" s="100"/>
      <c r="DF96" s="100"/>
      <c r="DG96" s="100"/>
      <c r="DH96" s="100"/>
      <c r="DI96" s="100"/>
      <c r="DJ96" s="100"/>
      <c r="DK96" s="100"/>
      <c r="DL96" s="100"/>
      <c r="DM96" s="100"/>
      <c r="DN96" s="100"/>
      <c r="DO96" s="100"/>
      <c r="DP96" s="100"/>
      <c r="DQ96" s="100"/>
      <c r="DR96" s="100"/>
      <c r="DS96" s="100"/>
      <c r="DT96" s="100"/>
      <c r="DU96" s="100"/>
      <c r="DV96" s="100"/>
      <c r="DW96" s="100"/>
      <c r="DX96" s="100"/>
      <c r="DY96" s="100"/>
      <c r="DZ96" s="100"/>
      <c r="EA96" s="100"/>
      <c r="EB96" s="100"/>
      <c r="EC96" s="100"/>
      <c r="ED96" s="100"/>
      <c r="EE96" s="100"/>
      <c r="EF96" s="100"/>
      <c r="EG96" s="100"/>
      <c r="EH96" s="100"/>
      <c r="EI96" s="100"/>
      <c r="EJ96" s="100"/>
      <c r="EK96" s="100"/>
      <c r="EL96" s="100"/>
      <c r="EM96" s="100"/>
      <c r="EN96" s="100"/>
      <c r="EO96" s="100"/>
      <c r="EP96" s="100"/>
      <c r="EQ96" s="100"/>
      <c r="ER96" s="100"/>
      <c r="ES96" s="100"/>
      <c r="ET96" s="100"/>
      <c r="EU96" s="100"/>
      <c r="EV96" s="100"/>
      <c r="EW96" s="100"/>
      <c r="EX96" s="100"/>
      <c r="EY96" s="100"/>
      <c r="EZ96" s="100"/>
      <c r="FA96" s="100"/>
      <c r="FB96" s="100"/>
      <c r="FC96" s="100"/>
      <c r="FD96" s="100"/>
      <c r="FE96" s="100"/>
      <c r="FF96" s="100"/>
      <c r="FG96" s="100"/>
      <c r="FH96" s="100"/>
      <c r="FI96" s="100"/>
      <c r="FJ96" s="100"/>
      <c r="FK96" s="100"/>
      <c r="FL96" s="100"/>
      <c r="FM96" s="100"/>
      <c r="FN96" s="100"/>
      <c r="FO96" s="100"/>
      <c r="FP96" s="100"/>
      <c r="FQ96" s="100"/>
      <c r="FR96" s="100"/>
      <c r="FS96" s="100"/>
      <c r="FT96" s="100"/>
      <c r="FU96" s="100"/>
      <c r="FV96" s="100"/>
      <c r="FW96" s="100"/>
      <c r="FX96" s="100"/>
      <c r="FY96" s="100"/>
      <c r="FZ96" s="100"/>
      <c r="GA96" s="100"/>
      <c r="GB96" s="100"/>
      <c r="GC96" s="100"/>
      <c r="GD96" s="100"/>
      <c r="GE96" s="100"/>
      <c r="GF96" s="100"/>
      <c r="GG96" s="100"/>
      <c r="GH96" s="100"/>
      <c r="GI96" s="100"/>
      <c r="GJ96" s="100"/>
      <c r="GK96" s="100"/>
      <c r="GL96" s="100"/>
      <c r="GM96" s="100"/>
      <c r="GN96" s="100"/>
      <c r="GO96" s="100"/>
      <c r="GP96" s="100"/>
      <c r="GQ96" s="100"/>
      <c r="GR96" s="100"/>
      <c r="GS96" s="100"/>
      <c r="GT96" s="100"/>
      <c r="GU96" s="100"/>
      <c r="GV96" s="100"/>
      <c r="GW96" s="100"/>
      <c r="GX96" s="100"/>
      <c r="GY96" s="100"/>
      <c r="GZ96" s="100"/>
      <c r="HA96" s="100"/>
      <c r="HB96" s="100"/>
      <c r="HC96" s="100"/>
      <c r="HD96" s="100"/>
      <c r="HE96" s="100"/>
      <c r="HF96" s="100"/>
      <c r="HG96" s="100"/>
      <c r="HH96" s="100"/>
      <c r="HI96" s="100"/>
      <c r="HJ96" s="100"/>
      <c r="HK96" s="100"/>
      <c r="HL96" s="100"/>
      <c r="HM96" s="100"/>
      <c r="HN96" s="100"/>
      <c r="HO96" s="100"/>
      <c r="HP96" s="100"/>
      <c r="HQ96" s="100"/>
      <c r="HR96" s="100"/>
      <c r="HS96" s="100"/>
      <c r="HT96" s="100"/>
      <c r="HU96" s="100"/>
      <c r="HV96" s="100"/>
      <c r="HW96" s="100"/>
      <c r="HX96" s="100"/>
      <c r="HY96" s="100"/>
      <c r="HZ96" s="100"/>
      <c r="IA96" s="100"/>
      <c r="IB96" s="100"/>
      <c r="IC96" s="100"/>
      <c r="ID96" s="100"/>
      <c r="IE96" s="100"/>
      <c r="IF96" s="100"/>
      <c r="IG96" s="100"/>
      <c r="IH96" s="100"/>
      <c r="II96" s="100"/>
      <c r="IJ96" s="100"/>
      <c r="IK96" s="100"/>
      <c r="IL96" s="100"/>
      <c r="IM96" s="100"/>
      <c r="IN96" s="100"/>
      <c r="IO96" s="100"/>
      <c r="IP96" s="100"/>
      <c r="IQ96" s="100"/>
      <c r="IR96" s="100"/>
      <c r="IS96" s="100"/>
      <c r="IT96" s="100"/>
      <c r="IU96" s="100"/>
      <c r="IV96" s="100"/>
    </row>
    <row r="97" spans="1:256" s="100" customFormat="1" ht="15" customHeight="1" x14ac:dyDescent="0.25">
      <c r="A97" s="139"/>
      <c r="B97" s="121"/>
      <c r="C97" s="140"/>
      <c r="D97" s="141"/>
      <c r="E97" s="142"/>
      <c r="F97" s="148"/>
      <c r="G97" s="140"/>
      <c r="H97" s="140"/>
      <c r="I97" s="143"/>
      <c r="J97" s="140"/>
      <c r="K97" s="112"/>
      <c r="L97" s="140"/>
      <c r="M97" s="140"/>
      <c r="N97" s="140"/>
      <c r="O97" s="140"/>
      <c r="P97" s="144"/>
      <c r="Q97" s="141"/>
      <c r="R97" s="144"/>
      <c r="S97" s="121"/>
      <c r="T97" s="121"/>
      <c r="U97" s="152"/>
      <c r="V97" s="152"/>
      <c r="W97" s="152"/>
      <c r="X97" s="152"/>
      <c r="Y97" s="152"/>
      <c r="Z97" s="152"/>
      <c r="AA97" s="152"/>
      <c r="AB97" s="152"/>
      <c r="AC97" s="152"/>
      <c r="AD97" s="152"/>
      <c r="AE97" s="152"/>
      <c r="AF97" s="152"/>
      <c r="AG97" s="152"/>
      <c r="AH97" s="152"/>
      <c r="AI97" s="152"/>
      <c r="AJ97" s="152"/>
      <c r="AK97" s="152"/>
      <c r="AL97" s="152"/>
      <c r="AM97" s="152"/>
      <c r="AN97" s="152"/>
      <c r="AO97" s="152"/>
      <c r="AP97" s="152"/>
      <c r="AQ97" s="152"/>
      <c r="AR97" s="152"/>
      <c r="AS97" s="152"/>
      <c r="AT97" s="152"/>
      <c r="AU97" s="152"/>
      <c r="AV97" s="152"/>
      <c r="AW97" s="152"/>
      <c r="AX97" s="152"/>
      <c r="AY97" s="152"/>
      <c r="AZ97" s="152"/>
      <c r="BA97" s="152"/>
      <c r="BB97" s="152"/>
      <c r="BC97" s="152"/>
      <c r="BD97" s="152"/>
      <c r="BE97" s="152"/>
      <c r="BF97" s="152"/>
      <c r="BG97" s="152"/>
      <c r="BH97" s="152"/>
      <c r="BI97" s="152"/>
      <c r="BJ97" s="152"/>
      <c r="BK97" s="152"/>
      <c r="BL97" s="152"/>
      <c r="BM97" s="152"/>
      <c r="BN97" s="152"/>
      <c r="BO97" s="152"/>
      <c r="BP97" s="152"/>
      <c r="BQ97" s="152"/>
      <c r="BR97" s="152"/>
      <c r="BS97" s="152"/>
      <c r="BT97" s="152"/>
      <c r="BU97" s="152"/>
      <c r="BV97" s="152"/>
      <c r="BW97" s="152"/>
      <c r="BX97" s="152"/>
      <c r="BY97" s="152"/>
      <c r="BZ97" s="152"/>
      <c r="CA97" s="152"/>
      <c r="CB97" s="152"/>
      <c r="CC97" s="152"/>
      <c r="CD97" s="152"/>
      <c r="CE97" s="152"/>
      <c r="CF97" s="152"/>
      <c r="CG97" s="152"/>
      <c r="CH97" s="152"/>
      <c r="CI97" s="152"/>
      <c r="CJ97" s="152"/>
      <c r="CK97" s="152"/>
      <c r="CL97" s="152"/>
      <c r="CM97" s="152"/>
      <c r="CN97" s="152"/>
      <c r="CO97" s="152"/>
      <c r="CP97" s="152"/>
      <c r="CQ97" s="152"/>
      <c r="CR97" s="152"/>
      <c r="CS97" s="152"/>
      <c r="CT97" s="152"/>
      <c r="CU97" s="152"/>
      <c r="CV97" s="152"/>
      <c r="CW97" s="152"/>
      <c r="CX97" s="152"/>
      <c r="CY97" s="152"/>
      <c r="CZ97" s="152"/>
      <c r="DA97" s="152"/>
      <c r="DB97" s="152"/>
      <c r="DC97" s="152"/>
      <c r="DD97" s="152"/>
      <c r="DE97" s="152"/>
      <c r="DF97" s="152"/>
      <c r="DG97" s="152"/>
      <c r="DH97" s="152"/>
      <c r="DI97" s="152"/>
      <c r="DJ97" s="152"/>
      <c r="DK97" s="152"/>
      <c r="DL97" s="152"/>
      <c r="DM97" s="152"/>
      <c r="DN97" s="152"/>
      <c r="DO97" s="152"/>
      <c r="DP97" s="152"/>
      <c r="DQ97" s="152"/>
      <c r="DR97" s="152"/>
      <c r="DS97" s="152"/>
      <c r="DT97" s="152"/>
      <c r="DU97" s="152"/>
      <c r="DV97" s="152"/>
      <c r="DW97" s="152"/>
      <c r="DX97" s="152"/>
      <c r="DY97" s="152"/>
      <c r="DZ97" s="152"/>
      <c r="EA97" s="152"/>
      <c r="EB97" s="152"/>
      <c r="EC97" s="152"/>
      <c r="ED97" s="152"/>
      <c r="EE97" s="152"/>
      <c r="EF97" s="152"/>
      <c r="EG97" s="152"/>
      <c r="EH97" s="152"/>
      <c r="EI97" s="152"/>
      <c r="EJ97" s="152"/>
      <c r="EK97" s="152"/>
      <c r="EL97" s="152"/>
      <c r="EM97" s="152"/>
      <c r="EN97" s="152"/>
      <c r="EO97" s="152"/>
      <c r="EP97" s="152"/>
      <c r="EQ97" s="152"/>
      <c r="ER97" s="152"/>
      <c r="ES97" s="152"/>
      <c r="ET97" s="152"/>
      <c r="EU97" s="152"/>
      <c r="EV97" s="152"/>
      <c r="EW97" s="152"/>
      <c r="EX97" s="152"/>
      <c r="EY97" s="152"/>
      <c r="EZ97" s="152"/>
      <c r="FA97" s="152"/>
      <c r="FB97" s="152"/>
      <c r="FC97" s="152"/>
      <c r="FD97" s="152"/>
      <c r="FE97" s="152"/>
      <c r="FF97" s="152"/>
      <c r="FG97" s="152"/>
      <c r="FH97" s="152"/>
      <c r="FI97" s="152"/>
      <c r="FJ97" s="152"/>
      <c r="FK97" s="152"/>
      <c r="FL97" s="152"/>
      <c r="FM97" s="152"/>
      <c r="FN97" s="152"/>
      <c r="FO97" s="152"/>
      <c r="FP97" s="152"/>
      <c r="FQ97" s="152"/>
      <c r="FR97" s="152"/>
      <c r="FS97" s="152"/>
      <c r="FT97" s="152"/>
      <c r="FU97" s="152"/>
      <c r="FV97" s="152"/>
      <c r="FW97" s="152"/>
      <c r="FX97" s="152"/>
      <c r="FY97" s="152"/>
      <c r="FZ97" s="152"/>
      <c r="GA97" s="152"/>
      <c r="GB97" s="152"/>
      <c r="GC97" s="152"/>
      <c r="GD97" s="152"/>
      <c r="GE97" s="152"/>
      <c r="GF97" s="152"/>
      <c r="GG97" s="152"/>
      <c r="GH97" s="152"/>
      <c r="GI97" s="152"/>
      <c r="GJ97" s="152"/>
      <c r="GK97" s="152"/>
      <c r="GL97" s="152"/>
      <c r="GM97" s="152"/>
      <c r="GN97" s="152"/>
      <c r="GO97" s="152"/>
      <c r="GP97" s="152"/>
      <c r="GQ97" s="152"/>
      <c r="GR97" s="152"/>
      <c r="GS97" s="152"/>
      <c r="GT97" s="152"/>
      <c r="GU97" s="152"/>
      <c r="GV97" s="152"/>
      <c r="GW97" s="152"/>
      <c r="GX97" s="152"/>
      <c r="GY97" s="152"/>
      <c r="GZ97" s="152"/>
      <c r="HA97" s="152"/>
      <c r="HB97" s="152"/>
      <c r="HC97" s="152"/>
      <c r="HD97" s="152"/>
      <c r="HE97" s="152"/>
      <c r="HF97" s="152"/>
      <c r="HG97" s="152"/>
      <c r="HH97" s="152"/>
      <c r="HI97" s="152"/>
      <c r="HJ97" s="152"/>
      <c r="HK97" s="152"/>
      <c r="HL97" s="152"/>
      <c r="HM97" s="152"/>
      <c r="HN97" s="152"/>
      <c r="HO97" s="152"/>
      <c r="HP97" s="152"/>
      <c r="HQ97" s="152"/>
      <c r="HR97" s="152"/>
      <c r="HS97" s="152"/>
      <c r="HT97" s="152"/>
      <c r="HU97" s="152"/>
      <c r="HV97" s="152"/>
      <c r="HW97" s="152"/>
      <c r="HX97" s="152"/>
      <c r="HY97" s="152"/>
      <c r="HZ97" s="152"/>
      <c r="IA97" s="152"/>
      <c r="IB97" s="152"/>
      <c r="IC97" s="152"/>
      <c r="ID97" s="152"/>
      <c r="IE97" s="152"/>
      <c r="IF97" s="152"/>
      <c r="IG97" s="152"/>
      <c r="IH97" s="152"/>
      <c r="II97" s="152"/>
      <c r="IJ97" s="152"/>
      <c r="IK97" s="152"/>
      <c r="IL97" s="152"/>
      <c r="IM97" s="152"/>
      <c r="IN97" s="152"/>
      <c r="IO97" s="152"/>
      <c r="IP97" s="152"/>
      <c r="IQ97" s="152"/>
      <c r="IR97" s="152"/>
      <c r="IS97" s="152"/>
      <c r="IT97" s="152"/>
      <c r="IU97" s="152"/>
      <c r="IV97" s="152"/>
    </row>
    <row r="98" spans="1:256" s="152" customFormat="1" x14ac:dyDescent="0.25">
      <c r="A98" s="124"/>
      <c r="B98" s="115"/>
      <c r="C98" s="125"/>
      <c r="D98" s="123"/>
      <c r="E98" s="119"/>
      <c r="F98" s="116"/>
      <c r="G98" s="118"/>
      <c r="H98" s="116"/>
      <c r="I98" s="116"/>
      <c r="J98" s="116"/>
      <c r="K98" s="116"/>
      <c r="L98" s="125"/>
      <c r="M98" s="131"/>
      <c r="N98" s="131"/>
      <c r="O98" s="131"/>
      <c r="P98" s="118"/>
      <c r="Q98" s="123"/>
      <c r="R98" s="118"/>
      <c r="S98" s="115"/>
      <c r="T98" s="115"/>
    </row>
    <row r="99" spans="1:256" s="152" customFormat="1" x14ac:dyDescent="0.25">
      <c r="A99" s="124"/>
      <c r="B99" s="115"/>
      <c r="C99" s="125"/>
      <c r="D99" s="123"/>
      <c r="E99" s="119"/>
      <c r="F99" s="116"/>
      <c r="G99" s="118"/>
      <c r="H99" s="116"/>
      <c r="I99" s="116"/>
      <c r="J99" s="116"/>
      <c r="K99" s="116"/>
      <c r="L99" s="125"/>
      <c r="M99" s="131"/>
      <c r="N99" s="131"/>
      <c r="O99" s="131"/>
      <c r="P99" s="118"/>
      <c r="Q99" s="123"/>
      <c r="R99" s="118"/>
      <c r="S99" s="115"/>
      <c r="T99" s="115"/>
    </row>
    <row r="100" spans="1:256" s="152" customFormat="1" x14ac:dyDescent="0.25">
      <c r="A100" s="124"/>
      <c r="B100" s="115"/>
      <c r="C100" s="125"/>
      <c r="D100" s="123"/>
      <c r="E100" s="119"/>
      <c r="F100" s="116"/>
      <c r="G100" s="118"/>
      <c r="H100" s="116"/>
      <c r="I100" s="116"/>
      <c r="J100" s="116"/>
      <c r="K100" s="116"/>
      <c r="L100" s="125"/>
      <c r="M100" s="131"/>
      <c r="N100" s="131"/>
      <c r="O100" s="131"/>
      <c r="P100" s="118"/>
      <c r="Q100" s="123"/>
      <c r="R100" s="118"/>
      <c r="S100" s="115"/>
      <c r="T100" s="115"/>
    </row>
    <row r="101" spans="1:256" s="122" customFormat="1" x14ac:dyDescent="0.25">
      <c r="A101" s="151"/>
      <c r="B101" s="131"/>
      <c r="C101" s="131"/>
      <c r="F101" s="131"/>
      <c r="G101" s="131"/>
      <c r="H101" s="131"/>
      <c r="I101" s="131"/>
      <c r="J101" s="131"/>
      <c r="K101" s="131"/>
      <c r="L101" s="131"/>
      <c r="P101" s="131"/>
      <c r="U101" s="152"/>
      <c r="V101" s="152"/>
      <c r="W101" s="152"/>
      <c r="X101" s="152"/>
      <c r="Y101" s="152"/>
      <c r="Z101" s="152"/>
      <c r="AA101" s="152"/>
      <c r="AB101" s="152"/>
      <c r="AC101" s="152"/>
      <c r="AD101" s="152"/>
      <c r="AE101" s="152"/>
      <c r="AF101" s="152"/>
      <c r="AG101" s="152"/>
      <c r="AH101" s="152"/>
      <c r="AI101" s="152"/>
      <c r="AJ101" s="152"/>
      <c r="AK101" s="152"/>
      <c r="AL101" s="152"/>
      <c r="AM101" s="152"/>
      <c r="AN101" s="152"/>
      <c r="AO101" s="152"/>
      <c r="AP101" s="152"/>
      <c r="AQ101" s="152"/>
      <c r="AR101" s="152"/>
      <c r="AS101" s="152"/>
      <c r="AT101" s="152"/>
      <c r="AU101" s="152"/>
      <c r="AV101" s="152"/>
      <c r="AW101" s="152"/>
      <c r="AX101" s="152"/>
      <c r="AY101" s="152"/>
      <c r="AZ101" s="152"/>
      <c r="BA101" s="152"/>
      <c r="BB101" s="152"/>
      <c r="BC101" s="152"/>
      <c r="BD101" s="152"/>
      <c r="BE101" s="152"/>
      <c r="BF101" s="152"/>
      <c r="BG101" s="152"/>
      <c r="BH101" s="152"/>
      <c r="BI101" s="152"/>
      <c r="BJ101" s="152"/>
      <c r="BK101" s="152"/>
      <c r="BL101" s="152"/>
      <c r="BM101" s="152"/>
      <c r="BN101" s="152"/>
      <c r="BO101" s="152"/>
      <c r="BP101" s="152"/>
      <c r="BQ101" s="152"/>
      <c r="BR101" s="152"/>
      <c r="BS101" s="152"/>
      <c r="BT101" s="152"/>
      <c r="BU101" s="152"/>
      <c r="BV101" s="152"/>
      <c r="BW101" s="152"/>
      <c r="BX101" s="152"/>
      <c r="BY101" s="152"/>
      <c r="BZ101" s="152"/>
      <c r="CA101" s="152"/>
      <c r="CB101" s="152"/>
      <c r="CC101" s="152"/>
      <c r="CD101" s="152"/>
      <c r="CE101" s="152"/>
      <c r="CF101" s="152"/>
      <c r="CG101" s="152"/>
      <c r="CH101" s="152"/>
      <c r="CI101" s="152"/>
      <c r="CJ101" s="152"/>
      <c r="CK101" s="152"/>
      <c r="CL101" s="152"/>
      <c r="CM101" s="152"/>
      <c r="CN101" s="152"/>
      <c r="CO101" s="152"/>
      <c r="CP101" s="152"/>
      <c r="CQ101" s="152"/>
      <c r="CR101" s="152"/>
      <c r="CS101" s="152"/>
      <c r="CT101" s="152"/>
      <c r="CU101" s="152"/>
      <c r="CV101" s="152"/>
      <c r="CW101" s="152"/>
      <c r="CX101" s="152"/>
      <c r="CY101" s="152"/>
      <c r="CZ101" s="152"/>
      <c r="DA101" s="152"/>
      <c r="DB101" s="152"/>
      <c r="DC101" s="152"/>
      <c r="DD101" s="152"/>
      <c r="DE101" s="152"/>
      <c r="DF101" s="152"/>
      <c r="DG101" s="152"/>
      <c r="DH101" s="152"/>
      <c r="DI101" s="152"/>
      <c r="DJ101" s="152"/>
      <c r="DK101" s="152"/>
      <c r="DL101" s="152"/>
      <c r="DM101" s="152"/>
      <c r="DN101" s="152"/>
      <c r="DO101" s="152"/>
      <c r="DP101" s="152"/>
      <c r="DQ101" s="152"/>
      <c r="DR101" s="152"/>
      <c r="DS101" s="152"/>
      <c r="DT101" s="152"/>
      <c r="DU101" s="152"/>
      <c r="DV101" s="152"/>
      <c r="DW101" s="152"/>
      <c r="DX101" s="152"/>
      <c r="DY101" s="152"/>
      <c r="DZ101" s="152"/>
      <c r="EA101" s="152"/>
      <c r="EB101" s="152"/>
      <c r="EC101" s="152"/>
      <c r="ED101" s="152"/>
      <c r="EE101" s="152"/>
      <c r="EF101" s="152"/>
      <c r="EG101" s="152"/>
      <c r="EH101" s="152"/>
      <c r="EI101" s="152"/>
      <c r="EJ101" s="152"/>
      <c r="EK101" s="152"/>
      <c r="EL101" s="152"/>
      <c r="EM101" s="152"/>
      <c r="EN101" s="152"/>
      <c r="EO101" s="152"/>
      <c r="EP101" s="152"/>
      <c r="EQ101" s="152"/>
      <c r="ER101" s="152"/>
      <c r="ES101" s="152"/>
      <c r="ET101" s="152"/>
      <c r="EU101" s="152"/>
      <c r="EV101" s="152"/>
      <c r="EW101" s="152"/>
      <c r="EX101" s="152"/>
      <c r="EY101" s="152"/>
      <c r="EZ101" s="152"/>
      <c r="FA101" s="152"/>
      <c r="FB101" s="152"/>
      <c r="FC101" s="152"/>
      <c r="FD101" s="152"/>
      <c r="FE101" s="152"/>
      <c r="FF101" s="152"/>
      <c r="FG101" s="152"/>
      <c r="FH101" s="152"/>
      <c r="FI101" s="152"/>
      <c r="FJ101" s="152"/>
      <c r="FK101" s="152"/>
      <c r="FL101" s="152"/>
      <c r="FM101" s="152"/>
      <c r="FN101" s="152"/>
      <c r="FO101" s="152"/>
      <c r="FP101" s="152"/>
      <c r="FQ101" s="152"/>
      <c r="FR101" s="152"/>
      <c r="FS101" s="152"/>
      <c r="FT101" s="152"/>
      <c r="FU101" s="152"/>
      <c r="FV101" s="152"/>
      <c r="FW101" s="152"/>
      <c r="FX101" s="152"/>
      <c r="FY101" s="152"/>
      <c r="FZ101" s="152"/>
      <c r="GA101" s="152"/>
      <c r="GB101" s="152"/>
      <c r="GC101" s="152"/>
      <c r="GD101" s="152"/>
      <c r="GE101" s="152"/>
      <c r="GF101" s="152"/>
      <c r="GG101" s="152"/>
      <c r="GH101" s="152"/>
      <c r="GI101" s="152"/>
      <c r="GJ101" s="152"/>
      <c r="GK101" s="152"/>
      <c r="GL101" s="152"/>
      <c r="GM101" s="152"/>
      <c r="GN101" s="152"/>
      <c r="GO101" s="152"/>
      <c r="GP101" s="152"/>
      <c r="GQ101" s="152"/>
      <c r="GR101" s="152"/>
      <c r="GS101" s="152"/>
      <c r="GT101" s="152"/>
      <c r="GU101" s="152"/>
      <c r="GV101" s="152"/>
      <c r="GW101" s="152"/>
      <c r="GX101" s="152"/>
      <c r="GY101" s="152"/>
      <c r="GZ101" s="152"/>
      <c r="HA101" s="152"/>
      <c r="HB101" s="152"/>
      <c r="HC101" s="152"/>
      <c r="HD101" s="152"/>
      <c r="HE101" s="152"/>
      <c r="HF101" s="152"/>
      <c r="HG101" s="152"/>
      <c r="HH101" s="152"/>
      <c r="HI101" s="152"/>
      <c r="HJ101" s="152"/>
      <c r="HK101" s="152"/>
      <c r="HL101" s="152"/>
      <c r="HM101" s="152"/>
      <c r="HN101" s="152"/>
      <c r="HO101" s="152"/>
      <c r="HP101" s="152"/>
      <c r="HQ101" s="152"/>
      <c r="HR101" s="152"/>
      <c r="HS101" s="152"/>
      <c r="HT101" s="152"/>
      <c r="HU101" s="152"/>
      <c r="HV101" s="152"/>
      <c r="HW101" s="152"/>
      <c r="HX101" s="152"/>
      <c r="HY101" s="152"/>
      <c r="HZ101" s="152"/>
      <c r="IA101" s="152"/>
      <c r="IB101" s="152"/>
      <c r="IC101" s="152"/>
      <c r="ID101" s="152"/>
      <c r="IE101" s="152"/>
      <c r="IF101" s="152"/>
      <c r="IG101" s="152"/>
      <c r="IH101" s="152"/>
      <c r="II101" s="152"/>
      <c r="IJ101" s="152"/>
      <c r="IK101" s="152"/>
      <c r="IL101" s="152"/>
      <c r="IM101" s="152"/>
      <c r="IN101" s="152"/>
      <c r="IO101" s="152"/>
      <c r="IP101" s="152"/>
      <c r="IQ101" s="152"/>
      <c r="IR101" s="152"/>
      <c r="IS101" s="152"/>
      <c r="IT101" s="152"/>
      <c r="IU101" s="152"/>
      <c r="IV101" s="152"/>
    </row>
    <row r="102" spans="1:256" s="122" customFormat="1" x14ac:dyDescent="0.25">
      <c r="A102" s="133"/>
      <c r="B102" s="120"/>
      <c r="C102" s="134"/>
      <c r="D102" s="153"/>
      <c r="E102" s="154"/>
      <c r="F102" s="138"/>
      <c r="G102" s="134"/>
      <c r="H102" s="134"/>
      <c r="I102" s="134"/>
      <c r="J102" s="138"/>
      <c r="K102" s="134"/>
      <c r="L102" s="134"/>
      <c r="M102" s="138"/>
      <c r="N102" s="138"/>
      <c r="O102" s="138"/>
      <c r="P102" s="138"/>
      <c r="Q102" s="153"/>
      <c r="R102" s="138"/>
      <c r="S102" s="120"/>
      <c r="T102" s="120"/>
      <c r="U102" s="152"/>
      <c r="V102" s="152"/>
      <c r="W102" s="152"/>
      <c r="X102" s="152"/>
      <c r="Y102" s="152"/>
      <c r="Z102" s="152"/>
      <c r="AA102" s="152"/>
      <c r="AB102" s="152"/>
      <c r="AC102" s="152"/>
      <c r="AD102" s="152"/>
      <c r="AE102" s="152"/>
      <c r="AF102" s="152"/>
      <c r="AG102" s="152"/>
      <c r="AH102" s="152"/>
      <c r="AI102" s="152"/>
      <c r="AJ102" s="152"/>
      <c r="AK102" s="152"/>
      <c r="AL102" s="152"/>
      <c r="AM102" s="152"/>
      <c r="AN102" s="152"/>
      <c r="AO102" s="152"/>
      <c r="AP102" s="152"/>
      <c r="AQ102" s="152"/>
      <c r="AR102" s="152"/>
      <c r="AS102" s="152"/>
      <c r="AT102" s="152"/>
      <c r="AU102" s="152"/>
      <c r="AV102" s="152"/>
      <c r="AW102" s="152"/>
      <c r="AX102" s="152"/>
      <c r="AY102" s="152"/>
      <c r="AZ102" s="152"/>
      <c r="BA102" s="152"/>
      <c r="BB102" s="152"/>
      <c r="BC102" s="152"/>
      <c r="BD102" s="152"/>
      <c r="BE102" s="152"/>
      <c r="BF102" s="152"/>
      <c r="BG102" s="152"/>
      <c r="BH102" s="152"/>
      <c r="BI102" s="152"/>
      <c r="BJ102" s="152"/>
      <c r="BK102" s="152"/>
      <c r="BL102" s="152"/>
      <c r="BM102" s="152"/>
      <c r="BN102" s="152"/>
      <c r="BO102" s="152"/>
      <c r="BP102" s="152"/>
      <c r="BQ102" s="152"/>
      <c r="BR102" s="152"/>
      <c r="BS102" s="152"/>
      <c r="BT102" s="152"/>
      <c r="BU102" s="152"/>
      <c r="BV102" s="152"/>
      <c r="BW102" s="152"/>
      <c r="BX102" s="152"/>
      <c r="BY102" s="152"/>
      <c r="BZ102" s="152"/>
      <c r="CA102" s="152"/>
      <c r="CB102" s="152"/>
      <c r="CC102" s="152"/>
      <c r="CD102" s="152"/>
      <c r="CE102" s="152"/>
      <c r="CF102" s="152"/>
      <c r="CG102" s="152"/>
      <c r="CH102" s="152"/>
      <c r="CI102" s="152"/>
      <c r="CJ102" s="152"/>
      <c r="CK102" s="152"/>
      <c r="CL102" s="152"/>
      <c r="CM102" s="152"/>
      <c r="CN102" s="152"/>
      <c r="CO102" s="152"/>
      <c r="CP102" s="152"/>
      <c r="CQ102" s="152"/>
      <c r="CR102" s="152"/>
      <c r="CS102" s="152"/>
      <c r="CT102" s="152"/>
      <c r="CU102" s="152"/>
      <c r="CV102" s="152"/>
      <c r="CW102" s="152"/>
      <c r="CX102" s="152"/>
      <c r="CY102" s="152"/>
      <c r="CZ102" s="152"/>
      <c r="DA102" s="152"/>
      <c r="DB102" s="152"/>
      <c r="DC102" s="152"/>
      <c r="DD102" s="152"/>
      <c r="DE102" s="152"/>
      <c r="DF102" s="152"/>
      <c r="DG102" s="152"/>
      <c r="DH102" s="152"/>
      <c r="DI102" s="152"/>
      <c r="DJ102" s="152"/>
      <c r="DK102" s="152"/>
      <c r="DL102" s="152"/>
      <c r="DM102" s="152"/>
      <c r="DN102" s="152"/>
      <c r="DO102" s="152"/>
      <c r="DP102" s="152"/>
      <c r="DQ102" s="152"/>
      <c r="DR102" s="152"/>
      <c r="DS102" s="152"/>
      <c r="DT102" s="152"/>
      <c r="DU102" s="152"/>
      <c r="DV102" s="152"/>
      <c r="DW102" s="152"/>
      <c r="DX102" s="152"/>
      <c r="DY102" s="152"/>
      <c r="DZ102" s="152"/>
      <c r="EA102" s="152"/>
      <c r="EB102" s="152"/>
      <c r="EC102" s="152"/>
      <c r="ED102" s="152"/>
      <c r="EE102" s="152"/>
      <c r="EF102" s="152"/>
      <c r="EG102" s="152"/>
      <c r="EH102" s="152"/>
      <c r="EI102" s="152"/>
      <c r="EJ102" s="152"/>
      <c r="EK102" s="152"/>
      <c r="EL102" s="152"/>
      <c r="EM102" s="152"/>
      <c r="EN102" s="152"/>
      <c r="EO102" s="152"/>
      <c r="EP102" s="152"/>
      <c r="EQ102" s="152"/>
      <c r="ER102" s="152"/>
      <c r="ES102" s="152"/>
      <c r="ET102" s="152"/>
      <c r="EU102" s="152"/>
      <c r="EV102" s="152"/>
      <c r="EW102" s="152"/>
      <c r="EX102" s="152"/>
      <c r="EY102" s="152"/>
      <c r="EZ102" s="152"/>
      <c r="FA102" s="152"/>
      <c r="FB102" s="152"/>
      <c r="FC102" s="152"/>
      <c r="FD102" s="152"/>
      <c r="FE102" s="152"/>
      <c r="FF102" s="152"/>
      <c r="FG102" s="152"/>
      <c r="FH102" s="152"/>
      <c r="FI102" s="152"/>
      <c r="FJ102" s="152"/>
      <c r="FK102" s="152"/>
      <c r="FL102" s="152"/>
      <c r="FM102" s="152"/>
      <c r="FN102" s="152"/>
      <c r="FO102" s="152"/>
      <c r="FP102" s="152"/>
      <c r="FQ102" s="152"/>
      <c r="FR102" s="152"/>
      <c r="FS102" s="152"/>
      <c r="FT102" s="152"/>
      <c r="FU102" s="152"/>
      <c r="FV102" s="152"/>
      <c r="FW102" s="152"/>
      <c r="FX102" s="152"/>
      <c r="FY102" s="152"/>
      <c r="FZ102" s="152"/>
      <c r="GA102" s="152"/>
      <c r="GB102" s="152"/>
      <c r="GC102" s="152"/>
      <c r="GD102" s="152"/>
      <c r="GE102" s="152"/>
      <c r="GF102" s="152"/>
      <c r="GG102" s="152"/>
      <c r="GH102" s="152"/>
      <c r="GI102" s="152"/>
      <c r="GJ102" s="152"/>
      <c r="GK102" s="152"/>
      <c r="GL102" s="152"/>
      <c r="GM102" s="152"/>
      <c r="GN102" s="152"/>
      <c r="GO102" s="152"/>
      <c r="GP102" s="152"/>
      <c r="GQ102" s="152"/>
      <c r="GR102" s="152"/>
      <c r="GS102" s="152"/>
      <c r="GT102" s="152"/>
      <c r="GU102" s="152"/>
      <c r="GV102" s="152"/>
      <c r="GW102" s="152"/>
      <c r="GX102" s="152"/>
      <c r="GY102" s="152"/>
      <c r="GZ102" s="152"/>
      <c r="HA102" s="152"/>
      <c r="HB102" s="152"/>
      <c r="HC102" s="152"/>
      <c r="HD102" s="152"/>
      <c r="HE102" s="152"/>
      <c r="HF102" s="152"/>
      <c r="HG102" s="152"/>
      <c r="HH102" s="152"/>
      <c r="HI102" s="152"/>
      <c r="HJ102" s="152"/>
      <c r="HK102" s="152"/>
      <c r="HL102" s="152"/>
      <c r="HM102" s="152"/>
      <c r="HN102" s="152"/>
      <c r="HO102" s="152"/>
      <c r="HP102" s="152"/>
      <c r="HQ102" s="152"/>
      <c r="HR102" s="152"/>
      <c r="HS102" s="152"/>
      <c r="HT102" s="152"/>
      <c r="HU102" s="152"/>
      <c r="HV102" s="152"/>
      <c r="HW102" s="152"/>
      <c r="HX102" s="152"/>
      <c r="HY102" s="152"/>
      <c r="HZ102" s="152"/>
      <c r="IA102" s="152"/>
      <c r="IB102" s="152"/>
      <c r="IC102" s="152"/>
      <c r="ID102" s="152"/>
      <c r="IE102" s="152"/>
      <c r="IF102" s="152"/>
      <c r="IG102" s="152"/>
      <c r="IH102" s="152"/>
      <c r="II102" s="152"/>
      <c r="IJ102" s="152"/>
      <c r="IK102" s="152"/>
      <c r="IL102" s="152"/>
      <c r="IM102" s="152"/>
      <c r="IN102" s="152"/>
      <c r="IO102" s="152"/>
      <c r="IP102" s="152"/>
      <c r="IQ102" s="152"/>
      <c r="IR102" s="152"/>
      <c r="IS102" s="152"/>
      <c r="IT102" s="152"/>
      <c r="IU102" s="152"/>
      <c r="IV102" s="152"/>
    </row>
    <row r="103" spans="1:256" s="122" customFormat="1" x14ac:dyDescent="0.25">
      <c r="A103" s="133"/>
      <c r="B103" s="120"/>
      <c r="C103" s="134"/>
      <c r="D103" s="153"/>
      <c r="E103" s="154"/>
      <c r="F103" s="138"/>
      <c r="G103" s="134"/>
      <c r="H103" s="134"/>
      <c r="I103" s="134"/>
      <c r="J103" s="138"/>
      <c r="K103" s="134"/>
      <c r="L103" s="134"/>
      <c r="M103" s="138"/>
      <c r="N103" s="138"/>
      <c r="O103" s="138"/>
      <c r="P103" s="138"/>
      <c r="Q103" s="153"/>
      <c r="R103" s="138"/>
      <c r="S103" s="120"/>
      <c r="T103" s="120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  <c r="AK103" s="152"/>
      <c r="AL103" s="152"/>
      <c r="AM103" s="152"/>
      <c r="AN103" s="152"/>
      <c r="AO103" s="152"/>
      <c r="AP103" s="152"/>
      <c r="AQ103" s="152"/>
      <c r="AR103" s="152"/>
      <c r="AS103" s="152"/>
      <c r="AT103" s="152"/>
      <c r="AU103" s="152"/>
      <c r="AV103" s="152"/>
      <c r="AW103" s="152"/>
      <c r="AX103" s="152"/>
      <c r="AY103" s="152"/>
      <c r="AZ103" s="152"/>
      <c r="BA103" s="152"/>
      <c r="BB103" s="152"/>
      <c r="BC103" s="152"/>
      <c r="BD103" s="152"/>
      <c r="BE103" s="152"/>
      <c r="BF103" s="152"/>
      <c r="BG103" s="152"/>
      <c r="BH103" s="152"/>
      <c r="BI103" s="152"/>
      <c r="BJ103" s="152"/>
      <c r="BK103" s="152"/>
      <c r="BL103" s="152"/>
      <c r="BM103" s="152"/>
      <c r="BN103" s="152"/>
      <c r="BO103" s="152"/>
      <c r="BP103" s="152"/>
      <c r="BQ103" s="152"/>
      <c r="BR103" s="152"/>
      <c r="BS103" s="152"/>
      <c r="BT103" s="152"/>
      <c r="BU103" s="152"/>
      <c r="BV103" s="152"/>
      <c r="BW103" s="152"/>
      <c r="BX103" s="152"/>
      <c r="BY103" s="152"/>
      <c r="BZ103" s="152"/>
      <c r="CA103" s="152"/>
      <c r="CB103" s="152"/>
      <c r="CC103" s="152"/>
      <c r="CD103" s="152"/>
      <c r="CE103" s="152"/>
      <c r="CF103" s="152"/>
      <c r="CG103" s="152"/>
      <c r="CH103" s="152"/>
      <c r="CI103" s="152"/>
      <c r="CJ103" s="152"/>
      <c r="CK103" s="152"/>
      <c r="CL103" s="152"/>
      <c r="CM103" s="152"/>
      <c r="CN103" s="152"/>
      <c r="CO103" s="152"/>
      <c r="CP103" s="152"/>
      <c r="CQ103" s="152"/>
      <c r="CR103" s="152"/>
      <c r="CS103" s="152"/>
      <c r="CT103" s="152"/>
      <c r="CU103" s="152"/>
      <c r="CV103" s="152"/>
      <c r="CW103" s="152"/>
      <c r="CX103" s="152"/>
      <c r="CY103" s="152"/>
      <c r="CZ103" s="152"/>
      <c r="DA103" s="152"/>
      <c r="DB103" s="152"/>
      <c r="DC103" s="152"/>
      <c r="DD103" s="152"/>
      <c r="DE103" s="152"/>
      <c r="DF103" s="152"/>
      <c r="DG103" s="152"/>
      <c r="DH103" s="152"/>
      <c r="DI103" s="152"/>
      <c r="DJ103" s="152"/>
      <c r="DK103" s="152"/>
      <c r="DL103" s="152"/>
      <c r="DM103" s="152"/>
      <c r="DN103" s="152"/>
      <c r="DO103" s="152"/>
      <c r="DP103" s="152"/>
      <c r="DQ103" s="152"/>
      <c r="DR103" s="152"/>
      <c r="DS103" s="152"/>
      <c r="DT103" s="152"/>
      <c r="DU103" s="152"/>
      <c r="DV103" s="152"/>
      <c r="DW103" s="152"/>
      <c r="DX103" s="152"/>
      <c r="DY103" s="152"/>
      <c r="DZ103" s="152"/>
      <c r="EA103" s="152"/>
      <c r="EB103" s="152"/>
      <c r="EC103" s="152"/>
      <c r="ED103" s="152"/>
      <c r="EE103" s="152"/>
      <c r="EF103" s="152"/>
      <c r="EG103" s="152"/>
      <c r="EH103" s="152"/>
      <c r="EI103" s="152"/>
      <c r="EJ103" s="152"/>
      <c r="EK103" s="152"/>
      <c r="EL103" s="152"/>
      <c r="EM103" s="152"/>
      <c r="EN103" s="152"/>
      <c r="EO103" s="152"/>
      <c r="EP103" s="152"/>
      <c r="EQ103" s="152"/>
      <c r="ER103" s="152"/>
      <c r="ES103" s="152"/>
      <c r="ET103" s="152"/>
      <c r="EU103" s="152"/>
      <c r="EV103" s="152"/>
      <c r="EW103" s="152"/>
      <c r="EX103" s="152"/>
      <c r="EY103" s="152"/>
      <c r="EZ103" s="152"/>
      <c r="FA103" s="152"/>
      <c r="FB103" s="152"/>
      <c r="FC103" s="152"/>
      <c r="FD103" s="152"/>
      <c r="FE103" s="152"/>
      <c r="FF103" s="152"/>
      <c r="FG103" s="152"/>
      <c r="FH103" s="152"/>
      <c r="FI103" s="152"/>
      <c r="FJ103" s="152"/>
      <c r="FK103" s="152"/>
      <c r="FL103" s="152"/>
      <c r="FM103" s="152"/>
      <c r="FN103" s="152"/>
      <c r="FO103" s="152"/>
      <c r="FP103" s="152"/>
      <c r="FQ103" s="152"/>
      <c r="FR103" s="152"/>
      <c r="FS103" s="152"/>
      <c r="FT103" s="152"/>
      <c r="FU103" s="152"/>
      <c r="FV103" s="152"/>
      <c r="FW103" s="152"/>
      <c r="FX103" s="152"/>
      <c r="FY103" s="152"/>
      <c r="FZ103" s="152"/>
      <c r="GA103" s="152"/>
      <c r="GB103" s="152"/>
      <c r="GC103" s="152"/>
      <c r="GD103" s="152"/>
      <c r="GE103" s="152"/>
      <c r="GF103" s="152"/>
      <c r="GG103" s="152"/>
      <c r="GH103" s="152"/>
      <c r="GI103" s="152"/>
      <c r="GJ103" s="152"/>
      <c r="GK103" s="152"/>
      <c r="GL103" s="152"/>
      <c r="GM103" s="152"/>
      <c r="GN103" s="152"/>
      <c r="GO103" s="152"/>
      <c r="GP103" s="152"/>
      <c r="GQ103" s="152"/>
      <c r="GR103" s="152"/>
      <c r="GS103" s="152"/>
      <c r="GT103" s="152"/>
      <c r="GU103" s="152"/>
      <c r="GV103" s="152"/>
      <c r="GW103" s="152"/>
      <c r="GX103" s="152"/>
      <c r="GY103" s="152"/>
      <c r="GZ103" s="152"/>
      <c r="HA103" s="152"/>
      <c r="HB103" s="152"/>
      <c r="HC103" s="152"/>
      <c r="HD103" s="152"/>
      <c r="HE103" s="152"/>
      <c r="HF103" s="152"/>
      <c r="HG103" s="152"/>
      <c r="HH103" s="152"/>
      <c r="HI103" s="152"/>
      <c r="HJ103" s="152"/>
      <c r="HK103" s="152"/>
      <c r="HL103" s="152"/>
      <c r="HM103" s="152"/>
      <c r="HN103" s="152"/>
      <c r="HO103" s="152"/>
      <c r="HP103" s="152"/>
      <c r="HQ103" s="152"/>
      <c r="HR103" s="152"/>
      <c r="HS103" s="152"/>
      <c r="HT103" s="152"/>
      <c r="HU103" s="152"/>
      <c r="HV103" s="152"/>
      <c r="HW103" s="152"/>
      <c r="HX103" s="152"/>
      <c r="HY103" s="152"/>
      <c r="HZ103" s="152"/>
      <c r="IA103" s="152"/>
      <c r="IB103" s="152"/>
      <c r="IC103" s="152"/>
      <c r="ID103" s="152"/>
      <c r="IE103" s="152"/>
      <c r="IF103" s="152"/>
      <c r="IG103" s="152"/>
      <c r="IH103" s="152"/>
      <c r="II103" s="152"/>
      <c r="IJ103" s="152"/>
      <c r="IK103" s="152"/>
      <c r="IL103" s="152"/>
      <c r="IM103" s="152"/>
      <c r="IN103" s="152"/>
      <c r="IO103" s="152"/>
      <c r="IP103" s="152"/>
      <c r="IQ103" s="152"/>
      <c r="IR103" s="152"/>
      <c r="IS103" s="152"/>
      <c r="IT103" s="152"/>
      <c r="IU103" s="152"/>
      <c r="IV103" s="152"/>
    </row>
    <row r="104" spans="1:256" s="129" customFormat="1" ht="15" customHeight="1" x14ac:dyDescent="0.25">
      <c r="A104" s="133"/>
      <c r="B104" s="120"/>
      <c r="C104" s="134"/>
      <c r="D104" s="153"/>
      <c r="E104" s="154"/>
      <c r="F104" s="138"/>
      <c r="G104" s="134"/>
      <c r="H104" s="134"/>
      <c r="I104" s="134"/>
      <c r="J104" s="138"/>
      <c r="K104" s="134"/>
      <c r="L104" s="134"/>
      <c r="M104" s="138"/>
      <c r="N104" s="138"/>
      <c r="O104" s="138"/>
      <c r="P104" s="138"/>
      <c r="Q104" s="153"/>
      <c r="R104" s="138"/>
      <c r="S104" s="120"/>
      <c r="T104" s="120"/>
      <c r="U104" s="152"/>
      <c r="V104" s="152"/>
      <c r="W104" s="152"/>
      <c r="X104" s="152"/>
      <c r="Y104" s="152"/>
      <c r="Z104" s="152"/>
      <c r="AA104" s="152"/>
      <c r="AB104" s="152"/>
      <c r="AC104" s="152"/>
      <c r="AD104" s="152"/>
      <c r="AE104" s="152"/>
      <c r="AF104" s="152"/>
      <c r="AG104" s="152"/>
      <c r="AH104" s="152"/>
      <c r="AI104" s="152"/>
      <c r="AJ104" s="152"/>
      <c r="AK104" s="152"/>
      <c r="AL104" s="152"/>
      <c r="AM104" s="152"/>
      <c r="AN104" s="152"/>
      <c r="AO104" s="152"/>
      <c r="AP104" s="152"/>
      <c r="AQ104" s="152"/>
      <c r="AR104" s="152"/>
      <c r="AS104" s="152"/>
      <c r="AT104" s="152"/>
      <c r="AU104" s="152"/>
      <c r="AV104" s="152"/>
      <c r="AW104" s="152"/>
      <c r="AX104" s="152"/>
      <c r="AY104" s="152"/>
      <c r="AZ104" s="152"/>
      <c r="BA104" s="152"/>
      <c r="BB104" s="152"/>
      <c r="BC104" s="152"/>
      <c r="BD104" s="152"/>
      <c r="BE104" s="152"/>
      <c r="BF104" s="152"/>
      <c r="BG104" s="152"/>
      <c r="BH104" s="152"/>
      <c r="BI104" s="152"/>
      <c r="BJ104" s="152"/>
      <c r="BK104" s="152"/>
      <c r="BL104" s="152"/>
      <c r="BM104" s="152"/>
      <c r="BN104" s="152"/>
      <c r="BO104" s="152"/>
      <c r="BP104" s="152"/>
      <c r="BQ104" s="152"/>
      <c r="BR104" s="152"/>
      <c r="BS104" s="152"/>
      <c r="BT104" s="152"/>
      <c r="BU104" s="152"/>
      <c r="BV104" s="152"/>
      <c r="BW104" s="152"/>
      <c r="BX104" s="152"/>
      <c r="BY104" s="152"/>
      <c r="BZ104" s="152"/>
      <c r="CA104" s="152"/>
      <c r="CB104" s="152"/>
      <c r="CC104" s="152"/>
      <c r="CD104" s="152"/>
      <c r="CE104" s="152"/>
      <c r="CF104" s="152"/>
      <c r="CG104" s="152"/>
      <c r="CH104" s="152"/>
      <c r="CI104" s="152"/>
      <c r="CJ104" s="152"/>
      <c r="CK104" s="152"/>
      <c r="CL104" s="152"/>
      <c r="CM104" s="152"/>
      <c r="CN104" s="152"/>
      <c r="CO104" s="152"/>
      <c r="CP104" s="152"/>
      <c r="CQ104" s="152"/>
      <c r="CR104" s="152"/>
      <c r="CS104" s="152"/>
      <c r="CT104" s="152"/>
      <c r="CU104" s="152"/>
      <c r="CV104" s="152"/>
      <c r="CW104" s="152"/>
      <c r="CX104" s="152"/>
      <c r="CY104" s="152"/>
      <c r="CZ104" s="152"/>
      <c r="DA104" s="152"/>
      <c r="DB104" s="152"/>
      <c r="DC104" s="152"/>
      <c r="DD104" s="152"/>
      <c r="DE104" s="152"/>
      <c r="DF104" s="152"/>
      <c r="DG104" s="152"/>
      <c r="DH104" s="152"/>
      <c r="DI104" s="152"/>
      <c r="DJ104" s="152"/>
      <c r="DK104" s="152"/>
      <c r="DL104" s="152"/>
      <c r="DM104" s="152"/>
      <c r="DN104" s="152"/>
      <c r="DO104" s="152"/>
      <c r="DP104" s="152"/>
      <c r="DQ104" s="152"/>
      <c r="DR104" s="152"/>
      <c r="DS104" s="152"/>
      <c r="DT104" s="152"/>
      <c r="DU104" s="152"/>
      <c r="DV104" s="152"/>
      <c r="DW104" s="152"/>
      <c r="DX104" s="152"/>
      <c r="DY104" s="152"/>
      <c r="DZ104" s="152"/>
      <c r="EA104" s="152"/>
      <c r="EB104" s="152"/>
      <c r="EC104" s="152"/>
      <c r="ED104" s="152"/>
      <c r="EE104" s="152"/>
      <c r="EF104" s="152"/>
      <c r="EG104" s="152"/>
      <c r="EH104" s="152"/>
      <c r="EI104" s="152"/>
      <c r="EJ104" s="152"/>
      <c r="EK104" s="152"/>
      <c r="EL104" s="152"/>
      <c r="EM104" s="152"/>
      <c r="EN104" s="152"/>
      <c r="EO104" s="152"/>
      <c r="EP104" s="152"/>
      <c r="EQ104" s="152"/>
      <c r="ER104" s="152"/>
      <c r="ES104" s="152"/>
      <c r="ET104" s="152"/>
      <c r="EU104" s="152"/>
      <c r="EV104" s="152"/>
      <c r="EW104" s="152"/>
      <c r="EX104" s="152"/>
      <c r="EY104" s="152"/>
      <c r="EZ104" s="152"/>
      <c r="FA104" s="152"/>
      <c r="FB104" s="152"/>
      <c r="FC104" s="152"/>
      <c r="FD104" s="152"/>
      <c r="FE104" s="152"/>
      <c r="FF104" s="152"/>
      <c r="FG104" s="152"/>
      <c r="FH104" s="152"/>
      <c r="FI104" s="152"/>
      <c r="FJ104" s="152"/>
      <c r="FK104" s="152"/>
      <c r="FL104" s="152"/>
      <c r="FM104" s="152"/>
      <c r="FN104" s="152"/>
      <c r="FO104" s="152"/>
      <c r="FP104" s="152"/>
      <c r="FQ104" s="152"/>
      <c r="FR104" s="152"/>
      <c r="FS104" s="152"/>
      <c r="FT104" s="152"/>
      <c r="FU104" s="152"/>
      <c r="FV104" s="152"/>
      <c r="FW104" s="152"/>
      <c r="FX104" s="152"/>
      <c r="FY104" s="152"/>
      <c r="FZ104" s="152"/>
      <c r="GA104" s="152"/>
      <c r="GB104" s="152"/>
      <c r="GC104" s="152"/>
      <c r="GD104" s="152"/>
      <c r="GE104" s="152"/>
      <c r="GF104" s="152"/>
      <c r="GG104" s="152"/>
      <c r="GH104" s="152"/>
      <c r="GI104" s="152"/>
      <c r="GJ104" s="152"/>
      <c r="GK104" s="152"/>
      <c r="GL104" s="152"/>
      <c r="GM104" s="152"/>
      <c r="GN104" s="152"/>
      <c r="GO104" s="152"/>
      <c r="GP104" s="152"/>
      <c r="GQ104" s="152"/>
      <c r="GR104" s="152"/>
      <c r="GS104" s="152"/>
      <c r="GT104" s="152"/>
      <c r="GU104" s="152"/>
      <c r="GV104" s="152"/>
      <c r="GW104" s="152"/>
      <c r="GX104" s="152"/>
      <c r="GY104" s="152"/>
      <c r="GZ104" s="152"/>
      <c r="HA104" s="152"/>
      <c r="HB104" s="152"/>
      <c r="HC104" s="152"/>
      <c r="HD104" s="152"/>
      <c r="HE104" s="152"/>
      <c r="HF104" s="152"/>
      <c r="HG104" s="152"/>
      <c r="HH104" s="152"/>
      <c r="HI104" s="152"/>
      <c r="HJ104" s="152"/>
      <c r="HK104" s="152"/>
      <c r="HL104" s="152"/>
      <c r="HM104" s="152"/>
      <c r="HN104" s="152"/>
      <c r="HO104" s="152"/>
      <c r="HP104" s="152"/>
      <c r="HQ104" s="152"/>
      <c r="HR104" s="152"/>
      <c r="HS104" s="152"/>
      <c r="HT104" s="152"/>
      <c r="HU104" s="152"/>
      <c r="HV104" s="152"/>
      <c r="HW104" s="152"/>
      <c r="HX104" s="152"/>
      <c r="HY104" s="152"/>
      <c r="HZ104" s="152"/>
      <c r="IA104" s="152"/>
      <c r="IB104" s="152"/>
      <c r="IC104" s="152"/>
      <c r="ID104" s="152"/>
      <c r="IE104" s="152"/>
      <c r="IF104" s="152"/>
      <c r="IG104" s="152"/>
      <c r="IH104" s="152"/>
      <c r="II104" s="152"/>
      <c r="IJ104" s="152"/>
      <c r="IK104" s="152"/>
      <c r="IL104" s="152"/>
      <c r="IM104" s="152"/>
      <c r="IN104" s="152"/>
      <c r="IO104" s="152"/>
      <c r="IP104" s="152"/>
      <c r="IQ104" s="152"/>
      <c r="IR104" s="152"/>
      <c r="IS104" s="152"/>
      <c r="IT104" s="152"/>
      <c r="IU104" s="152"/>
      <c r="IV104" s="152"/>
    </row>
    <row r="105" spans="1:256" s="129" customFormat="1" ht="15" customHeight="1" x14ac:dyDescent="0.25">
      <c r="A105" s="133"/>
      <c r="B105" s="120"/>
      <c r="C105" s="134"/>
      <c r="D105" s="153"/>
      <c r="E105" s="154"/>
      <c r="F105" s="138"/>
      <c r="G105" s="134"/>
      <c r="H105" s="134"/>
      <c r="I105" s="134"/>
      <c r="J105" s="138"/>
      <c r="K105" s="134"/>
      <c r="L105" s="134"/>
      <c r="M105" s="138"/>
      <c r="N105" s="138"/>
      <c r="O105" s="138"/>
      <c r="P105" s="138"/>
      <c r="Q105" s="153"/>
      <c r="R105" s="138"/>
      <c r="S105" s="120"/>
      <c r="T105" s="120"/>
      <c r="U105" s="152"/>
      <c r="V105" s="152"/>
      <c r="W105" s="152"/>
      <c r="X105" s="152"/>
      <c r="Y105" s="152"/>
      <c r="Z105" s="152"/>
      <c r="AA105" s="152"/>
      <c r="AB105" s="152"/>
      <c r="AC105" s="152"/>
      <c r="AD105" s="152"/>
      <c r="AE105" s="152"/>
      <c r="AF105" s="152"/>
      <c r="AG105" s="152"/>
      <c r="AH105" s="152"/>
      <c r="AI105" s="152"/>
      <c r="AJ105" s="152"/>
      <c r="AK105" s="152"/>
      <c r="AL105" s="152"/>
      <c r="AM105" s="152"/>
      <c r="AN105" s="152"/>
      <c r="AO105" s="152"/>
      <c r="AP105" s="152"/>
      <c r="AQ105" s="152"/>
      <c r="AR105" s="152"/>
      <c r="AS105" s="152"/>
      <c r="AT105" s="152"/>
      <c r="AU105" s="152"/>
      <c r="AV105" s="152"/>
      <c r="AW105" s="152"/>
      <c r="AX105" s="152"/>
      <c r="AY105" s="152"/>
      <c r="AZ105" s="152"/>
      <c r="BA105" s="152"/>
      <c r="BB105" s="152"/>
      <c r="BC105" s="152"/>
      <c r="BD105" s="152"/>
      <c r="BE105" s="152"/>
      <c r="BF105" s="152"/>
      <c r="BG105" s="152"/>
      <c r="BH105" s="152"/>
      <c r="BI105" s="152"/>
      <c r="BJ105" s="152"/>
      <c r="BK105" s="152"/>
      <c r="BL105" s="152"/>
      <c r="BM105" s="152"/>
      <c r="BN105" s="152"/>
      <c r="BO105" s="152"/>
      <c r="BP105" s="152"/>
      <c r="BQ105" s="152"/>
      <c r="BR105" s="152"/>
      <c r="BS105" s="152"/>
      <c r="BT105" s="152"/>
      <c r="BU105" s="152"/>
      <c r="BV105" s="152"/>
      <c r="BW105" s="152"/>
      <c r="BX105" s="152"/>
      <c r="BY105" s="152"/>
      <c r="BZ105" s="152"/>
      <c r="CA105" s="152"/>
      <c r="CB105" s="152"/>
      <c r="CC105" s="152"/>
      <c r="CD105" s="152"/>
      <c r="CE105" s="152"/>
      <c r="CF105" s="152"/>
      <c r="CG105" s="152"/>
      <c r="CH105" s="152"/>
      <c r="CI105" s="152"/>
      <c r="CJ105" s="152"/>
      <c r="CK105" s="152"/>
      <c r="CL105" s="152"/>
      <c r="CM105" s="152"/>
      <c r="CN105" s="152"/>
      <c r="CO105" s="152"/>
      <c r="CP105" s="152"/>
      <c r="CQ105" s="152"/>
      <c r="CR105" s="152"/>
      <c r="CS105" s="152"/>
      <c r="CT105" s="152"/>
      <c r="CU105" s="152"/>
      <c r="CV105" s="152"/>
      <c r="CW105" s="152"/>
      <c r="CX105" s="152"/>
      <c r="CY105" s="152"/>
      <c r="CZ105" s="152"/>
      <c r="DA105" s="152"/>
      <c r="DB105" s="152"/>
      <c r="DC105" s="152"/>
      <c r="DD105" s="152"/>
      <c r="DE105" s="152"/>
      <c r="DF105" s="152"/>
      <c r="DG105" s="152"/>
      <c r="DH105" s="152"/>
      <c r="DI105" s="152"/>
      <c r="DJ105" s="152"/>
      <c r="DK105" s="152"/>
      <c r="DL105" s="152"/>
      <c r="DM105" s="152"/>
      <c r="DN105" s="152"/>
      <c r="DO105" s="152"/>
      <c r="DP105" s="152"/>
      <c r="DQ105" s="152"/>
      <c r="DR105" s="152"/>
      <c r="DS105" s="152"/>
      <c r="DT105" s="152"/>
      <c r="DU105" s="152"/>
      <c r="DV105" s="152"/>
      <c r="DW105" s="152"/>
      <c r="DX105" s="152"/>
      <c r="DY105" s="152"/>
      <c r="DZ105" s="152"/>
      <c r="EA105" s="152"/>
      <c r="EB105" s="152"/>
      <c r="EC105" s="152"/>
      <c r="ED105" s="152"/>
      <c r="EE105" s="152"/>
      <c r="EF105" s="152"/>
      <c r="EG105" s="152"/>
      <c r="EH105" s="152"/>
      <c r="EI105" s="152"/>
      <c r="EJ105" s="152"/>
      <c r="EK105" s="152"/>
      <c r="EL105" s="152"/>
      <c r="EM105" s="152"/>
      <c r="EN105" s="152"/>
      <c r="EO105" s="152"/>
      <c r="EP105" s="152"/>
      <c r="EQ105" s="152"/>
      <c r="ER105" s="152"/>
      <c r="ES105" s="152"/>
      <c r="ET105" s="152"/>
      <c r="EU105" s="152"/>
      <c r="EV105" s="152"/>
      <c r="EW105" s="152"/>
      <c r="EX105" s="152"/>
      <c r="EY105" s="152"/>
      <c r="EZ105" s="152"/>
      <c r="FA105" s="152"/>
      <c r="FB105" s="152"/>
      <c r="FC105" s="152"/>
      <c r="FD105" s="152"/>
      <c r="FE105" s="152"/>
      <c r="FF105" s="152"/>
      <c r="FG105" s="152"/>
      <c r="FH105" s="152"/>
      <c r="FI105" s="152"/>
      <c r="FJ105" s="152"/>
      <c r="FK105" s="152"/>
      <c r="FL105" s="152"/>
      <c r="FM105" s="152"/>
      <c r="FN105" s="152"/>
      <c r="FO105" s="152"/>
      <c r="FP105" s="152"/>
      <c r="FQ105" s="152"/>
      <c r="FR105" s="152"/>
      <c r="FS105" s="152"/>
      <c r="FT105" s="152"/>
      <c r="FU105" s="152"/>
      <c r="FV105" s="152"/>
      <c r="FW105" s="152"/>
      <c r="FX105" s="152"/>
      <c r="FY105" s="152"/>
      <c r="FZ105" s="152"/>
      <c r="GA105" s="152"/>
      <c r="GB105" s="152"/>
      <c r="GC105" s="152"/>
      <c r="GD105" s="152"/>
      <c r="GE105" s="152"/>
      <c r="GF105" s="152"/>
      <c r="GG105" s="152"/>
      <c r="GH105" s="152"/>
      <c r="GI105" s="152"/>
      <c r="GJ105" s="152"/>
      <c r="GK105" s="152"/>
      <c r="GL105" s="152"/>
      <c r="GM105" s="152"/>
      <c r="GN105" s="152"/>
      <c r="GO105" s="152"/>
      <c r="GP105" s="152"/>
      <c r="GQ105" s="152"/>
      <c r="GR105" s="152"/>
      <c r="GS105" s="152"/>
      <c r="GT105" s="152"/>
      <c r="GU105" s="152"/>
      <c r="GV105" s="152"/>
      <c r="GW105" s="152"/>
      <c r="GX105" s="152"/>
      <c r="GY105" s="152"/>
      <c r="GZ105" s="152"/>
      <c r="HA105" s="152"/>
      <c r="HB105" s="152"/>
      <c r="HC105" s="152"/>
      <c r="HD105" s="152"/>
      <c r="HE105" s="152"/>
      <c r="HF105" s="152"/>
      <c r="HG105" s="152"/>
      <c r="HH105" s="152"/>
      <c r="HI105" s="152"/>
      <c r="HJ105" s="152"/>
      <c r="HK105" s="152"/>
      <c r="HL105" s="152"/>
      <c r="HM105" s="152"/>
      <c r="HN105" s="152"/>
      <c r="HO105" s="152"/>
      <c r="HP105" s="152"/>
      <c r="HQ105" s="152"/>
      <c r="HR105" s="152"/>
      <c r="HS105" s="152"/>
      <c r="HT105" s="152"/>
      <c r="HU105" s="152"/>
      <c r="HV105" s="152"/>
      <c r="HW105" s="152"/>
      <c r="HX105" s="152"/>
      <c r="HY105" s="152"/>
      <c r="HZ105" s="152"/>
      <c r="IA105" s="152"/>
      <c r="IB105" s="152"/>
      <c r="IC105" s="152"/>
      <c r="ID105" s="152"/>
      <c r="IE105" s="152"/>
      <c r="IF105" s="152"/>
      <c r="IG105" s="152"/>
      <c r="IH105" s="152"/>
      <c r="II105" s="152"/>
      <c r="IJ105" s="152"/>
      <c r="IK105" s="152"/>
      <c r="IL105" s="152"/>
      <c r="IM105" s="152"/>
      <c r="IN105" s="152"/>
      <c r="IO105" s="152"/>
      <c r="IP105" s="152"/>
      <c r="IQ105" s="152"/>
      <c r="IR105" s="152"/>
      <c r="IS105" s="152"/>
      <c r="IT105" s="152"/>
      <c r="IU105" s="152"/>
      <c r="IV105" s="152"/>
    </row>
    <row r="106" spans="1:256" s="129" customFormat="1" ht="15" customHeight="1" x14ac:dyDescent="0.25">
      <c r="A106" s="145"/>
      <c r="C106" s="131"/>
      <c r="D106" s="132"/>
      <c r="E106" s="96"/>
      <c r="F106" s="131"/>
      <c r="G106" s="131"/>
      <c r="H106" s="131"/>
      <c r="I106" s="131"/>
      <c r="J106" s="114"/>
      <c r="K106" s="131"/>
      <c r="L106" s="131"/>
      <c r="M106" s="114"/>
      <c r="N106" s="114"/>
      <c r="O106" s="114"/>
      <c r="P106" s="114"/>
      <c r="Q106" s="132"/>
      <c r="R106" s="114"/>
      <c r="U106" s="152"/>
      <c r="V106" s="152"/>
      <c r="W106" s="152"/>
      <c r="X106" s="152"/>
      <c r="Y106" s="152"/>
      <c r="Z106" s="152"/>
      <c r="AA106" s="152"/>
      <c r="AB106" s="152"/>
      <c r="AC106" s="152"/>
      <c r="AD106" s="152"/>
      <c r="AE106" s="152"/>
      <c r="AF106" s="152"/>
      <c r="AG106" s="152"/>
      <c r="AH106" s="152"/>
      <c r="AI106" s="152"/>
      <c r="AJ106" s="152"/>
      <c r="AK106" s="152"/>
      <c r="AL106" s="152"/>
      <c r="AM106" s="152"/>
      <c r="AN106" s="152"/>
      <c r="AO106" s="152"/>
      <c r="AP106" s="152"/>
      <c r="AQ106" s="152"/>
      <c r="AR106" s="152"/>
      <c r="AS106" s="152"/>
      <c r="AT106" s="152"/>
      <c r="AU106" s="152"/>
      <c r="AV106" s="152"/>
      <c r="AW106" s="152"/>
      <c r="AX106" s="152"/>
      <c r="AY106" s="152"/>
      <c r="AZ106" s="152"/>
      <c r="BA106" s="152"/>
      <c r="BB106" s="152"/>
      <c r="BC106" s="152"/>
      <c r="BD106" s="152"/>
      <c r="BE106" s="152"/>
      <c r="BF106" s="152"/>
      <c r="BG106" s="152"/>
      <c r="BH106" s="152"/>
      <c r="BI106" s="152"/>
      <c r="BJ106" s="152"/>
      <c r="BK106" s="152"/>
      <c r="BL106" s="152"/>
      <c r="BM106" s="152"/>
      <c r="BN106" s="152"/>
      <c r="BO106" s="152"/>
      <c r="BP106" s="152"/>
      <c r="BQ106" s="152"/>
      <c r="BR106" s="152"/>
      <c r="BS106" s="152"/>
      <c r="BT106" s="152"/>
      <c r="BU106" s="152"/>
      <c r="BV106" s="152"/>
      <c r="BW106" s="152"/>
      <c r="BX106" s="152"/>
      <c r="BY106" s="152"/>
      <c r="BZ106" s="152"/>
      <c r="CA106" s="152"/>
      <c r="CB106" s="152"/>
      <c r="CC106" s="152"/>
      <c r="CD106" s="152"/>
      <c r="CE106" s="152"/>
      <c r="CF106" s="152"/>
      <c r="CG106" s="152"/>
      <c r="CH106" s="152"/>
      <c r="CI106" s="152"/>
      <c r="CJ106" s="152"/>
      <c r="CK106" s="152"/>
      <c r="CL106" s="152"/>
      <c r="CM106" s="152"/>
      <c r="CN106" s="152"/>
      <c r="CO106" s="152"/>
      <c r="CP106" s="152"/>
      <c r="CQ106" s="152"/>
      <c r="CR106" s="152"/>
      <c r="CS106" s="152"/>
      <c r="CT106" s="152"/>
      <c r="CU106" s="152"/>
      <c r="CV106" s="152"/>
      <c r="CW106" s="152"/>
      <c r="CX106" s="152"/>
      <c r="CY106" s="152"/>
      <c r="CZ106" s="152"/>
      <c r="DA106" s="152"/>
      <c r="DB106" s="152"/>
      <c r="DC106" s="152"/>
      <c r="DD106" s="152"/>
      <c r="DE106" s="152"/>
      <c r="DF106" s="152"/>
      <c r="DG106" s="152"/>
      <c r="DH106" s="152"/>
      <c r="DI106" s="152"/>
      <c r="DJ106" s="152"/>
      <c r="DK106" s="152"/>
      <c r="DL106" s="152"/>
      <c r="DM106" s="152"/>
      <c r="DN106" s="152"/>
      <c r="DO106" s="152"/>
      <c r="DP106" s="152"/>
      <c r="DQ106" s="152"/>
      <c r="DR106" s="152"/>
      <c r="DS106" s="152"/>
      <c r="DT106" s="152"/>
      <c r="DU106" s="152"/>
      <c r="DV106" s="152"/>
      <c r="DW106" s="152"/>
      <c r="DX106" s="152"/>
      <c r="DY106" s="152"/>
      <c r="DZ106" s="152"/>
      <c r="EA106" s="152"/>
      <c r="EB106" s="152"/>
      <c r="EC106" s="152"/>
      <c r="ED106" s="152"/>
      <c r="EE106" s="152"/>
      <c r="EF106" s="152"/>
      <c r="EG106" s="152"/>
      <c r="EH106" s="152"/>
      <c r="EI106" s="152"/>
      <c r="EJ106" s="152"/>
      <c r="EK106" s="152"/>
      <c r="EL106" s="152"/>
      <c r="EM106" s="152"/>
      <c r="EN106" s="152"/>
      <c r="EO106" s="152"/>
      <c r="EP106" s="152"/>
      <c r="EQ106" s="152"/>
      <c r="ER106" s="152"/>
      <c r="ES106" s="152"/>
      <c r="ET106" s="152"/>
      <c r="EU106" s="152"/>
      <c r="EV106" s="152"/>
      <c r="EW106" s="152"/>
      <c r="EX106" s="152"/>
      <c r="EY106" s="152"/>
      <c r="EZ106" s="152"/>
      <c r="FA106" s="152"/>
      <c r="FB106" s="152"/>
      <c r="FC106" s="152"/>
      <c r="FD106" s="152"/>
      <c r="FE106" s="152"/>
      <c r="FF106" s="152"/>
      <c r="FG106" s="152"/>
      <c r="FH106" s="152"/>
      <c r="FI106" s="152"/>
      <c r="FJ106" s="152"/>
      <c r="FK106" s="152"/>
      <c r="FL106" s="152"/>
      <c r="FM106" s="152"/>
      <c r="FN106" s="152"/>
      <c r="FO106" s="152"/>
      <c r="FP106" s="152"/>
      <c r="FQ106" s="152"/>
      <c r="FR106" s="152"/>
      <c r="FS106" s="152"/>
      <c r="FT106" s="152"/>
      <c r="FU106" s="152"/>
      <c r="FV106" s="152"/>
      <c r="FW106" s="152"/>
      <c r="FX106" s="152"/>
      <c r="FY106" s="152"/>
      <c r="FZ106" s="152"/>
      <c r="GA106" s="152"/>
      <c r="GB106" s="152"/>
      <c r="GC106" s="152"/>
      <c r="GD106" s="152"/>
      <c r="GE106" s="152"/>
      <c r="GF106" s="152"/>
      <c r="GG106" s="152"/>
      <c r="GH106" s="152"/>
      <c r="GI106" s="152"/>
      <c r="GJ106" s="152"/>
      <c r="GK106" s="152"/>
      <c r="GL106" s="152"/>
      <c r="GM106" s="152"/>
      <c r="GN106" s="152"/>
      <c r="GO106" s="152"/>
      <c r="GP106" s="152"/>
      <c r="GQ106" s="152"/>
      <c r="GR106" s="152"/>
      <c r="GS106" s="152"/>
      <c r="GT106" s="152"/>
      <c r="GU106" s="152"/>
      <c r="GV106" s="152"/>
      <c r="GW106" s="152"/>
      <c r="GX106" s="152"/>
      <c r="GY106" s="152"/>
      <c r="GZ106" s="152"/>
      <c r="HA106" s="152"/>
      <c r="HB106" s="152"/>
      <c r="HC106" s="152"/>
      <c r="HD106" s="152"/>
      <c r="HE106" s="152"/>
      <c r="HF106" s="152"/>
      <c r="HG106" s="152"/>
      <c r="HH106" s="152"/>
      <c r="HI106" s="152"/>
      <c r="HJ106" s="152"/>
      <c r="HK106" s="152"/>
      <c r="HL106" s="152"/>
      <c r="HM106" s="152"/>
      <c r="HN106" s="152"/>
      <c r="HO106" s="152"/>
      <c r="HP106" s="152"/>
      <c r="HQ106" s="152"/>
      <c r="HR106" s="152"/>
      <c r="HS106" s="152"/>
      <c r="HT106" s="152"/>
      <c r="HU106" s="152"/>
      <c r="HV106" s="152"/>
      <c r="HW106" s="152"/>
      <c r="HX106" s="152"/>
      <c r="HY106" s="152"/>
      <c r="HZ106" s="152"/>
      <c r="IA106" s="152"/>
      <c r="IB106" s="152"/>
      <c r="IC106" s="152"/>
      <c r="ID106" s="152"/>
      <c r="IE106" s="152"/>
      <c r="IF106" s="152"/>
      <c r="IG106" s="152"/>
      <c r="IH106" s="152"/>
      <c r="II106" s="152"/>
      <c r="IJ106" s="152"/>
      <c r="IK106" s="152"/>
      <c r="IL106" s="152"/>
      <c r="IM106" s="152"/>
      <c r="IN106" s="152"/>
      <c r="IO106" s="152"/>
      <c r="IP106" s="152"/>
      <c r="IQ106" s="152"/>
      <c r="IR106" s="152"/>
      <c r="IS106" s="152"/>
      <c r="IT106" s="152"/>
      <c r="IU106" s="152"/>
      <c r="IV106" s="152"/>
    </row>
    <row r="107" spans="1:256" s="129" customFormat="1" ht="15" customHeight="1" x14ac:dyDescent="0.25">
      <c r="A107" s="124"/>
      <c r="B107" s="115"/>
      <c r="C107" s="125"/>
      <c r="D107" s="126"/>
      <c r="E107" s="127"/>
      <c r="F107" s="116"/>
      <c r="G107" s="116"/>
      <c r="H107" s="116"/>
      <c r="I107" s="116"/>
      <c r="J107" s="116"/>
      <c r="K107" s="116"/>
      <c r="L107" s="125"/>
      <c r="M107" s="118"/>
      <c r="N107" s="118"/>
      <c r="O107" s="118"/>
      <c r="P107" s="118"/>
      <c r="Q107" s="128"/>
      <c r="R107" s="118"/>
      <c r="S107" s="115"/>
      <c r="T107" s="115"/>
      <c r="U107" s="152"/>
      <c r="V107" s="152"/>
      <c r="W107" s="152"/>
      <c r="X107" s="152"/>
      <c r="Y107" s="152"/>
      <c r="Z107" s="152"/>
      <c r="AA107" s="152"/>
      <c r="AB107" s="152"/>
      <c r="AC107" s="152"/>
      <c r="AD107" s="152"/>
      <c r="AE107" s="152"/>
      <c r="AF107" s="152"/>
      <c r="AG107" s="152"/>
      <c r="AH107" s="152"/>
      <c r="AI107" s="152"/>
      <c r="AJ107" s="152"/>
      <c r="AK107" s="152"/>
      <c r="AL107" s="152"/>
      <c r="AM107" s="152"/>
      <c r="AN107" s="152"/>
      <c r="AO107" s="152"/>
      <c r="AP107" s="152"/>
      <c r="AQ107" s="152"/>
      <c r="AR107" s="152"/>
      <c r="AS107" s="152"/>
      <c r="AT107" s="152"/>
      <c r="AU107" s="152"/>
      <c r="AV107" s="152"/>
      <c r="AW107" s="152"/>
      <c r="AX107" s="152"/>
      <c r="AY107" s="152"/>
      <c r="AZ107" s="152"/>
      <c r="BA107" s="152"/>
      <c r="BB107" s="152"/>
      <c r="BC107" s="152"/>
      <c r="BD107" s="152"/>
      <c r="BE107" s="152"/>
      <c r="BF107" s="152"/>
      <c r="BG107" s="152"/>
      <c r="BH107" s="152"/>
      <c r="BI107" s="152"/>
      <c r="BJ107" s="152"/>
      <c r="BK107" s="152"/>
      <c r="BL107" s="152"/>
      <c r="BM107" s="152"/>
      <c r="BN107" s="152"/>
      <c r="BO107" s="152"/>
      <c r="BP107" s="152"/>
      <c r="BQ107" s="152"/>
      <c r="BR107" s="152"/>
      <c r="BS107" s="152"/>
      <c r="BT107" s="152"/>
      <c r="BU107" s="152"/>
      <c r="BV107" s="152"/>
      <c r="BW107" s="152"/>
      <c r="BX107" s="152"/>
      <c r="BY107" s="152"/>
      <c r="BZ107" s="152"/>
      <c r="CA107" s="152"/>
      <c r="CB107" s="152"/>
      <c r="CC107" s="152"/>
      <c r="CD107" s="152"/>
      <c r="CE107" s="152"/>
      <c r="CF107" s="152"/>
      <c r="CG107" s="152"/>
      <c r="CH107" s="152"/>
      <c r="CI107" s="152"/>
      <c r="CJ107" s="152"/>
      <c r="CK107" s="152"/>
      <c r="CL107" s="152"/>
      <c r="CM107" s="152"/>
      <c r="CN107" s="152"/>
      <c r="CO107" s="152"/>
      <c r="CP107" s="152"/>
      <c r="CQ107" s="152"/>
      <c r="CR107" s="152"/>
      <c r="CS107" s="152"/>
      <c r="CT107" s="152"/>
      <c r="CU107" s="152"/>
      <c r="CV107" s="152"/>
      <c r="CW107" s="152"/>
      <c r="CX107" s="152"/>
      <c r="CY107" s="152"/>
      <c r="CZ107" s="152"/>
      <c r="DA107" s="152"/>
      <c r="DB107" s="152"/>
      <c r="DC107" s="152"/>
      <c r="DD107" s="152"/>
      <c r="DE107" s="152"/>
      <c r="DF107" s="152"/>
      <c r="DG107" s="152"/>
      <c r="DH107" s="152"/>
      <c r="DI107" s="152"/>
      <c r="DJ107" s="152"/>
      <c r="DK107" s="152"/>
      <c r="DL107" s="152"/>
      <c r="DM107" s="152"/>
      <c r="DN107" s="152"/>
      <c r="DO107" s="152"/>
      <c r="DP107" s="152"/>
      <c r="DQ107" s="152"/>
      <c r="DR107" s="152"/>
      <c r="DS107" s="152"/>
      <c r="DT107" s="152"/>
      <c r="DU107" s="152"/>
      <c r="DV107" s="152"/>
      <c r="DW107" s="152"/>
      <c r="DX107" s="152"/>
      <c r="DY107" s="152"/>
      <c r="DZ107" s="152"/>
      <c r="EA107" s="152"/>
      <c r="EB107" s="152"/>
      <c r="EC107" s="152"/>
      <c r="ED107" s="152"/>
      <c r="EE107" s="152"/>
      <c r="EF107" s="152"/>
      <c r="EG107" s="152"/>
      <c r="EH107" s="152"/>
      <c r="EI107" s="152"/>
      <c r="EJ107" s="152"/>
      <c r="EK107" s="152"/>
      <c r="EL107" s="152"/>
      <c r="EM107" s="152"/>
      <c r="EN107" s="152"/>
      <c r="EO107" s="152"/>
      <c r="EP107" s="152"/>
      <c r="EQ107" s="152"/>
      <c r="ER107" s="152"/>
      <c r="ES107" s="152"/>
      <c r="ET107" s="152"/>
      <c r="EU107" s="152"/>
      <c r="EV107" s="152"/>
      <c r="EW107" s="152"/>
      <c r="EX107" s="152"/>
      <c r="EY107" s="152"/>
      <c r="EZ107" s="152"/>
      <c r="FA107" s="152"/>
      <c r="FB107" s="152"/>
      <c r="FC107" s="152"/>
      <c r="FD107" s="152"/>
      <c r="FE107" s="152"/>
      <c r="FF107" s="152"/>
      <c r="FG107" s="152"/>
      <c r="FH107" s="152"/>
      <c r="FI107" s="152"/>
      <c r="FJ107" s="152"/>
      <c r="FK107" s="152"/>
      <c r="FL107" s="152"/>
      <c r="FM107" s="152"/>
      <c r="FN107" s="152"/>
      <c r="FO107" s="152"/>
      <c r="FP107" s="152"/>
      <c r="FQ107" s="152"/>
      <c r="FR107" s="152"/>
      <c r="FS107" s="152"/>
      <c r="FT107" s="152"/>
      <c r="FU107" s="152"/>
      <c r="FV107" s="152"/>
      <c r="FW107" s="152"/>
      <c r="FX107" s="152"/>
      <c r="FY107" s="152"/>
      <c r="FZ107" s="152"/>
      <c r="GA107" s="152"/>
      <c r="GB107" s="152"/>
      <c r="GC107" s="152"/>
      <c r="GD107" s="152"/>
      <c r="GE107" s="152"/>
      <c r="GF107" s="152"/>
      <c r="GG107" s="152"/>
      <c r="GH107" s="152"/>
      <c r="GI107" s="152"/>
      <c r="GJ107" s="152"/>
      <c r="GK107" s="152"/>
      <c r="GL107" s="152"/>
      <c r="GM107" s="152"/>
      <c r="GN107" s="152"/>
      <c r="GO107" s="152"/>
      <c r="GP107" s="152"/>
      <c r="GQ107" s="152"/>
      <c r="GR107" s="152"/>
      <c r="GS107" s="152"/>
      <c r="GT107" s="152"/>
      <c r="GU107" s="152"/>
      <c r="GV107" s="152"/>
      <c r="GW107" s="152"/>
      <c r="GX107" s="152"/>
      <c r="GY107" s="152"/>
      <c r="GZ107" s="152"/>
      <c r="HA107" s="152"/>
      <c r="HB107" s="152"/>
      <c r="HC107" s="152"/>
      <c r="HD107" s="152"/>
      <c r="HE107" s="152"/>
      <c r="HF107" s="152"/>
      <c r="HG107" s="152"/>
      <c r="HH107" s="152"/>
      <c r="HI107" s="152"/>
      <c r="HJ107" s="152"/>
      <c r="HK107" s="152"/>
      <c r="HL107" s="152"/>
      <c r="HM107" s="152"/>
      <c r="HN107" s="152"/>
      <c r="HO107" s="152"/>
      <c r="HP107" s="152"/>
      <c r="HQ107" s="152"/>
      <c r="HR107" s="152"/>
      <c r="HS107" s="152"/>
      <c r="HT107" s="152"/>
      <c r="HU107" s="152"/>
      <c r="HV107" s="152"/>
      <c r="HW107" s="152"/>
      <c r="HX107" s="152"/>
      <c r="HY107" s="152"/>
      <c r="HZ107" s="152"/>
      <c r="IA107" s="152"/>
      <c r="IB107" s="152"/>
      <c r="IC107" s="152"/>
      <c r="ID107" s="152"/>
      <c r="IE107" s="152"/>
      <c r="IF107" s="152"/>
      <c r="IG107" s="152"/>
      <c r="IH107" s="152"/>
      <c r="II107" s="152"/>
      <c r="IJ107" s="152"/>
      <c r="IK107" s="152"/>
      <c r="IL107" s="152"/>
      <c r="IM107" s="152"/>
      <c r="IN107" s="152"/>
      <c r="IO107" s="152"/>
      <c r="IP107" s="152"/>
      <c r="IQ107" s="152"/>
      <c r="IR107" s="152"/>
      <c r="IS107" s="152"/>
      <c r="IT107" s="152"/>
      <c r="IU107" s="152"/>
      <c r="IV107" s="152"/>
    </row>
    <row r="108" spans="1:256" s="122" customFormat="1" x14ac:dyDescent="0.25">
      <c r="A108" s="124"/>
      <c r="B108" s="115"/>
      <c r="C108" s="125"/>
      <c r="D108" s="126"/>
      <c r="E108" s="127"/>
      <c r="F108" s="116"/>
      <c r="G108" s="116"/>
      <c r="H108" s="116"/>
      <c r="I108" s="116"/>
      <c r="J108" s="116"/>
      <c r="K108" s="116"/>
      <c r="L108" s="125"/>
      <c r="M108" s="118"/>
      <c r="N108" s="118"/>
      <c r="O108" s="118"/>
      <c r="P108" s="118"/>
      <c r="Q108" s="128"/>
      <c r="R108" s="118"/>
      <c r="S108" s="115"/>
      <c r="T108" s="115"/>
      <c r="U108" s="152"/>
      <c r="V108" s="152"/>
      <c r="W108" s="152"/>
      <c r="X108" s="152"/>
      <c r="Y108" s="152"/>
      <c r="Z108" s="152"/>
      <c r="AA108" s="152"/>
      <c r="AB108" s="152"/>
      <c r="AC108" s="152"/>
      <c r="AD108" s="152"/>
      <c r="AE108" s="152"/>
      <c r="AF108" s="152"/>
      <c r="AG108" s="152"/>
      <c r="AH108" s="152"/>
      <c r="AI108" s="152"/>
      <c r="AJ108" s="152"/>
      <c r="AK108" s="152"/>
      <c r="AL108" s="152"/>
      <c r="AM108" s="152"/>
      <c r="AN108" s="152"/>
      <c r="AO108" s="152"/>
      <c r="AP108" s="152"/>
      <c r="AQ108" s="152"/>
      <c r="AR108" s="152"/>
      <c r="AS108" s="152"/>
      <c r="AT108" s="152"/>
      <c r="AU108" s="152"/>
      <c r="AV108" s="152"/>
      <c r="AW108" s="152"/>
      <c r="AX108" s="152"/>
      <c r="AY108" s="152"/>
      <c r="AZ108" s="152"/>
      <c r="BA108" s="152"/>
      <c r="BB108" s="152"/>
      <c r="BC108" s="152"/>
      <c r="BD108" s="152"/>
      <c r="BE108" s="152"/>
      <c r="BF108" s="152"/>
      <c r="BG108" s="152"/>
      <c r="BH108" s="152"/>
      <c r="BI108" s="152"/>
      <c r="BJ108" s="152"/>
      <c r="BK108" s="152"/>
      <c r="BL108" s="152"/>
      <c r="BM108" s="152"/>
      <c r="BN108" s="152"/>
      <c r="BO108" s="152"/>
      <c r="BP108" s="152"/>
      <c r="BQ108" s="152"/>
      <c r="BR108" s="152"/>
      <c r="BS108" s="152"/>
      <c r="BT108" s="152"/>
      <c r="BU108" s="152"/>
      <c r="BV108" s="152"/>
      <c r="BW108" s="152"/>
      <c r="BX108" s="152"/>
      <c r="BY108" s="152"/>
      <c r="BZ108" s="152"/>
      <c r="CA108" s="152"/>
      <c r="CB108" s="152"/>
      <c r="CC108" s="152"/>
      <c r="CD108" s="152"/>
      <c r="CE108" s="152"/>
      <c r="CF108" s="152"/>
      <c r="CG108" s="152"/>
      <c r="CH108" s="152"/>
      <c r="CI108" s="152"/>
      <c r="CJ108" s="152"/>
      <c r="CK108" s="152"/>
      <c r="CL108" s="152"/>
      <c r="CM108" s="152"/>
      <c r="CN108" s="152"/>
      <c r="CO108" s="152"/>
      <c r="CP108" s="152"/>
      <c r="CQ108" s="152"/>
      <c r="CR108" s="152"/>
      <c r="CS108" s="152"/>
      <c r="CT108" s="152"/>
      <c r="CU108" s="152"/>
      <c r="CV108" s="152"/>
      <c r="CW108" s="152"/>
      <c r="CX108" s="152"/>
      <c r="CY108" s="152"/>
      <c r="CZ108" s="152"/>
      <c r="DA108" s="152"/>
      <c r="DB108" s="152"/>
      <c r="DC108" s="152"/>
      <c r="DD108" s="152"/>
      <c r="DE108" s="152"/>
      <c r="DF108" s="152"/>
      <c r="DG108" s="152"/>
      <c r="DH108" s="152"/>
      <c r="DI108" s="152"/>
      <c r="DJ108" s="152"/>
      <c r="DK108" s="152"/>
      <c r="DL108" s="152"/>
      <c r="DM108" s="152"/>
      <c r="DN108" s="152"/>
      <c r="DO108" s="152"/>
      <c r="DP108" s="152"/>
      <c r="DQ108" s="152"/>
      <c r="DR108" s="152"/>
      <c r="DS108" s="152"/>
      <c r="DT108" s="152"/>
      <c r="DU108" s="152"/>
      <c r="DV108" s="152"/>
      <c r="DW108" s="152"/>
      <c r="DX108" s="152"/>
      <c r="DY108" s="152"/>
      <c r="DZ108" s="152"/>
      <c r="EA108" s="152"/>
      <c r="EB108" s="152"/>
      <c r="EC108" s="152"/>
      <c r="ED108" s="152"/>
      <c r="EE108" s="152"/>
      <c r="EF108" s="152"/>
      <c r="EG108" s="152"/>
      <c r="EH108" s="152"/>
      <c r="EI108" s="152"/>
      <c r="EJ108" s="152"/>
      <c r="EK108" s="152"/>
      <c r="EL108" s="152"/>
      <c r="EM108" s="152"/>
      <c r="EN108" s="152"/>
      <c r="EO108" s="152"/>
      <c r="EP108" s="152"/>
      <c r="EQ108" s="152"/>
      <c r="ER108" s="152"/>
      <c r="ES108" s="152"/>
      <c r="ET108" s="152"/>
      <c r="EU108" s="152"/>
      <c r="EV108" s="152"/>
      <c r="EW108" s="152"/>
      <c r="EX108" s="152"/>
      <c r="EY108" s="152"/>
      <c r="EZ108" s="152"/>
      <c r="FA108" s="152"/>
      <c r="FB108" s="152"/>
      <c r="FC108" s="152"/>
      <c r="FD108" s="152"/>
      <c r="FE108" s="152"/>
      <c r="FF108" s="152"/>
      <c r="FG108" s="152"/>
      <c r="FH108" s="152"/>
      <c r="FI108" s="152"/>
      <c r="FJ108" s="152"/>
      <c r="FK108" s="152"/>
      <c r="FL108" s="152"/>
      <c r="FM108" s="152"/>
      <c r="FN108" s="152"/>
      <c r="FO108" s="152"/>
      <c r="FP108" s="152"/>
      <c r="FQ108" s="152"/>
      <c r="FR108" s="152"/>
      <c r="FS108" s="152"/>
      <c r="FT108" s="152"/>
      <c r="FU108" s="152"/>
      <c r="FV108" s="152"/>
      <c r="FW108" s="152"/>
      <c r="FX108" s="152"/>
      <c r="FY108" s="152"/>
      <c r="FZ108" s="152"/>
      <c r="GA108" s="152"/>
      <c r="GB108" s="152"/>
      <c r="GC108" s="152"/>
      <c r="GD108" s="152"/>
      <c r="GE108" s="152"/>
      <c r="GF108" s="152"/>
      <c r="GG108" s="152"/>
      <c r="GH108" s="152"/>
      <c r="GI108" s="152"/>
      <c r="GJ108" s="152"/>
      <c r="GK108" s="152"/>
      <c r="GL108" s="152"/>
      <c r="GM108" s="152"/>
      <c r="GN108" s="152"/>
      <c r="GO108" s="152"/>
      <c r="GP108" s="152"/>
      <c r="GQ108" s="152"/>
      <c r="GR108" s="152"/>
      <c r="GS108" s="152"/>
      <c r="GT108" s="152"/>
      <c r="GU108" s="152"/>
      <c r="GV108" s="152"/>
      <c r="GW108" s="152"/>
      <c r="GX108" s="152"/>
      <c r="GY108" s="152"/>
      <c r="GZ108" s="152"/>
      <c r="HA108" s="152"/>
      <c r="HB108" s="152"/>
      <c r="HC108" s="152"/>
      <c r="HD108" s="152"/>
      <c r="HE108" s="152"/>
      <c r="HF108" s="152"/>
      <c r="HG108" s="152"/>
      <c r="HH108" s="152"/>
      <c r="HI108" s="152"/>
      <c r="HJ108" s="152"/>
      <c r="HK108" s="152"/>
      <c r="HL108" s="152"/>
      <c r="HM108" s="152"/>
      <c r="HN108" s="152"/>
      <c r="HO108" s="152"/>
      <c r="HP108" s="152"/>
      <c r="HQ108" s="152"/>
      <c r="HR108" s="152"/>
      <c r="HS108" s="152"/>
      <c r="HT108" s="152"/>
      <c r="HU108" s="152"/>
      <c r="HV108" s="152"/>
      <c r="HW108" s="152"/>
      <c r="HX108" s="152"/>
      <c r="HY108" s="152"/>
      <c r="HZ108" s="152"/>
      <c r="IA108" s="152"/>
      <c r="IB108" s="152"/>
      <c r="IC108" s="152"/>
      <c r="ID108" s="152"/>
      <c r="IE108" s="152"/>
      <c r="IF108" s="152"/>
      <c r="IG108" s="152"/>
      <c r="IH108" s="152"/>
      <c r="II108" s="152"/>
      <c r="IJ108" s="152"/>
      <c r="IK108" s="152"/>
      <c r="IL108" s="152"/>
      <c r="IM108" s="152"/>
      <c r="IN108" s="152"/>
      <c r="IO108" s="152"/>
      <c r="IP108" s="152"/>
      <c r="IQ108" s="152"/>
      <c r="IR108" s="152"/>
      <c r="IS108" s="152"/>
      <c r="IT108" s="152"/>
      <c r="IU108" s="152"/>
      <c r="IV108" s="152"/>
    </row>
    <row r="109" spans="1:256" s="122" customFormat="1" x14ac:dyDescent="0.25">
      <c r="A109" s="124"/>
      <c r="B109" s="115"/>
      <c r="C109" s="125"/>
      <c r="D109" s="123"/>
      <c r="E109" s="127"/>
      <c r="F109" s="116"/>
      <c r="G109" s="116"/>
      <c r="H109" s="116"/>
      <c r="I109" s="116"/>
      <c r="J109" s="116"/>
      <c r="K109" s="116"/>
      <c r="L109" s="125"/>
      <c r="M109" s="118"/>
      <c r="N109" s="118"/>
      <c r="O109" s="118"/>
      <c r="P109" s="116"/>
      <c r="Q109" s="123"/>
      <c r="R109" s="118"/>
      <c r="S109" s="115"/>
      <c r="T109" s="115"/>
      <c r="U109" s="152"/>
      <c r="V109" s="152"/>
      <c r="W109" s="152"/>
      <c r="X109" s="152"/>
      <c r="Y109" s="152"/>
      <c r="Z109" s="152"/>
      <c r="AA109" s="152"/>
      <c r="AB109" s="152"/>
      <c r="AC109" s="152"/>
      <c r="AD109" s="152"/>
      <c r="AE109" s="152"/>
      <c r="AF109" s="152"/>
      <c r="AG109" s="152"/>
      <c r="AH109" s="152"/>
      <c r="AI109" s="152"/>
      <c r="AJ109" s="152"/>
      <c r="AK109" s="152"/>
      <c r="AL109" s="152"/>
      <c r="AM109" s="152"/>
      <c r="AN109" s="152"/>
      <c r="AO109" s="152"/>
      <c r="AP109" s="152"/>
      <c r="AQ109" s="152"/>
      <c r="AR109" s="152"/>
      <c r="AS109" s="152"/>
      <c r="AT109" s="152"/>
      <c r="AU109" s="152"/>
      <c r="AV109" s="152"/>
      <c r="AW109" s="152"/>
      <c r="AX109" s="152"/>
      <c r="AY109" s="152"/>
      <c r="AZ109" s="152"/>
      <c r="BA109" s="152"/>
      <c r="BB109" s="152"/>
      <c r="BC109" s="152"/>
      <c r="BD109" s="152"/>
      <c r="BE109" s="152"/>
      <c r="BF109" s="152"/>
      <c r="BG109" s="152"/>
      <c r="BH109" s="152"/>
      <c r="BI109" s="152"/>
      <c r="BJ109" s="152"/>
      <c r="BK109" s="152"/>
      <c r="BL109" s="152"/>
      <c r="BM109" s="152"/>
      <c r="BN109" s="152"/>
      <c r="BO109" s="152"/>
      <c r="BP109" s="152"/>
      <c r="BQ109" s="152"/>
      <c r="BR109" s="152"/>
      <c r="BS109" s="152"/>
      <c r="BT109" s="152"/>
      <c r="BU109" s="152"/>
      <c r="BV109" s="152"/>
      <c r="BW109" s="152"/>
      <c r="BX109" s="152"/>
      <c r="BY109" s="152"/>
      <c r="BZ109" s="152"/>
      <c r="CA109" s="152"/>
      <c r="CB109" s="152"/>
      <c r="CC109" s="152"/>
      <c r="CD109" s="152"/>
      <c r="CE109" s="152"/>
      <c r="CF109" s="152"/>
      <c r="CG109" s="152"/>
      <c r="CH109" s="152"/>
      <c r="CI109" s="152"/>
      <c r="CJ109" s="152"/>
      <c r="CK109" s="152"/>
      <c r="CL109" s="152"/>
      <c r="CM109" s="152"/>
      <c r="CN109" s="152"/>
      <c r="CO109" s="152"/>
      <c r="CP109" s="152"/>
      <c r="CQ109" s="152"/>
      <c r="CR109" s="152"/>
      <c r="CS109" s="152"/>
      <c r="CT109" s="152"/>
      <c r="CU109" s="152"/>
      <c r="CV109" s="152"/>
      <c r="CW109" s="152"/>
      <c r="CX109" s="152"/>
      <c r="CY109" s="152"/>
      <c r="CZ109" s="152"/>
      <c r="DA109" s="152"/>
      <c r="DB109" s="152"/>
      <c r="DC109" s="152"/>
      <c r="DD109" s="152"/>
      <c r="DE109" s="152"/>
      <c r="DF109" s="152"/>
      <c r="DG109" s="152"/>
      <c r="DH109" s="152"/>
      <c r="DI109" s="152"/>
      <c r="DJ109" s="152"/>
      <c r="DK109" s="152"/>
      <c r="DL109" s="152"/>
      <c r="DM109" s="152"/>
      <c r="DN109" s="152"/>
      <c r="DO109" s="152"/>
      <c r="DP109" s="152"/>
      <c r="DQ109" s="152"/>
      <c r="DR109" s="152"/>
      <c r="DS109" s="152"/>
      <c r="DT109" s="152"/>
      <c r="DU109" s="152"/>
      <c r="DV109" s="152"/>
      <c r="DW109" s="152"/>
      <c r="DX109" s="152"/>
      <c r="DY109" s="152"/>
      <c r="DZ109" s="152"/>
      <c r="EA109" s="152"/>
      <c r="EB109" s="152"/>
      <c r="EC109" s="152"/>
      <c r="ED109" s="152"/>
      <c r="EE109" s="152"/>
      <c r="EF109" s="152"/>
      <c r="EG109" s="152"/>
      <c r="EH109" s="152"/>
      <c r="EI109" s="152"/>
      <c r="EJ109" s="152"/>
      <c r="EK109" s="152"/>
      <c r="EL109" s="152"/>
      <c r="EM109" s="152"/>
      <c r="EN109" s="152"/>
      <c r="EO109" s="152"/>
      <c r="EP109" s="152"/>
      <c r="EQ109" s="152"/>
      <c r="ER109" s="152"/>
      <c r="ES109" s="152"/>
      <c r="ET109" s="152"/>
      <c r="EU109" s="152"/>
      <c r="EV109" s="152"/>
      <c r="EW109" s="152"/>
      <c r="EX109" s="152"/>
      <c r="EY109" s="152"/>
      <c r="EZ109" s="152"/>
      <c r="FA109" s="152"/>
      <c r="FB109" s="152"/>
      <c r="FC109" s="152"/>
      <c r="FD109" s="152"/>
      <c r="FE109" s="152"/>
      <c r="FF109" s="152"/>
      <c r="FG109" s="152"/>
      <c r="FH109" s="152"/>
      <c r="FI109" s="152"/>
      <c r="FJ109" s="152"/>
      <c r="FK109" s="152"/>
      <c r="FL109" s="152"/>
      <c r="FM109" s="152"/>
      <c r="FN109" s="152"/>
      <c r="FO109" s="152"/>
      <c r="FP109" s="152"/>
      <c r="FQ109" s="152"/>
      <c r="FR109" s="152"/>
      <c r="FS109" s="152"/>
      <c r="FT109" s="152"/>
      <c r="FU109" s="152"/>
      <c r="FV109" s="152"/>
      <c r="FW109" s="152"/>
      <c r="FX109" s="152"/>
      <c r="FY109" s="152"/>
      <c r="FZ109" s="152"/>
      <c r="GA109" s="152"/>
      <c r="GB109" s="152"/>
      <c r="GC109" s="152"/>
      <c r="GD109" s="152"/>
      <c r="GE109" s="152"/>
      <c r="GF109" s="152"/>
      <c r="GG109" s="152"/>
      <c r="GH109" s="152"/>
      <c r="GI109" s="152"/>
      <c r="GJ109" s="152"/>
      <c r="GK109" s="152"/>
      <c r="GL109" s="152"/>
      <c r="GM109" s="152"/>
      <c r="GN109" s="152"/>
      <c r="GO109" s="152"/>
      <c r="GP109" s="152"/>
      <c r="GQ109" s="152"/>
      <c r="GR109" s="152"/>
      <c r="GS109" s="152"/>
      <c r="GT109" s="152"/>
      <c r="GU109" s="152"/>
      <c r="GV109" s="152"/>
      <c r="GW109" s="152"/>
      <c r="GX109" s="152"/>
      <c r="GY109" s="152"/>
      <c r="GZ109" s="152"/>
      <c r="HA109" s="152"/>
      <c r="HB109" s="152"/>
      <c r="HC109" s="152"/>
      <c r="HD109" s="152"/>
      <c r="HE109" s="152"/>
      <c r="HF109" s="152"/>
      <c r="HG109" s="152"/>
      <c r="HH109" s="152"/>
      <c r="HI109" s="152"/>
      <c r="HJ109" s="152"/>
      <c r="HK109" s="152"/>
      <c r="HL109" s="152"/>
      <c r="HM109" s="152"/>
      <c r="HN109" s="152"/>
      <c r="HO109" s="152"/>
      <c r="HP109" s="152"/>
      <c r="HQ109" s="152"/>
      <c r="HR109" s="152"/>
      <c r="HS109" s="152"/>
      <c r="HT109" s="152"/>
      <c r="HU109" s="152"/>
      <c r="HV109" s="152"/>
      <c r="HW109" s="152"/>
      <c r="HX109" s="152"/>
      <c r="HY109" s="152"/>
      <c r="HZ109" s="152"/>
      <c r="IA109" s="152"/>
      <c r="IB109" s="152"/>
      <c r="IC109" s="152"/>
      <c r="ID109" s="152"/>
      <c r="IE109" s="152"/>
      <c r="IF109" s="152"/>
      <c r="IG109" s="152"/>
      <c r="IH109" s="152"/>
      <c r="II109" s="152"/>
      <c r="IJ109" s="152"/>
      <c r="IK109" s="152"/>
      <c r="IL109" s="152"/>
      <c r="IM109" s="152"/>
      <c r="IN109" s="152"/>
      <c r="IO109" s="152"/>
      <c r="IP109" s="152"/>
      <c r="IQ109" s="152"/>
      <c r="IR109" s="152"/>
      <c r="IS109" s="152"/>
      <c r="IT109" s="152"/>
      <c r="IU109" s="152"/>
      <c r="IV109" s="152"/>
    </row>
    <row r="110" spans="1:256" s="122" customFormat="1" x14ac:dyDescent="0.25">
      <c r="A110" s="151"/>
      <c r="B110" s="131"/>
      <c r="C110" s="131"/>
      <c r="F110" s="131"/>
      <c r="G110" s="131"/>
      <c r="H110" s="131"/>
      <c r="I110" s="131"/>
      <c r="J110" s="131"/>
      <c r="K110" s="131"/>
      <c r="L110" s="131"/>
      <c r="P110" s="131"/>
    </row>
    <row r="111" spans="1:256" s="122" customFormat="1" x14ac:dyDescent="0.25">
      <c r="A111" s="95"/>
      <c r="B111" s="100"/>
      <c r="C111" s="101"/>
      <c r="D111" s="95"/>
      <c r="E111" s="95"/>
      <c r="F111" s="101"/>
      <c r="G111" s="114"/>
      <c r="H111" s="114"/>
      <c r="I111" s="101"/>
      <c r="J111" s="101"/>
      <c r="K111" s="101"/>
      <c r="L111" s="101"/>
      <c r="M111" s="152"/>
      <c r="N111" s="101"/>
      <c r="O111" s="101"/>
      <c r="P111" s="101"/>
      <c r="Q111" s="95"/>
      <c r="R111" s="152"/>
      <c r="S111" s="152"/>
      <c r="T111" s="152"/>
      <c r="U111" s="152"/>
      <c r="V111" s="152"/>
      <c r="W111" s="100"/>
      <c r="X111" s="100"/>
      <c r="Y111" s="100"/>
      <c r="Z111" s="100"/>
      <c r="AA111" s="100"/>
      <c r="AB111" s="100"/>
      <c r="AC111" s="100"/>
      <c r="AD111" s="100"/>
      <c r="AE111" s="100"/>
      <c r="AF111" s="100"/>
      <c r="AG111" s="100"/>
      <c r="AH111" s="100"/>
      <c r="AI111" s="100"/>
      <c r="AJ111" s="100"/>
      <c r="AK111" s="100"/>
      <c r="AL111" s="100"/>
      <c r="AM111" s="100"/>
      <c r="AN111" s="100"/>
      <c r="AO111" s="100"/>
      <c r="AP111" s="100"/>
      <c r="AQ111" s="100"/>
      <c r="AR111" s="100"/>
      <c r="AS111" s="100"/>
      <c r="AT111" s="100"/>
      <c r="AU111" s="100"/>
      <c r="AV111" s="100"/>
      <c r="AW111" s="100"/>
      <c r="AX111" s="100"/>
      <c r="AY111" s="100"/>
      <c r="AZ111" s="100"/>
      <c r="BA111" s="100"/>
      <c r="BB111" s="100"/>
      <c r="BC111" s="100"/>
      <c r="BD111" s="100"/>
      <c r="BE111" s="100"/>
      <c r="BF111" s="100"/>
      <c r="BG111" s="100"/>
      <c r="BH111" s="100"/>
      <c r="BI111" s="100"/>
      <c r="BJ111" s="100"/>
      <c r="BK111" s="100"/>
      <c r="BL111" s="100"/>
      <c r="BM111" s="100"/>
      <c r="BN111" s="100"/>
      <c r="BO111" s="100"/>
      <c r="BP111" s="100"/>
      <c r="BQ111" s="100"/>
      <c r="BR111" s="100"/>
      <c r="BS111" s="100"/>
      <c r="BT111" s="100"/>
      <c r="BU111" s="100"/>
      <c r="BV111" s="100"/>
      <c r="BW111" s="100"/>
      <c r="BX111" s="100"/>
      <c r="BY111" s="100"/>
      <c r="BZ111" s="100"/>
      <c r="CA111" s="100"/>
      <c r="CB111" s="100"/>
      <c r="CC111" s="100"/>
      <c r="CD111" s="100"/>
      <c r="CE111" s="100"/>
      <c r="CF111" s="100"/>
      <c r="CG111" s="100"/>
      <c r="CH111" s="100"/>
      <c r="CI111" s="100"/>
      <c r="CJ111" s="100"/>
      <c r="CK111" s="100"/>
      <c r="CL111" s="100"/>
      <c r="CM111" s="100"/>
      <c r="CN111" s="100"/>
      <c r="CO111" s="100"/>
      <c r="CP111" s="100"/>
      <c r="CQ111" s="100"/>
      <c r="CR111" s="100"/>
      <c r="CS111" s="100"/>
      <c r="CT111" s="100"/>
      <c r="CU111" s="100"/>
      <c r="CV111" s="100"/>
      <c r="CW111" s="100"/>
      <c r="CX111" s="100"/>
      <c r="CY111" s="100"/>
      <c r="CZ111" s="100"/>
      <c r="DA111" s="100"/>
      <c r="DB111" s="100"/>
      <c r="DC111" s="100"/>
      <c r="DD111" s="100"/>
      <c r="DE111" s="100"/>
      <c r="DF111" s="100"/>
      <c r="DG111" s="100"/>
      <c r="DH111" s="100"/>
      <c r="DI111" s="100"/>
      <c r="DJ111" s="100"/>
      <c r="DK111" s="100"/>
      <c r="DL111" s="100"/>
      <c r="DM111" s="100"/>
      <c r="DN111" s="100"/>
      <c r="DO111" s="100"/>
      <c r="DP111" s="100"/>
      <c r="DQ111" s="100"/>
      <c r="DR111" s="100"/>
      <c r="DS111" s="100"/>
      <c r="DT111" s="100"/>
      <c r="DU111" s="100"/>
      <c r="DV111" s="100"/>
      <c r="DW111" s="100"/>
      <c r="DX111" s="100"/>
      <c r="DY111" s="100"/>
      <c r="DZ111" s="100"/>
      <c r="EA111" s="100"/>
      <c r="EB111" s="100"/>
      <c r="EC111" s="100"/>
      <c r="ED111" s="100"/>
      <c r="EE111" s="100"/>
      <c r="EF111" s="100"/>
      <c r="EG111" s="100"/>
      <c r="EH111" s="100"/>
      <c r="EI111" s="100"/>
      <c r="EJ111" s="100"/>
      <c r="EK111" s="100"/>
      <c r="EL111" s="100"/>
      <c r="EM111" s="100"/>
      <c r="EN111" s="100"/>
      <c r="EO111" s="100"/>
      <c r="EP111" s="100"/>
      <c r="EQ111" s="100"/>
      <c r="ER111" s="100"/>
      <c r="ES111" s="100"/>
      <c r="ET111" s="100"/>
      <c r="EU111" s="100"/>
      <c r="EV111" s="100"/>
      <c r="EW111" s="100"/>
      <c r="EX111" s="100"/>
      <c r="EY111" s="100"/>
      <c r="EZ111" s="100"/>
      <c r="FA111" s="100"/>
      <c r="FB111" s="100"/>
      <c r="FC111" s="100"/>
      <c r="FD111" s="100"/>
      <c r="FE111" s="100"/>
      <c r="FF111" s="100"/>
      <c r="FG111" s="100"/>
      <c r="FH111" s="100"/>
      <c r="FI111" s="100"/>
      <c r="FJ111" s="100"/>
      <c r="FK111" s="100"/>
      <c r="FL111" s="100"/>
      <c r="FM111" s="100"/>
      <c r="FN111" s="100"/>
      <c r="FO111" s="100"/>
      <c r="FP111" s="100"/>
      <c r="FQ111" s="100"/>
      <c r="FR111" s="100"/>
      <c r="FS111" s="100"/>
      <c r="FT111" s="100"/>
      <c r="FU111" s="100"/>
      <c r="FV111" s="100"/>
      <c r="FW111" s="100"/>
      <c r="FX111" s="100"/>
      <c r="FY111" s="100"/>
      <c r="FZ111" s="100"/>
      <c r="GA111" s="100"/>
      <c r="GB111" s="100"/>
      <c r="GC111" s="100"/>
      <c r="GD111" s="100"/>
      <c r="GE111" s="100"/>
      <c r="GF111" s="100"/>
      <c r="GG111" s="100"/>
      <c r="GH111" s="100"/>
      <c r="GI111" s="100"/>
      <c r="GJ111" s="100"/>
      <c r="GK111" s="100"/>
      <c r="GL111" s="100"/>
      <c r="GM111" s="100"/>
      <c r="GN111" s="100"/>
      <c r="GO111" s="100"/>
      <c r="GP111" s="100"/>
      <c r="GQ111" s="100"/>
      <c r="GR111" s="100"/>
      <c r="GS111" s="100"/>
      <c r="GT111" s="100"/>
      <c r="GU111" s="100"/>
      <c r="GV111" s="100"/>
      <c r="GW111" s="100"/>
      <c r="GX111" s="100"/>
      <c r="GY111" s="100"/>
      <c r="GZ111" s="100"/>
      <c r="HA111" s="100"/>
      <c r="HB111" s="100"/>
      <c r="HC111" s="100"/>
      <c r="HD111" s="100"/>
      <c r="HE111" s="100"/>
      <c r="HF111" s="100"/>
      <c r="HG111" s="100"/>
      <c r="HH111" s="100"/>
      <c r="HI111" s="100"/>
      <c r="HJ111" s="100"/>
      <c r="HK111" s="100"/>
      <c r="HL111" s="100"/>
      <c r="HM111" s="100"/>
      <c r="HN111" s="100"/>
      <c r="HO111" s="100"/>
      <c r="HP111" s="100"/>
      <c r="HQ111" s="100"/>
      <c r="HR111" s="100"/>
      <c r="HS111" s="100"/>
      <c r="HT111" s="100"/>
      <c r="HU111" s="100"/>
      <c r="HV111" s="100"/>
      <c r="HW111" s="100"/>
      <c r="HX111" s="100"/>
      <c r="HY111" s="100"/>
      <c r="HZ111" s="100"/>
      <c r="IA111" s="100"/>
      <c r="IB111" s="100"/>
      <c r="IC111" s="100"/>
      <c r="ID111" s="100"/>
      <c r="IE111" s="100"/>
      <c r="IF111" s="100"/>
      <c r="IG111" s="100"/>
      <c r="IH111" s="100"/>
      <c r="II111" s="100"/>
      <c r="IJ111" s="100"/>
      <c r="IK111" s="100"/>
      <c r="IL111" s="100"/>
      <c r="IM111" s="100"/>
      <c r="IN111" s="100"/>
      <c r="IO111" s="100"/>
      <c r="IP111" s="100"/>
      <c r="IQ111" s="100"/>
      <c r="IR111" s="100"/>
      <c r="IS111" s="100"/>
      <c r="IT111" s="100"/>
      <c r="IU111" s="100"/>
      <c r="IV111" s="100"/>
    </row>
    <row r="112" spans="1:256" s="122" customFormat="1" x14ac:dyDescent="0.25">
      <c r="A112" s="95"/>
      <c r="B112" s="101"/>
      <c r="C112" s="101"/>
      <c r="D112" s="95"/>
      <c r="E112" s="101"/>
      <c r="F112" s="101"/>
      <c r="G112" s="101"/>
      <c r="H112" s="101"/>
      <c r="I112" s="101"/>
      <c r="J112" s="101"/>
      <c r="K112" s="101"/>
      <c r="L112" s="101"/>
      <c r="M112" s="101"/>
      <c r="N112" s="101"/>
      <c r="O112" s="101"/>
      <c r="P112" s="101"/>
      <c r="Q112" s="101"/>
      <c r="R112" s="101"/>
      <c r="S112" s="101"/>
      <c r="T112" s="101"/>
      <c r="U112" s="152"/>
      <c r="V112" s="152"/>
      <c r="W112" s="152"/>
      <c r="X112" s="152"/>
      <c r="Y112" s="152"/>
      <c r="Z112" s="152"/>
      <c r="AA112" s="152"/>
      <c r="AB112" s="152"/>
      <c r="AC112" s="152"/>
      <c r="AD112" s="152"/>
      <c r="AE112" s="152"/>
      <c r="AF112" s="152"/>
      <c r="AG112" s="152"/>
      <c r="AH112" s="152"/>
      <c r="AI112" s="152"/>
      <c r="AJ112" s="152"/>
      <c r="AK112" s="152"/>
      <c r="AL112" s="152"/>
      <c r="AM112" s="152"/>
      <c r="AN112" s="152"/>
      <c r="AO112" s="152"/>
      <c r="AP112" s="152"/>
      <c r="AQ112" s="152"/>
      <c r="AR112" s="152"/>
      <c r="AS112" s="152"/>
      <c r="AT112" s="152"/>
      <c r="AU112" s="152"/>
      <c r="AV112" s="152"/>
      <c r="AW112" s="152"/>
      <c r="AX112" s="152"/>
      <c r="AY112" s="152"/>
      <c r="AZ112" s="152"/>
      <c r="BA112" s="152"/>
      <c r="BB112" s="152"/>
      <c r="BC112" s="152"/>
      <c r="BD112" s="152"/>
      <c r="BE112" s="152"/>
      <c r="BF112" s="152"/>
      <c r="BG112" s="152"/>
      <c r="BH112" s="152"/>
      <c r="BI112" s="152"/>
      <c r="BJ112" s="152"/>
      <c r="BK112" s="152"/>
      <c r="BL112" s="152"/>
      <c r="BM112" s="152"/>
      <c r="BN112" s="152"/>
      <c r="BO112" s="152"/>
      <c r="BP112" s="152"/>
      <c r="BQ112" s="152"/>
      <c r="BR112" s="152"/>
      <c r="BS112" s="152"/>
      <c r="BT112" s="152"/>
      <c r="BU112" s="152"/>
      <c r="BV112" s="152"/>
      <c r="BW112" s="152"/>
      <c r="BX112" s="152"/>
      <c r="BY112" s="152"/>
      <c r="BZ112" s="152"/>
      <c r="CA112" s="152"/>
      <c r="CB112" s="152"/>
      <c r="CC112" s="152"/>
      <c r="CD112" s="152"/>
      <c r="CE112" s="152"/>
      <c r="CF112" s="152"/>
      <c r="CG112" s="152"/>
      <c r="CH112" s="152"/>
      <c r="CI112" s="152"/>
      <c r="CJ112" s="152"/>
      <c r="CK112" s="152"/>
      <c r="CL112" s="152"/>
      <c r="CM112" s="152"/>
      <c r="CN112" s="152"/>
      <c r="CO112" s="152"/>
      <c r="CP112" s="152"/>
      <c r="CQ112" s="152"/>
      <c r="CR112" s="152"/>
      <c r="CS112" s="152"/>
      <c r="CT112" s="152"/>
      <c r="CU112" s="152"/>
      <c r="CV112" s="152"/>
      <c r="CW112" s="152"/>
      <c r="CX112" s="152"/>
      <c r="CY112" s="152"/>
      <c r="CZ112" s="152"/>
      <c r="DA112" s="152"/>
      <c r="DB112" s="152"/>
      <c r="DC112" s="152"/>
      <c r="DD112" s="152"/>
      <c r="DE112" s="152"/>
      <c r="DF112" s="152"/>
      <c r="DG112" s="152"/>
      <c r="DH112" s="152"/>
      <c r="DI112" s="152"/>
      <c r="DJ112" s="152"/>
      <c r="DK112" s="152"/>
      <c r="DL112" s="152"/>
      <c r="DM112" s="152"/>
      <c r="DN112" s="152"/>
      <c r="DO112" s="152"/>
      <c r="DP112" s="152"/>
      <c r="DQ112" s="152"/>
      <c r="DR112" s="152"/>
      <c r="DS112" s="152"/>
      <c r="DT112" s="152"/>
      <c r="DU112" s="152"/>
      <c r="DV112" s="152"/>
      <c r="DW112" s="152"/>
      <c r="DX112" s="152"/>
      <c r="DY112" s="152"/>
      <c r="DZ112" s="152"/>
      <c r="EA112" s="152"/>
      <c r="EB112" s="152"/>
      <c r="EC112" s="152"/>
      <c r="ED112" s="152"/>
      <c r="EE112" s="152"/>
      <c r="EF112" s="152"/>
      <c r="EG112" s="152"/>
      <c r="EH112" s="152"/>
      <c r="EI112" s="152"/>
      <c r="EJ112" s="152"/>
      <c r="EK112" s="152"/>
      <c r="EL112" s="152"/>
      <c r="EM112" s="152"/>
      <c r="EN112" s="152"/>
      <c r="EO112" s="152"/>
      <c r="EP112" s="152"/>
      <c r="EQ112" s="152"/>
      <c r="ER112" s="152"/>
      <c r="ES112" s="152"/>
      <c r="ET112" s="152"/>
      <c r="EU112" s="152"/>
      <c r="EV112" s="152"/>
      <c r="EW112" s="152"/>
      <c r="EX112" s="152"/>
      <c r="EY112" s="152"/>
      <c r="EZ112" s="152"/>
      <c r="FA112" s="152"/>
      <c r="FB112" s="152"/>
      <c r="FC112" s="152"/>
      <c r="FD112" s="152"/>
      <c r="FE112" s="152"/>
      <c r="FF112" s="152"/>
      <c r="FG112" s="152"/>
      <c r="FH112" s="152"/>
      <c r="FI112" s="152"/>
      <c r="FJ112" s="152"/>
      <c r="FK112" s="152"/>
      <c r="FL112" s="152"/>
      <c r="FM112" s="152"/>
      <c r="FN112" s="152"/>
      <c r="FO112" s="152"/>
      <c r="FP112" s="152"/>
      <c r="FQ112" s="152"/>
      <c r="FR112" s="152"/>
      <c r="FS112" s="152"/>
      <c r="FT112" s="152"/>
      <c r="FU112" s="152"/>
      <c r="FV112" s="152"/>
      <c r="FW112" s="152"/>
      <c r="FX112" s="152"/>
      <c r="FY112" s="152"/>
      <c r="FZ112" s="152"/>
      <c r="GA112" s="152"/>
      <c r="GB112" s="152"/>
      <c r="GC112" s="152"/>
      <c r="GD112" s="152"/>
      <c r="GE112" s="152"/>
      <c r="GF112" s="152"/>
      <c r="GG112" s="152"/>
      <c r="GH112" s="152"/>
      <c r="GI112" s="152"/>
      <c r="GJ112" s="152"/>
      <c r="GK112" s="152"/>
      <c r="GL112" s="152"/>
      <c r="GM112" s="152"/>
      <c r="GN112" s="152"/>
      <c r="GO112" s="152"/>
      <c r="GP112" s="152"/>
      <c r="GQ112" s="152"/>
      <c r="GR112" s="152"/>
      <c r="GS112" s="152"/>
      <c r="GT112" s="152"/>
      <c r="GU112" s="152"/>
      <c r="GV112" s="152"/>
      <c r="GW112" s="152"/>
      <c r="GX112" s="152"/>
      <c r="GY112" s="152"/>
      <c r="GZ112" s="152"/>
      <c r="HA112" s="152"/>
      <c r="HB112" s="152"/>
      <c r="HC112" s="152"/>
      <c r="HD112" s="152"/>
      <c r="HE112" s="152"/>
      <c r="HF112" s="152"/>
      <c r="HG112" s="152"/>
      <c r="HH112" s="152"/>
      <c r="HI112" s="152"/>
      <c r="HJ112" s="152"/>
      <c r="HK112" s="152"/>
      <c r="HL112" s="152"/>
      <c r="HM112" s="152"/>
      <c r="HN112" s="152"/>
      <c r="HO112" s="152"/>
      <c r="HP112" s="152"/>
      <c r="HQ112" s="152"/>
      <c r="HR112" s="152"/>
      <c r="HS112" s="152"/>
      <c r="HT112" s="152"/>
      <c r="HU112" s="152"/>
      <c r="HV112" s="152"/>
      <c r="HW112" s="152"/>
      <c r="HX112" s="152"/>
      <c r="HY112" s="152"/>
      <c r="HZ112" s="152"/>
      <c r="IA112" s="152"/>
      <c r="IB112" s="152"/>
      <c r="IC112" s="152"/>
      <c r="ID112" s="152"/>
      <c r="IE112" s="152"/>
      <c r="IF112" s="152"/>
      <c r="IG112" s="152"/>
      <c r="IH112" s="152"/>
      <c r="II112" s="152"/>
      <c r="IJ112" s="152"/>
      <c r="IK112" s="152"/>
      <c r="IL112" s="152"/>
      <c r="IM112" s="152"/>
      <c r="IN112" s="152"/>
      <c r="IO112" s="152"/>
      <c r="IP112" s="152"/>
      <c r="IQ112" s="152"/>
      <c r="IR112" s="152"/>
      <c r="IS112" s="152"/>
      <c r="IT112" s="152"/>
      <c r="IU112" s="152"/>
      <c r="IV112" s="152"/>
    </row>
    <row r="113" spans="1:256" s="122" customFormat="1" x14ac:dyDescent="0.25">
      <c r="A113" s="97"/>
      <c r="B113" s="100"/>
      <c r="C113" s="101"/>
      <c r="D113" s="95"/>
      <c r="E113" s="95"/>
      <c r="F113" s="101"/>
      <c r="G113" s="114"/>
      <c r="H113" s="114"/>
      <c r="I113" s="101"/>
      <c r="J113" s="101"/>
      <c r="K113" s="101"/>
      <c r="L113" s="114"/>
      <c r="M113" s="114"/>
      <c r="N113" s="114"/>
      <c r="O113" s="114"/>
      <c r="P113" s="100"/>
      <c r="Q113" s="95"/>
      <c r="R113" s="114"/>
      <c r="S113" s="100"/>
      <c r="T113" s="100"/>
      <c r="U113" s="152"/>
      <c r="V113" s="152"/>
      <c r="W113" s="152"/>
      <c r="X113" s="152"/>
      <c r="Y113" s="152"/>
      <c r="Z113" s="152"/>
      <c r="AA113" s="152"/>
      <c r="AB113" s="152"/>
      <c r="AC113" s="152"/>
      <c r="AD113" s="152"/>
      <c r="AE113" s="152"/>
      <c r="AF113" s="152"/>
      <c r="AG113" s="152"/>
      <c r="AH113" s="152"/>
      <c r="AI113" s="152"/>
      <c r="AJ113" s="152"/>
      <c r="AK113" s="152"/>
      <c r="AL113" s="152"/>
      <c r="AM113" s="152"/>
      <c r="AN113" s="152"/>
      <c r="AO113" s="152"/>
      <c r="AP113" s="152"/>
      <c r="AQ113" s="152"/>
      <c r="AR113" s="152"/>
      <c r="AS113" s="152"/>
      <c r="AT113" s="152"/>
      <c r="AU113" s="152"/>
      <c r="AV113" s="152"/>
      <c r="AW113" s="152"/>
      <c r="AX113" s="152"/>
      <c r="AY113" s="152"/>
      <c r="AZ113" s="152"/>
      <c r="BA113" s="152"/>
      <c r="BB113" s="152"/>
      <c r="BC113" s="152"/>
      <c r="BD113" s="152"/>
      <c r="BE113" s="152"/>
      <c r="BF113" s="152"/>
      <c r="BG113" s="152"/>
      <c r="BH113" s="152"/>
      <c r="BI113" s="152"/>
      <c r="BJ113" s="152"/>
      <c r="BK113" s="152"/>
      <c r="BL113" s="152"/>
      <c r="BM113" s="152"/>
      <c r="BN113" s="152"/>
      <c r="BO113" s="152"/>
      <c r="BP113" s="152"/>
      <c r="BQ113" s="152"/>
      <c r="BR113" s="152"/>
      <c r="BS113" s="152"/>
      <c r="BT113" s="152"/>
      <c r="BU113" s="152"/>
      <c r="BV113" s="152"/>
      <c r="BW113" s="152"/>
      <c r="BX113" s="152"/>
      <c r="BY113" s="152"/>
      <c r="BZ113" s="152"/>
      <c r="CA113" s="152"/>
      <c r="CB113" s="152"/>
      <c r="CC113" s="152"/>
      <c r="CD113" s="152"/>
      <c r="CE113" s="152"/>
      <c r="CF113" s="152"/>
      <c r="CG113" s="152"/>
      <c r="CH113" s="152"/>
      <c r="CI113" s="152"/>
      <c r="CJ113" s="152"/>
      <c r="CK113" s="152"/>
      <c r="CL113" s="152"/>
      <c r="CM113" s="152"/>
      <c r="CN113" s="152"/>
      <c r="CO113" s="152"/>
      <c r="CP113" s="152"/>
      <c r="CQ113" s="152"/>
      <c r="CR113" s="152"/>
      <c r="CS113" s="152"/>
      <c r="CT113" s="152"/>
      <c r="CU113" s="152"/>
      <c r="CV113" s="152"/>
      <c r="CW113" s="152"/>
      <c r="CX113" s="152"/>
      <c r="CY113" s="152"/>
      <c r="CZ113" s="152"/>
      <c r="DA113" s="152"/>
      <c r="DB113" s="152"/>
      <c r="DC113" s="152"/>
      <c r="DD113" s="152"/>
      <c r="DE113" s="152"/>
      <c r="DF113" s="152"/>
      <c r="DG113" s="152"/>
      <c r="DH113" s="152"/>
      <c r="DI113" s="152"/>
      <c r="DJ113" s="152"/>
      <c r="DK113" s="152"/>
      <c r="DL113" s="152"/>
      <c r="DM113" s="152"/>
      <c r="DN113" s="152"/>
      <c r="DO113" s="152"/>
      <c r="DP113" s="152"/>
      <c r="DQ113" s="152"/>
      <c r="DR113" s="152"/>
      <c r="DS113" s="152"/>
      <c r="DT113" s="152"/>
      <c r="DU113" s="152"/>
      <c r="DV113" s="152"/>
      <c r="DW113" s="152"/>
      <c r="DX113" s="152"/>
      <c r="DY113" s="152"/>
      <c r="DZ113" s="152"/>
      <c r="EA113" s="152"/>
      <c r="EB113" s="152"/>
      <c r="EC113" s="152"/>
      <c r="ED113" s="152"/>
      <c r="EE113" s="152"/>
      <c r="EF113" s="152"/>
      <c r="EG113" s="152"/>
      <c r="EH113" s="152"/>
      <c r="EI113" s="152"/>
      <c r="EJ113" s="152"/>
      <c r="EK113" s="152"/>
      <c r="EL113" s="152"/>
      <c r="EM113" s="152"/>
      <c r="EN113" s="152"/>
      <c r="EO113" s="152"/>
      <c r="EP113" s="152"/>
      <c r="EQ113" s="152"/>
      <c r="ER113" s="152"/>
      <c r="ES113" s="152"/>
      <c r="ET113" s="152"/>
      <c r="EU113" s="152"/>
      <c r="EV113" s="152"/>
      <c r="EW113" s="152"/>
      <c r="EX113" s="152"/>
      <c r="EY113" s="152"/>
      <c r="EZ113" s="152"/>
      <c r="FA113" s="152"/>
      <c r="FB113" s="152"/>
      <c r="FC113" s="152"/>
      <c r="FD113" s="152"/>
      <c r="FE113" s="152"/>
      <c r="FF113" s="152"/>
      <c r="FG113" s="152"/>
      <c r="FH113" s="152"/>
      <c r="FI113" s="152"/>
      <c r="FJ113" s="152"/>
      <c r="FK113" s="152"/>
      <c r="FL113" s="152"/>
      <c r="FM113" s="152"/>
      <c r="FN113" s="152"/>
      <c r="FO113" s="152"/>
      <c r="FP113" s="152"/>
      <c r="FQ113" s="152"/>
      <c r="FR113" s="152"/>
      <c r="FS113" s="152"/>
      <c r="FT113" s="152"/>
      <c r="FU113" s="152"/>
      <c r="FV113" s="152"/>
      <c r="FW113" s="152"/>
      <c r="FX113" s="152"/>
      <c r="FY113" s="152"/>
      <c r="FZ113" s="152"/>
      <c r="GA113" s="152"/>
      <c r="GB113" s="152"/>
      <c r="GC113" s="152"/>
      <c r="GD113" s="152"/>
      <c r="GE113" s="152"/>
      <c r="GF113" s="152"/>
      <c r="GG113" s="152"/>
      <c r="GH113" s="152"/>
      <c r="GI113" s="152"/>
      <c r="GJ113" s="152"/>
      <c r="GK113" s="152"/>
      <c r="GL113" s="152"/>
      <c r="GM113" s="152"/>
      <c r="GN113" s="152"/>
      <c r="GO113" s="152"/>
      <c r="GP113" s="152"/>
      <c r="GQ113" s="152"/>
      <c r="GR113" s="152"/>
      <c r="GS113" s="152"/>
      <c r="GT113" s="152"/>
      <c r="GU113" s="152"/>
      <c r="GV113" s="152"/>
      <c r="GW113" s="152"/>
      <c r="GX113" s="152"/>
      <c r="GY113" s="152"/>
      <c r="GZ113" s="152"/>
      <c r="HA113" s="152"/>
      <c r="HB113" s="152"/>
      <c r="HC113" s="152"/>
      <c r="HD113" s="152"/>
      <c r="HE113" s="152"/>
      <c r="HF113" s="152"/>
      <c r="HG113" s="152"/>
      <c r="HH113" s="152"/>
      <c r="HI113" s="152"/>
      <c r="HJ113" s="152"/>
      <c r="HK113" s="152"/>
      <c r="HL113" s="152"/>
      <c r="HM113" s="152"/>
      <c r="HN113" s="152"/>
      <c r="HO113" s="152"/>
      <c r="HP113" s="152"/>
      <c r="HQ113" s="152"/>
      <c r="HR113" s="152"/>
      <c r="HS113" s="152"/>
      <c r="HT113" s="152"/>
      <c r="HU113" s="152"/>
      <c r="HV113" s="152"/>
      <c r="HW113" s="152"/>
      <c r="HX113" s="152"/>
      <c r="HY113" s="152"/>
      <c r="HZ113" s="152"/>
      <c r="IA113" s="152"/>
      <c r="IB113" s="152"/>
      <c r="IC113" s="152"/>
      <c r="ID113" s="152"/>
      <c r="IE113" s="152"/>
      <c r="IF113" s="152"/>
      <c r="IG113" s="152"/>
      <c r="IH113" s="152"/>
      <c r="II113" s="152"/>
      <c r="IJ113" s="152"/>
      <c r="IK113" s="152"/>
      <c r="IL113" s="152"/>
      <c r="IM113" s="152"/>
      <c r="IN113" s="152"/>
      <c r="IO113" s="152"/>
      <c r="IP113" s="152"/>
      <c r="IQ113" s="152"/>
      <c r="IR113" s="152"/>
      <c r="IS113" s="152"/>
      <c r="IT113" s="152"/>
      <c r="IU113" s="152"/>
      <c r="IV113" s="152"/>
    </row>
    <row r="114" spans="1:256" s="122" customFormat="1" x14ac:dyDescent="0.25">
      <c r="A114" s="95"/>
      <c r="B114" s="100"/>
      <c r="C114" s="101"/>
      <c r="D114" s="95"/>
      <c r="E114" s="95"/>
      <c r="F114" s="101"/>
      <c r="G114" s="114"/>
      <c r="H114" s="101"/>
      <c r="I114" s="101"/>
      <c r="J114" s="101"/>
      <c r="K114" s="101"/>
      <c r="L114" s="101"/>
      <c r="M114" s="152"/>
      <c r="N114" s="101"/>
      <c r="O114" s="101"/>
      <c r="P114" s="101"/>
      <c r="Q114" s="95"/>
      <c r="R114" s="152"/>
      <c r="S114" s="152"/>
      <c r="T114" s="152"/>
      <c r="U114" s="152"/>
      <c r="V114" s="152"/>
      <c r="W114" s="152"/>
      <c r="X114" s="152"/>
      <c r="Y114" s="152"/>
      <c r="Z114" s="152"/>
      <c r="AA114" s="152"/>
      <c r="AB114" s="152"/>
      <c r="AC114" s="152"/>
      <c r="AD114" s="152"/>
      <c r="AE114" s="152"/>
      <c r="AF114" s="152"/>
      <c r="AG114" s="152"/>
      <c r="AH114" s="152"/>
      <c r="AI114" s="152"/>
      <c r="AJ114" s="152"/>
      <c r="AK114" s="152"/>
      <c r="AL114" s="152"/>
      <c r="AM114" s="152"/>
      <c r="AN114" s="152"/>
      <c r="AO114" s="152"/>
      <c r="AP114" s="152"/>
      <c r="AQ114" s="152"/>
      <c r="AR114" s="152"/>
      <c r="AS114" s="152"/>
      <c r="AT114" s="152"/>
      <c r="AU114" s="152"/>
      <c r="AV114" s="152"/>
      <c r="AW114" s="152"/>
      <c r="AX114" s="152"/>
      <c r="AY114" s="152"/>
      <c r="AZ114" s="152"/>
      <c r="BA114" s="152"/>
      <c r="BB114" s="152"/>
      <c r="BC114" s="152"/>
      <c r="BD114" s="152"/>
      <c r="BE114" s="152"/>
      <c r="BF114" s="152"/>
      <c r="BG114" s="152"/>
      <c r="BH114" s="152"/>
      <c r="BI114" s="152"/>
      <c r="BJ114" s="152"/>
      <c r="BK114" s="152"/>
      <c r="BL114" s="152"/>
      <c r="BM114" s="152"/>
      <c r="BN114" s="152"/>
      <c r="BO114" s="152"/>
      <c r="BP114" s="152"/>
      <c r="BQ114" s="152"/>
      <c r="BR114" s="152"/>
      <c r="BS114" s="152"/>
      <c r="BT114" s="152"/>
      <c r="BU114" s="152"/>
      <c r="BV114" s="152"/>
      <c r="BW114" s="152"/>
      <c r="BX114" s="152"/>
      <c r="BY114" s="152"/>
      <c r="BZ114" s="152"/>
      <c r="CA114" s="152"/>
      <c r="CB114" s="152"/>
      <c r="CC114" s="152"/>
      <c r="CD114" s="152"/>
      <c r="CE114" s="152"/>
      <c r="CF114" s="152"/>
      <c r="CG114" s="152"/>
      <c r="CH114" s="152"/>
      <c r="CI114" s="152"/>
      <c r="CJ114" s="152"/>
      <c r="CK114" s="152"/>
      <c r="CL114" s="152"/>
      <c r="CM114" s="152"/>
      <c r="CN114" s="152"/>
      <c r="CO114" s="152"/>
      <c r="CP114" s="152"/>
      <c r="CQ114" s="152"/>
      <c r="CR114" s="152"/>
      <c r="CS114" s="152"/>
      <c r="CT114" s="152"/>
      <c r="CU114" s="152"/>
      <c r="CV114" s="152"/>
      <c r="CW114" s="152"/>
      <c r="CX114" s="152"/>
      <c r="CY114" s="152"/>
      <c r="CZ114" s="152"/>
      <c r="DA114" s="152"/>
      <c r="DB114" s="152"/>
      <c r="DC114" s="152"/>
      <c r="DD114" s="152"/>
      <c r="DE114" s="152"/>
      <c r="DF114" s="152"/>
      <c r="DG114" s="152"/>
      <c r="DH114" s="152"/>
      <c r="DI114" s="152"/>
      <c r="DJ114" s="152"/>
      <c r="DK114" s="152"/>
      <c r="DL114" s="152"/>
      <c r="DM114" s="152"/>
      <c r="DN114" s="152"/>
      <c r="DO114" s="152"/>
      <c r="DP114" s="152"/>
      <c r="DQ114" s="152"/>
      <c r="DR114" s="152"/>
      <c r="DS114" s="152"/>
      <c r="DT114" s="152"/>
      <c r="DU114" s="152"/>
      <c r="DV114" s="152"/>
      <c r="DW114" s="152"/>
      <c r="DX114" s="152"/>
      <c r="DY114" s="152"/>
      <c r="DZ114" s="152"/>
      <c r="EA114" s="152"/>
      <c r="EB114" s="152"/>
      <c r="EC114" s="152"/>
      <c r="ED114" s="152"/>
      <c r="EE114" s="152"/>
      <c r="EF114" s="152"/>
      <c r="EG114" s="152"/>
      <c r="EH114" s="152"/>
      <c r="EI114" s="152"/>
      <c r="EJ114" s="152"/>
      <c r="EK114" s="152"/>
      <c r="EL114" s="152"/>
      <c r="EM114" s="152"/>
      <c r="EN114" s="152"/>
      <c r="EO114" s="152"/>
      <c r="EP114" s="152"/>
      <c r="EQ114" s="152"/>
      <c r="ER114" s="152"/>
      <c r="ES114" s="152"/>
      <c r="ET114" s="152"/>
      <c r="EU114" s="152"/>
      <c r="EV114" s="152"/>
      <c r="EW114" s="152"/>
      <c r="EX114" s="152"/>
      <c r="EY114" s="152"/>
      <c r="EZ114" s="152"/>
      <c r="FA114" s="152"/>
      <c r="FB114" s="152"/>
      <c r="FC114" s="152"/>
      <c r="FD114" s="152"/>
      <c r="FE114" s="152"/>
      <c r="FF114" s="152"/>
      <c r="FG114" s="152"/>
      <c r="FH114" s="152"/>
      <c r="FI114" s="152"/>
      <c r="FJ114" s="152"/>
      <c r="FK114" s="152"/>
      <c r="FL114" s="152"/>
      <c r="FM114" s="152"/>
      <c r="FN114" s="152"/>
      <c r="FO114" s="152"/>
      <c r="FP114" s="152"/>
      <c r="FQ114" s="152"/>
      <c r="FR114" s="152"/>
      <c r="FS114" s="152"/>
      <c r="FT114" s="152"/>
      <c r="FU114" s="152"/>
      <c r="FV114" s="152"/>
      <c r="FW114" s="152"/>
      <c r="FX114" s="152"/>
      <c r="FY114" s="152"/>
      <c r="FZ114" s="152"/>
      <c r="GA114" s="152"/>
      <c r="GB114" s="152"/>
      <c r="GC114" s="152"/>
      <c r="GD114" s="152"/>
      <c r="GE114" s="152"/>
      <c r="GF114" s="152"/>
      <c r="GG114" s="152"/>
      <c r="GH114" s="152"/>
      <c r="GI114" s="152"/>
      <c r="GJ114" s="152"/>
      <c r="GK114" s="152"/>
      <c r="GL114" s="152"/>
      <c r="GM114" s="152"/>
      <c r="GN114" s="152"/>
      <c r="GO114" s="152"/>
      <c r="GP114" s="152"/>
      <c r="GQ114" s="152"/>
      <c r="GR114" s="152"/>
      <c r="GS114" s="152"/>
      <c r="GT114" s="152"/>
      <c r="GU114" s="152"/>
      <c r="GV114" s="152"/>
      <c r="GW114" s="152"/>
      <c r="GX114" s="152"/>
      <c r="GY114" s="152"/>
      <c r="GZ114" s="152"/>
      <c r="HA114" s="152"/>
      <c r="HB114" s="152"/>
      <c r="HC114" s="152"/>
      <c r="HD114" s="152"/>
      <c r="HE114" s="152"/>
      <c r="HF114" s="152"/>
      <c r="HG114" s="152"/>
      <c r="HH114" s="152"/>
      <c r="HI114" s="152"/>
      <c r="HJ114" s="152"/>
      <c r="HK114" s="152"/>
      <c r="HL114" s="152"/>
      <c r="HM114" s="152"/>
      <c r="HN114" s="152"/>
      <c r="HO114" s="152"/>
      <c r="HP114" s="152"/>
      <c r="HQ114" s="152"/>
      <c r="HR114" s="152"/>
      <c r="HS114" s="152"/>
      <c r="HT114" s="152"/>
      <c r="HU114" s="152"/>
      <c r="HV114" s="152"/>
      <c r="HW114" s="152"/>
      <c r="HX114" s="152"/>
      <c r="HY114" s="152"/>
      <c r="HZ114" s="152"/>
      <c r="IA114" s="152"/>
      <c r="IB114" s="152"/>
      <c r="IC114" s="152"/>
      <c r="ID114" s="152"/>
      <c r="IE114" s="152"/>
      <c r="IF114" s="152"/>
      <c r="IG114" s="152"/>
      <c r="IH114" s="152"/>
      <c r="II114" s="152"/>
      <c r="IJ114" s="152"/>
      <c r="IK114" s="152"/>
      <c r="IL114" s="152"/>
      <c r="IM114" s="152"/>
      <c r="IN114" s="152"/>
      <c r="IO114" s="152"/>
      <c r="IP114" s="152"/>
      <c r="IQ114" s="152"/>
      <c r="IR114" s="152"/>
      <c r="IS114" s="152"/>
      <c r="IT114" s="152"/>
      <c r="IU114" s="152"/>
      <c r="IV114" s="152"/>
    </row>
    <row r="115" spans="1:256" s="122" customFormat="1" x14ac:dyDescent="0.25">
      <c r="A115" s="95"/>
      <c r="B115" s="101"/>
      <c r="C115" s="101"/>
      <c r="D115" s="152"/>
      <c r="E115" s="152"/>
      <c r="F115" s="101"/>
      <c r="G115" s="114"/>
      <c r="H115" s="101"/>
      <c r="I115" s="101"/>
      <c r="J115" s="101"/>
      <c r="K115" s="101"/>
      <c r="L115" s="101"/>
      <c r="M115" s="152"/>
      <c r="N115" s="152"/>
      <c r="O115" s="152"/>
      <c r="P115" s="101"/>
      <c r="Q115" s="152"/>
      <c r="R115" s="152"/>
      <c r="S115" s="152"/>
      <c r="T115" s="152"/>
    </row>
    <row r="116" spans="1:256" s="122" customFormat="1" x14ac:dyDescent="0.25">
      <c r="A116" s="95"/>
      <c r="B116" s="101"/>
      <c r="C116" s="101"/>
      <c r="D116" s="95"/>
      <c r="E116" s="95"/>
      <c r="F116" s="101"/>
      <c r="G116" s="114"/>
      <c r="H116" s="101"/>
      <c r="I116" s="101"/>
      <c r="J116" s="101"/>
      <c r="K116" s="101"/>
      <c r="L116" s="101"/>
      <c r="M116" s="152"/>
      <c r="N116" s="152"/>
      <c r="O116" s="152"/>
      <c r="P116" s="101"/>
      <c r="Q116" s="95"/>
      <c r="R116" s="152"/>
      <c r="S116" s="152"/>
      <c r="T116" s="152"/>
    </row>
    <row r="117" spans="1:256" s="122" customFormat="1" x14ac:dyDescent="0.25">
      <c r="A117" s="95"/>
      <c r="B117" s="101"/>
      <c r="C117" s="101"/>
      <c r="D117" s="152"/>
      <c r="E117" s="152"/>
      <c r="F117" s="101"/>
      <c r="G117" s="101"/>
      <c r="H117" s="101"/>
      <c r="I117" s="101"/>
      <c r="J117" s="101"/>
      <c r="K117" s="101"/>
      <c r="L117" s="101"/>
      <c r="M117" s="152"/>
      <c r="N117" s="152"/>
      <c r="O117" s="152"/>
      <c r="P117" s="101"/>
      <c r="Q117" s="152"/>
      <c r="R117" s="152"/>
      <c r="S117" s="152"/>
      <c r="T117" s="152"/>
    </row>
    <row r="118" spans="1:256" s="122" customFormat="1" x14ac:dyDescent="0.25">
      <c r="A118" s="95"/>
      <c r="B118" s="101"/>
      <c r="C118" s="101"/>
      <c r="D118" s="152"/>
      <c r="E118" s="152"/>
      <c r="F118" s="101"/>
      <c r="G118" s="101"/>
      <c r="H118" s="101"/>
      <c r="I118" s="101"/>
      <c r="J118" s="101"/>
      <c r="K118" s="101"/>
      <c r="L118" s="101"/>
      <c r="M118" s="152"/>
      <c r="N118" s="152"/>
      <c r="O118" s="152"/>
      <c r="P118" s="101"/>
      <c r="Q118" s="152"/>
      <c r="R118" s="152"/>
      <c r="S118" s="152"/>
      <c r="T118" s="152"/>
      <c r="U118" s="129"/>
      <c r="V118" s="129"/>
      <c r="W118" s="129"/>
      <c r="X118" s="129"/>
      <c r="Y118" s="129"/>
      <c r="Z118" s="129"/>
      <c r="AA118" s="129"/>
      <c r="AB118" s="129"/>
      <c r="AC118" s="129"/>
      <c r="AD118" s="129"/>
      <c r="AE118" s="129"/>
      <c r="AF118" s="129"/>
      <c r="AG118" s="129"/>
      <c r="AH118" s="129"/>
      <c r="AI118" s="129"/>
      <c r="AJ118" s="129"/>
      <c r="AK118" s="129"/>
      <c r="AL118" s="129"/>
      <c r="AM118" s="129"/>
      <c r="AN118" s="129"/>
      <c r="AO118" s="129"/>
      <c r="AP118" s="129"/>
      <c r="AQ118" s="129"/>
      <c r="AR118" s="129"/>
      <c r="AS118" s="129"/>
      <c r="AT118" s="129"/>
      <c r="AU118" s="129"/>
      <c r="AV118" s="129"/>
      <c r="AW118" s="129"/>
      <c r="AX118" s="129"/>
      <c r="AY118" s="129"/>
      <c r="AZ118" s="129"/>
      <c r="BA118" s="129"/>
      <c r="BB118" s="129"/>
      <c r="BC118" s="129"/>
      <c r="BD118" s="129"/>
      <c r="BE118" s="129"/>
      <c r="BF118" s="129"/>
      <c r="BG118" s="129"/>
      <c r="BH118" s="129"/>
      <c r="BI118" s="129"/>
      <c r="BJ118" s="129"/>
      <c r="BK118" s="129"/>
      <c r="BL118" s="129"/>
      <c r="BM118" s="129"/>
      <c r="BN118" s="129"/>
      <c r="BO118" s="129"/>
      <c r="BP118" s="129"/>
      <c r="BQ118" s="129"/>
      <c r="BR118" s="129"/>
      <c r="BS118" s="129"/>
      <c r="BT118" s="129"/>
      <c r="BU118" s="129"/>
      <c r="BV118" s="129"/>
      <c r="BW118" s="129"/>
      <c r="BX118" s="129"/>
      <c r="BY118" s="129"/>
      <c r="BZ118" s="129"/>
      <c r="CA118" s="129"/>
      <c r="CB118" s="129"/>
      <c r="CC118" s="129"/>
      <c r="CD118" s="129"/>
      <c r="CE118" s="129"/>
      <c r="CF118" s="129"/>
      <c r="CG118" s="129"/>
      <c r="CH118" s="129"/>
      <c r="CI118" s="129"/>
      <c r="CJ118" s="129"/>
      <c r="CK118" s="129"/>
      <c r="CL118" s="129"/>
      <c r="CM118" s="129"/>
      <c r="CN118" s="129"/>
      <c r="CO118" s="129"/>
      <c r="CP118" s="129"/>
      <c r="CQ118" s="129"/>
      <c r="CR118" s="129"/>
      <c r="CS118" s="129"/>
      <c r="CT118" s="129"/>
      <c r="CU118" s="129"/>
      <c r="CV118" s="129"/>
      <c r="CW118" s="129"/>
      <c r="CX118" s="129"/>
      <c r="CY118" s="129"/>
      <c r="CZ118" s="129"/>
      <c r="DA118" s="129"/>
      <c r="DB118" s="129"/>
      <c r="DC118" s="129"/>
      <c r="DD118" s="129"/>
      <c r="DE118" s="129"/>
      <c r="DF118" s="129"/>
      <c r="DG118" s="129"/>
      <c r="DH118" s="129"/>
      <c r="DI118" s="129"/>
      <c r="DJ118" s="129"/>
      <c r="DK118" s="129"/>
      <c r="DL118" s="129"/>
      <c r="DM118" s="129"/>
      <c r="DN118" s="129"/>
      <c r="DO118" s="129"/>
      <c r="DP118" s="129"/>
      <c r="DQ118" s="129"/>
      <c r="DR118" s="129"/>
      <c r="DS118" s="129"/>
      <c r="DT118" s="129"/>
      <c r="DU118" s="129"/>
      <c r="DV118" s="129"/>
      <c r="DW118" s="129"/>
      <c r="DX118" s="129"/>
      <c r="DY118" s="129"/>
      <c r="DZ118" s="129"/>
      <c r="EA118" s="129"/>
      <c r="EB118" s="129"/>
      <c r="EC118" s="129"/>
      <c r="ED118" s="129"/>
      <c r="EE118" s="129"/>
      <c r="EF118" s="129"/>
      <c r="EG118" s="129"/>
      <c r="EH118" s="129"/>
      <c r="EI118" s="129"/>
      <c r="EJ118" s="129"/>
      <c r="EK118" s="129"/>
      <c r="EL118" s="129"/>
      <c r="EM118" s="129"/>
      <c r="EN118" s="129"/>
      <c r="EO118" s="129"/>
      <c r="EP118" s="129"/>
      <c r="EQ118" s="129"/>
      <c r="ER118" s="129"/>
      <c r="ES118" s="129"/>
      <c r="ET118" s="129"/>
      <c r="EU118" s="129"/>
      <c r="EV118" s="129"/>
      <c r="EW118" s="129"/>
      <c r="EX118" s="129"/>
      <c r="EY118" s="129"/>
      <c r="EZ118" s="129"/>
      <c r="FA118" s="129"/>
      <c r="FB118" s="129"/>
      <c r="FC118" s="129"/>
      <c r="FD118" s="129"/>
      <c r="FE118" s="129"/>
      <c r="FF118" s="129"/>
      <c r="FG118" s="129"/>
      <c r="FH118" s="129"/>
      <c r="FI118" s="129"/>
      <c r="FJ118" s="129"/>
      <c r="FK118" s="129"/>
      <c r="FL118" s="129"/>
      <c r="FM118" s="129"/>
      <c r="FN118" s="129"/>
      <c r="FO118" s="129"/>
      <c r="FP118" s="129"/>
      <c r="FQ118" s="129"/>
      <c r="FR118" s="129"/>
      <c r="FS118" s="129"/>
      <c r="FT118" s="129"/>
      <c r="FU118" s="129"/>
      <c r="FV118" s="129"/>
      <c r="FW118" s="129"/>
      <c r="FX118" s="129"/>
      <c r="FY118" s="129"/>
      <c r="FZ118" s="129"/>
      <c r="GA118" s="129"/>
      <c r="GB118" s="129"/>
      <c r="GC118" s="129"/>
      <c r="GD118" s="129"/>
      <c r="GE118" s="129"/>
      <c r="GF118" s="129"/>
      <c r="GG118" s="129"/>
      <c r="GH118" s="129"/>
      <c r="GI118" s="129"/>
      <c r="GJ118" s="129"/>
      <c r="GK118" s="129"/>
      <c r="GL118" s="129"/>
      <c r="GM118" s="129"/>
      <c r="GN118" s="129"/>
      <c r="GO118" s="129"/>
      <c r="GP118" s="129"/>
      <c r="GQ118" s="129"/>
      <c r="GR118" s="129"/>
      <c r="GS118" s="129"/>
      <c r="GT118" s="129"/>
      <c r="GU118" s="129"/>
      <c r="GV118" s="129"/>
      <c r="GW118" s="129"/>
      <c r="GX118" s="129"/>
      <c r="GY118" s="129"/>
      <c r="GZ118" s="129"/>
      <c r="HA118" s="129"/>
      <c r="HB118" s="129"/>
      <c r="HC118" s="129"/>
      <c r="HD118" s="129"/>
      <c r="HE118" s="129"/>
      <c r="HF118" s="129"/>
      <c r="HG118" s="129"/>
      <c r="HH118" s="129"/>
      <c r="HI118" s="129"/>
      <c r="HJ118" s="129"/>
      <c r="HK118" s="129"/>
      <c r="HL118" s="129"/>
      <c r="HM118" s="129"/>
      <c r="HN118" s="129"/>
      <c r="HO118" s="129"/>
      <c r="HP118" s="129"/>
      <c r="HQ118" s="129"/>
      <c r="HR118" s="129"/>
      <c r="HS118" s="129"/>
      <c r="HT118" s="129"/>
      <c r="HU118" s="129"/>
      <c r="HV118" s="129"/>
      <c r="HW118" s="129"/>
      <c r="HX118" s="129"/>
      <c r="HY118" s="129"/>
      <c r="HZ118" s="129"/>
      <c r="IA118" s="129"/>
      <c r="IB118" s="129"/>
      <c r="IC118" s="129"/>
      <c r="ID118" s="129"/>
      <c r="IE118" s="129"/>
      <c r="IF118" s="129"/>
      <c r="IG118" s="129"/>
      <c r="IH118" s="129"/>
      <c r="II118" s="129"/>
      <c r="IJ118" s="129"/>
      <c r="IK118" s="129"/>
      <c r="IL118" s="129"/>
      <c r="IM118" s="129"/>
      <c r="IN118" s="129"/>
      <c r="IO118" s="129"/>
      <c r="IP118" s="129"/>
      <c r="IQ118" s="129"/>
      <c r="IR118" s="129"/>
      <c r="IS118" s="129"/>
      <c r="IT118" s="129"/>
      <c r="IU118" s="129"/>
      <c r="IV118" s="129"/>
    </row>
    <row r="119" spans="1:256" s="122" customFormat="1" x14ac:dyDescent="0.25">
      <c r="A119" s="95"/>
      <c r="B119" s="101"/>
      <c r="C119" s="101"/>
      <c r="D119" s="152"/>
      <c r="E119" s="152"/>
      <c r="F119" s="101"/>
      <c r="G119" s="101"/>
      <c r="H119" s="101"/>
      <c r="I119" s="101"/>
      <c r="J119" s="101"/>
      <c r="K119" s="101"/>
      <c r="L119" s="101"/>
      <c r="M119" s="152"/>
      <c r="N119" s="152"/>
      <c r="O119" s="152"/>
      <c r="P119" s="101"/>
      <c r="Q119" s="152"/>
      <c r="R119" s="152"/>
      <c r="S119" s="152"/>
      <c r="T119" s="152"/>
      <c r="U119" s="129"/>
      <c r="V119" s="129"/>
      <c r="W119" s="129"/>
      <c r="X119" s="129"/>
      <c r="Y119" s="129"/>
      <c r="Z119" s="129"/>
      <c r="AA119" s="129"/>
      <c r="AB119" s="129"/>
      <c r="AC119" s="129"/>
      <c r="AD119" s="129"/>
      <c r="AE119" s="129"/>
      <c r="AF119" s="129"/>
      <c r="AG119" s="129"/>
      <c r="AH119" s="129"/>
      <c r="AI119" s="129"/>
      <c r="AJ119" s="129"/>
      <c r="AK119" s="129"/>
      <c r="AL119" s="129"/>
      <c r="AM119" s="129"/>
      <c r="AN119" s="129"/>
      <c r="AO119" s="129"/>
      <c r="AP119" s="129"/>
      <c r="AQ119" s="129"/>
      <c r="AR119" s="129"/>
      <c r="AS119" s="129"/>
      <c r="AT119" s="129"/>
      <c r="AU119" s="129"/>
      <c r="AV119" s="129"/>
      <c r="AW119" s="129"/>
      <c r="AX119" s="129"/>
      <c r="AY119" s="129"/>
      <c r="AZ119" s="129"/>
      <c r="BA119" s="129"/>
      <c r="BB119" s="129"/>
      <c r="BC119" s="129"/>
      <c r="BD119" s="129"/>
      <c r="BE119" s="129"/>
      <c r="BF119" s="129"/>
      <c r="BG119" s="129"/>
      <c r="BH119" s="129"/>
      <c r="BI119" s="129"/>
      <c r="BJ119" s="129"/>
      <c r="BK119" s="129"/>
      <c r="BL119" s="129"/>
      <c r="BM119" s="129"/>
      <c r="BN119" s="129"/>
      <c r="BO119" s="129"/>
      <c r="BP119" s="129"/>
      <c r="BQ119" s="129"/>
      <c r="BR119" s="129"/>
      <c r="BS119" s="129"/>
      <c r="BT119" s="129"/>
      <c r="BU119" s="129"/>
      <c r="BV119" s="129"/>
      <c r="BW119" s="129"/>
      <c r="BX119" s="129"/>
      <c r="BY119" s="129"/>
      <c r="BZ119" s="129"/>
      <c r="CA119" s="129"/>
      <c r="CB119" s="129"/>
      <c r="CC119" s="129"/>
      <c r="CD119" s="129"/>
      <c r="CE119" s="129"/>
      <c r="CF119" s="129"/>
      <c r="CG119" s="129"/>
      <c r="CH119" s="129"/>
      <c r="CI119" s="129"/>
      <c r="CJ119" s="129"/>
      <c r="CK119" s="129"/>
      <c r="CL119" s="129"/>
      <c r="CM119" s="129"/>
      <c r="CN119" s="129"/>
      <c r="CO119" s="129"/>
      <c r="CP119" s="129"/>
      <c r="CQ119" s="129"/>
      <c r="CR119" s="129"/>
      <c r="CS119" s="129"/>
      <c r="CT119" s="129"/>
      <c r="CU119" s="129"/>
      <c r="CV119" s="129"/>
      <c r="CW119" s="129"/>
      <c r="CX119" s="129"/>
      <c r="CY119" s="129"/>
      <c r="CZ119" s="129"/>
      <c r="DA119" s="129"/>
      <c r="DB119" s="129"/>
      <c r="DC119" s="129"/>
      <c r="DD119" s="129"/>
      <c r="DE119" s="129"/>
      <c r="DF119" s="129"/>
      <c r="DG119" s="129"/>
      <c r="DH119" s="129"/>
      <c r="DI119" s="129"/>
      <c r="DJ119" s="129"/>
      <c r="DK119" s="129"/>
      <c r="DL119" s="129"/>
      <c r="DM119" s="129"/>
      <c r="DN119" s="129"/>
      <c r="DO119" s="129"/>
      <c r="DP119" s="129"/>
      <c r="DQ119" s="129"/>
      <c r="DR119" s="129"/>
      <c r="DS119" s="129"/>
      <c r="DT119" s="129"/>
      <c r="DU119" s="129"/>
      <c r="DV119" s="129"/>
      <c r="DW119" s="129"/>
      <c r="DX119" s="129"/>
      <c r="DY119" s="129"/>
      <c r="DZ119" s="129"/>
      <c r="EA119" s="129"/>
      <c r="EB119" s="129"/>
      <c r="EC119" s="129"/>
      <c r="ED119" s="129"/>
      <c r="EE119" s="129"/>
      <c r="EF119" s="129"/>
      <c r="EG119" s="129"/>
      <c r="EH119" s="129"/>
      <c r="EI119" s="129"/>
      <c r="EJ119" s="129"/>
      <c r="EK119" s="129"/>
      <c r="EL119" s="129"/>
      <c r="EM119" s="129"/>
      <c r="EN119" s="129"/>
      <c r="EO119" s="129"/>
      <c r="EP119" s="129"/>
      <c r="EQ119" s="129"/>
      <c r="ER119" s="129"/>
      <c r="ES119" s="129"/>
      <c r="ET119" s="129"/>
      <c r="EU119" s="129"/>
      <c r="EV119" s="129"/>
      <c r="EW119" s="129"/>
      <c r="EX119" s="129"/>
      <c r="EY119" s="129"/>
      <c r="EZ119" s="129"/>
      <c r="FA119" s="129"/>
      <c r="FB119" s="129"/>
      <c r="FC119" s="129"/>
      <c r="FD119" s="129"/>
      <c r="FE119" s="129"/>
      <c r="FF119" s="129"/>
      <c r="FG119" s="129"/>
      <c r="FH119" s="129"/>
      <c r="FI119" s="129"/>
      <c r="FJ119" s="129"/>
      <c r="FK119" s="129"/>
      <c r="FL119" s="129"/>
      <c r="FM119" s="129"/>
      <c r="FN119" s="129"/>
      <c r="FO119" s="129"/>
      <c r="FP119" s="129"/>
      <c r="FQ119" s="129"/>
      <c r="FR119" s="129"/>
      <c r="FS119" s="129"/>
      <c r="FT119" s="129"/>
      <c r="FU119" s="129"/>
      <c r="FV119" s="129"/>
      <c r="FW119" s="129"/>
      <c r="FX119" s="129"/>
      <c r="FY119" s="129"/>
      <c r="FZ119" s="129"/>
      <c r="GA119" s="129"/>
      <c r="GB119" s="129"/>
      <c r="GC119" s="129"/>
      <c r="GD119" s="129"/>
      <c r="GE119" s="129"/>
      <c r="GF119" s="129"/>
      <c r="GG119" s="129"/>
      <c r="GH119" s="129"/>
      <c r="GI119" s="129"/>
      <c r="GJ119" s="129"/>
      <c r="GK119" s="129"/>
      <c r="GL119" s="129"/>
      <c r="GM119" s="129"/>
      <c r="GN119" s="129"/>
      <c r="GO119" s="129"/>
      <c r="GP119" s="129"/>
      <c r="GQ119" s="129"/>
      <c r="GR119" s="129"/>
      <c r="GS119" s="129"/>
      <c r="GT119" s="129"/>
      <c r="GU119" s="129"/>
      <c r="GV119" s="129"/>
      <c r="GW119" s="129"/>
      <c r="GX119" s="129"/>
      <c r="GY119" s="129"/>
      <c r="GZ119" s="129"/>
      <c r="HA119" s="129"/>
      <c r="HB119" s="129"/>
      <c r="HC119" s="129"/>
      <c r="HD119" s="129"/>
      <c r="HE119" s="129"/>
      <c r="HF119" s="129"/>
      <c r="HG119" s="129"/>
      <c r="HH119" s="129"/>
      <c r="HI119" s="129"/>
      <c r="HJ119" s="129"/>
      <c r="HK119" s="129"/>
      <c r="HL119" s="129"/>
      <c r="HM119" s="129"/>
      <c r="HN119" s="129"/>
      <c r="HO119" s="129"/>
      <c r="HP119" s="129"/>
      <c r="HQ119" s="129"/>
      <c r="HR119" s="129"/>
      <c r="HS119" s="129"/>
      <c r="HT119" s="129"/>
      <c r="HU119" s="129"/>
      <c r="HV119" s="129"/>
      <c r="HW119" s="129"/>
      <c r="HX119" s="129"/>
      <c r="HY119" s="129"/>
      <c r="HZ119" s="129"/>
      <c r="IA119" s="129"/>
      <c r="IB119" s="129"/>
      <c r="IC119" s="129"/>
      <c r="ID119" s="129"/>
      <c r="IE119" s="129"/>
      <c r="IF119" s="129"/>
      <c r="IG119" s="129"/>
      <c r="IH119" s="129"/>
      <c r="II119" s="129"/>
      <c r="IJ119" s="129"/>
      <c r="IK119" s="129"/>
      <c r="IL119" s="129"/>
      <c r="IM119" s="129"/>
      <c r="IN119" s="129"/>
      <c r="IO119" s="129"/>
      <c r="IP119" s="129"/>
      <c r="IQ119" s="129"/>
      <c r="IR119" s="129"/>
      <c r="IS119" s="129"/>
      <c r="IT119" s="129"/>
      <c r="IU119" s="129"/>
      <c r="IV119" s="129"/>
    </row>
    <row r="120" spans="1:256" x14ac:dyDescent="0.25">
      <c r="A120" s="95"/>
      <c r="B120" s="101"/>
      <c r="C120" s="101"/>
      <c r="D120" s="152"/>
      <c r="E120" s="152"/>
      <c r="F120" s="101"/>
      <c r="G120" s="101"/>
      <c r="H120" s="101"/>
      <c r="I120" s="101"/>
      <c r="J120" s="101"/>
      <c r="K120" s="101"/>
      <c r="L120" s="101"/>
      <c r="M120" s="152"/>
      <c r="N120" s="152"/>
      <c r="O120" s="152"/>
      <c r="P120" s="101"/>
      <c r="Q120" s="152"/>
      <c r="R120" s="152"/>
      <c r="S120" s="152"/>
      <c r="T120" s="152"/>
      <c r="U120" s="129"/>
      <c r="V120" s="129"/>
      <c r="W120" s="129"/>
      <c r="X120" s="129"/>
      <c r="Y120" s="129"/>
      <c r="Z120" s="129"/>
      <c r="AA120" s="129"/>
      <c r="AB120" s="129"/>
      <c r="AC120" s="129"/>
      <c r="AD120" s="129"/>
      <c r="AE120" s="129"/>
      <c r="AF120" s="129"/>
      <c r="AG120" s="129"/>
      <c r="AH120" s="129"/>
      <c r="AI120" s="129"/>
      <c r="AJ120" s="129"/>
      <c r="AK120" s="129"/>
      <c r="AL120" s="129"/>
      <c r="AM120" s="129"/>
      <c r="AN120" s="129"/>
      <c r="AO120" s="129"/>
      <c r="AP120" s="129"/>
      <c r="AQ120" s="129"/>
      <c r="AR120" s="129"/>
      <c r="AS120" s="129"/>
      <c r="AT120" s="129"/>
      <c r="AU120" s="129"/>
      <c r="AV120" s="129"/>
      <c r="AW120" s="129"/>
      <c r="AX120" s="129"/>
      <c r="AY120" s="129"/>
      <c r="AZ120" s="129"/>
      <c r="BA120" s="129"/>
      <c r="BB120" s="129"/>
      <c r="BC120" s="129"/>
      <c r="BD120" s="129"/>
      <c r="BE120" s="129"/>
      <c r="BF120" s="129"/>
      <c r="BG120" s="129"/>
      <c r="BH120" s="129"/>
      <c r="BI120" s="129"/>
      <c r="BJ120" s="129"/>
      <c r="BK120" s="129"/>
      <c r="BL120" s="129"/>
      <c r="BM120" s="129"/>
      <c r="BN120" s="129"/>
      <c r="BO120" s="129"/>
      <c r="BP120" s="129"/>
      <c r="BQ120" s="129"/>
      <c r="BR120" s="129"/>
      <c r="BS120" s="129"/>
      <c r="BT120" s="129"/>
      <c r="BU120" s="129"/>
      <c r="BV120" s="129"/>
      <c r="BW120" s="129"/>
      <c r="BX120" s="129"/>
      <c r="BY120" s="129"/>
      <c r="BZ120" s="129"/>
      <c r="CA120" s="129"/>
      <c r="CB120" s="129"/>
      <c r="CC120" s="129"/>
      <c r="CD120" s="129"/>
      <c r="CE120" s="129"/>
      <c r="CF120" s="129"/>
      <c r="CG120" s="129"/>
      <c r="CH120" s="129"/>
      <c r="CI120" s="129"/>
      <c r="CJ120" s="129"/>
      <c r="CK120" s="129"/>
      <c r="CL120" s="129"/>
      <c r="CM120" s="129"/>
      <c r="CN120" s="129"/>
      <c r="CO120" s="129"/>
      <c r="CP120" s="129"/>
      <c r="CQ120" s="129"/>
      <c r="CR120" s="129"/>
      <c r="CS120" s="129"/>
      <c r="CT120" s="129"/>
      <c r="CU120" s="129"/>
      <c r="CV120" s="129"/>
      <c r="CW120" s="129"/>
      <c r="CX120" s="129"/>
      <c r="CY120" s="129"/>
      <c r="CZ120" s="129"/>
      <c r="DA120" s="129"/>
      <c r="DB120" s="129"/>
      <c r="DC120" s="129"/>
      <c r="DD120" s="129"/>
      <c r="DE120" s="129"/>
      <c r="DF120" s="129"/>
      <c r="DG120" s="129"/>
      <c r="DH120" s="129"/>
      <c r="DI120" s="129"/>
      <c r="DJ120" s="129"/>
      <c r="DK120" s="129"/>
      <c r="DL120" s="129"/>
      <c r="DM120" s="129"/>
      <c r="DN120" s="129"/>
      <c r="DO120" s="129"/>
      <c r="DP120" s="129"/>
      <c r="DQ120" s="129"/>
      <c r="DR120" s="129"/>
      <c r="DS120" s="129"/>
      <c r="DT120" s="129"/>
      <c r="DU120" s="129"/>
      <c r="DV120" s="129"/>
      <c r="DW120" s="129"/>
      <c r="DX120" s="129"/>
      <c r="DY120" s="129"/>
      <c r="DZ120" s="129"/>
      <c r="EA120" s="129"/>
      <c r="EB120" s="129"/>
      <c r="EC120" s="129"/>
      <c r="ED120" s="129"/>
      <c r="EE120" s="129"/>
      <c r="EF120" s="129"/>
      <c r="EG120" s="129"/>
      <c r="EH120" s="129"/>
      <c r="EI120" s="129"/>
      <c r="EJ120" s="129"/>
      <c r="EK120" s="129"/>
      <c r="EL120" s="129"/>
      <c r="EM120" s="129"/>
      <c r="EN120" s="129"/>
      <c r="EO120" s="129"/>
      <c r="EP120" s="129"/>
      <c r="EQ120" s="129"/>
      <c r="ER120" s="129"/>
      <c r="ES120" s="129"/>
      <c r="ET120" s="129"/>
      <c r="EU120" s="129"/>
      <c r="EV120" s="129"/>
      <c r="EW120" s="129"/>
      <c r="EX120" s="129"/>
      <c r="EY120" s="129"/>
      <c r="EZ120" s="129"/>
      <c r="FA120" s="129"/>
      <c r="FB120" s="129"/>
      <c r="FC120" s="129"/>
      <c r="FD120" s="129"/>
      <c r="FE120" s="129"/>
      <c r="FF120" s="129"/>
      <c r="FG120" s="129"/>
      <c r="FH120" s="129"/>
      <c r="FI120" s="129"/>
      <c r="FJ120" s="129"/>
      <c r="FK120" s="129"/>
      <c r="FL120" s="129"/>
      <c r="FM120" s="129"/>
      <c r="FN120" s="129"/>
      <c r="FO120" s="129"/>
      <c r="FP120" s="129"/>
      <c r="FQ120" s="129"/>
      <c r="FR120" s="129"/>
      <c r="FS120" s="129"/>
      <c r="FT120" s="129"/>
      <c r="FU120" s="129"/>
      <c r="FV120" s="129"/>
      <c r="FW120" s="129"/>
      <c r="FX120" s="129"/>
      <c r="FY120" s="129"/>
      <c r="FZ120" s="129"/>
      <c r="GA120" s="129"/>
      <c r="GB120" s="129"/>
      <c r="GC120" s="129"/>
      <c r="GD120" s="129"/>
      <c r="GE120" s="129"/>
      <c r="GF120" s="129"/>
      <c r="GG120" s="129"/>
      <c r="GH120" s="129"/>
      <c r="GI120" s="129"/>
      <c r="GJ120" s="129"/>
      <c r="GK120" s="129"/>
      <c r="GL120" s="129"/>
      <c r="GM120" s="129"/>
      <c r="GN120" s="129"/>
      <c r="GO120" s="129"/>
      <c r="GP120" s="129"/>
      <c r="GQ120" s="129"/>
      <c r="GR120" s="129"/>
      <c r="GS120" s="129"/>
      <c r="GT120" s="129"/>
      <c r="GU120" s="129"/>
      <c r="GV120" s="129"/>
      <c r="GW120" s="129"/>
      <c r="GX120" s="129"/>
      <c r="GY120" s="129"/>
      <c r="GZ120" s="129"/>
      <c r="HA120" s="129"/>
      <c r="HB120" s="129"/>
      <c r="HC120" s="129"/>
      <c r="HD120" s="129"/>
      <c r="HE120" s="129"/>
      <c r="HF120" s="129"/>
      <c r="HG120" s="129"/>
      <c r="HH120" s="129"/>
      <c r="HI120" s="129"/>
      <c r="HJ120" s="129"/>
      <c r="HK120" s="129"/>
      <c r="HL120" s="129"/>
      <c r="HM120" s="129"/>
      <c r="HN120" s="129"/>
      <c r="HO120" s="129"/>
      <c r="HP120" s="129"/>
      <c r="HQ120" s="129"/>
      <c r="HR120" s="129"/>
      <c r="HS120" s="129"/>
      <c r="HT120" s="129"/>
      <c r="HU120" s="129"/>
      <c r="HV120" s="129"/>
      <c r="HW120" s="129"/>
      <c r="HX120" s="129"/>
      <c r="HY120" s="129"/>
      <c r="HZ120" s="129"/>
      <c r="IA120" s="129"/>
      <c r="IB120" s="129"/>
      <c r="IC120" s="129"/>
      <c r="ID120" s="129"/>
      <c r="IE120" s="129"/>
      <c r="IF120" s="129"/>
      <c r="IG120" s="129"/>
      <c r="IH120" s="129"/>
      <c r="II120" s="129"/>
      <c r="IJ120" s="129"/>
      <c r="IK120" s="129"/>
      <c r="IL120" s="129"/>
      <c r="IM120" s="129"/>
      <c r="IN120" s="129"/>
      <c r="IO120" s="129"/>
      <c r="IP120" s="129"/>
      <c r="IQ120" s="129"/>
      <c r="IR120" s="129"/>
      <c r="IS120" s="129"/>
      <c r="IT120" s="129"/>
      <c r="IU120" s="129"/>
      <c r="IV120" s="129"/>
    </row>
    <row r="121" spans="1:256" x14ac:dyDescent="0.25">
      <c r="A121" s="95"/>
      <c r="B121" s="101"/>
      <c r="C121" s="101"/>
      <c r="D121" s="152"/>
      <c r="E121" s="152"/>
      <c r="F121" s="101"/>
      <c r="G121" s="101"/>
      <c r="H121" s="101"/>
      <c r="I121" s="101"/>
      <c r="J121" s="101"/>
      <c r="K121" s="101"/>
      <c r="L121" s="101"/>
      <c r="M121" s="152"/>
      <c r="N121" s="152"/>
      <c r="O121" s="152"/>
      <c r="P121" s="101"/>
      <c r="Q121" s="152"/>
      <c r="R121" s="152"/>
      <c r="S121" s="152"/>
      <c r="T121" s="152"/>
      <c r="U121" s="129"/>
      <c r="V121" s="129"/>
      <c r="W121" s="129"/>
      <c r="X121" s="129"/>
      <c r="Y121" s="129"/>
      <c r="Z121" s="129"/>
      <c r="AA121" s="129"/>
      <c r="AB121" s="129"/>
      <c r="AC121" s="129"/>
      <c r="AD121" s="129"/>
      <c r="AE121" s="129"/>
      <c r="AF121" s="129"/>
      <c r="AG121" s="129"/>
      <c r="AH121" s="129"/>
      <c r="AI121" s="129"/>
      <c r="AJ121" s="129"/>
      <c r="AK121" s="129"/>
      <c r="AL121" s="129"/>
      <c r="AM121" s="129"/>
      <c r="AN121" s="129"/>
      <c r="AO121" s="129"/>
      <c r="AP121" s="129"/>
      <c r="AQ121" s="129"/>
      <c r="AR121" s="129"/>
      <c r="AS121" s="129"/>
      <c r="AT121" s="129"/>
      <c r="AU121" s="129"/>
      <c r="AV121" s="129"/>
      <c r="AW121" s="129"/>
      <c r="AX121" s="129"/>
      <c r="AY121" s="129"/>
      <c r="AZ121" s="129"/>
      <c r="BA121" s="129"/>
      <c r="BB121" s="129"/>
      <c r="BC121" s="129"/>
      <c r="BD121" s="129"/>
      <c r="BE121" s="129"/>
      <c r="BF121" s="129"/>
      <c r="BG121" s="129"/>
      <c r="BH121" s="129"/>
      <c r="BI121" s="129"/>
      <c r="BJ121" s="129"/>
      <c r="BK121" s="129"/>
      <c r="BL121" s="129"/>
      <c r="BM121" s="129"/>
      <c r="BN121" s="129"/>
      <c r="BO121" s="129"/>
      <c r="BP121" s="129"/>
      <c r="BQ121" s="129"/>
      <c r="BR121" s="129"/>
      <c r="BS121" s="129"/>
      <c r="BT121" s="129"/>
      <c r="BU121" s="129"/>
      <c r="BV121" s="129"/>
      <c r="BW121" s="129"/>
      <c r="BX121" s="129"/>
      <c r="BY121" s="129"/>
      <c r="BZ121" s="129"/>
      <c r="CA121" s="129"/>
      <c r="CB121" s="129"/>
      <c r="CC121" s="129"/>
      <c r="CD121" s="129"/>
      <c r="CE121" s="129"/>
      <c r="CF121" s="129"/>
      <c r="CG121" s="129"/>
      <c r="CH121" s="129"/>
      <c r="CI121" s="129"/>
      <c r="CJ121" s="129"/>
      <c r="CK121" s="129"/>
      <c r="CL121" s="129"/>
      <c r="CM121" s="129"/>
      <c r="CN121" s="129"/>
      <c r="CO121" s="129"/>
      <c r="CP121" s="129"/>
      <c r="CQ121" s="129"/>
      <c r="CR121" s="129"/>
      <c r="CS121" s="129"/>
      <c r="CT121" s="129"/>
      <c r="CU121" s="129"/>
      <c r="CV121" s="129"/>
      <c r="CW121" s="129"/>
      <c r="CX121" s="129"/>
      <c r="CY121" s="129"/>
      <c r="CZ121" s="129"/>
      <c r="DA121" s="129"/>
      <c r="DB121" s="129"/>
      <c r="DC121" s="129"/>
      <c r="DD121" s="129"/>
      <c r="DE121" s="129"/>
      <c r="DF121" s="129"/>
      <c r="DG121" s="129"/>
      <c r="DH121" s="129"/>
      <c r="DI121" s="129"/>
      <c r="DJ121" s="129"/>
      <c r="DK121" s="129"/>
      <c r="DL121" s="129"/>
      <c r="DM121" s="129"/>
      <c r="DN121" s="129"/>
      <c r="DO121" s="129"/>
      <c r="DP121" s="129"/>
      <c r="DQ121" s="129"/>
      <c r="DR121" s="129"/>
      <c r="DS121" s="129"/>
      <c r="DT121" s="129"/>
      <c r="DU121" s="129"/>
      <c r="DV121" s="129"/>
      <c r="DW121" s="129"/>
      <c r="DX121" s="129"/>
      <c r="DY121" s="129"/>
      <c r="DZ121" s="129"/>
      <c r="EA121" s="129"/>
      <c r="EB121" s="129"/>
      <c r="EC121" s="129"/>
      <c r="ED121" s="129"/>
      <c r="EE121" s="129"/>
      <c r="EF121" s="129"/>
      <c r="EG121" s="129"/>
      <c r="EH121" s="129"/>
      <c r="EI121" s="129"/>
      <c r="EJ121" s="129"/>
      <c r="EK121" s="129"/>
      <c r="EL121" s="129"/>
      <c r="EM121" s="129"/>
      <c r="EN121" s="129"/>
      <c r="EO121" s="129"/>
      <c r="EP121" s="129"/>
      <c r="EQ121" s="129"/>
      <c r="ER121" s="129"/>
      <c r="ES121" s="129"/>
      <c r="ET121" s="129"/>
      <c r="EU121" s="129"/>
      <c r="EV121" s="129"/>
      <c r="EW121" s="129"/>
      <c r="EX121" s="129"/>
      <c r="EY121" s="129"/>
      <c r="EZ121" s="129"/>
      <c r="FA121" s="129"/>
      <c r="FB121" s="129"/>
      <c r="FC121" s="129"/>
      <c r="FD121" s="129"/>
      <c r="FE121" s="129"/>
      <c r="FF121" s="129"/>
      <c r="FG121" s="129"/>
      <c r="FH121" s="129"/>
      <c r="FI121" s="129"/>
      <c r="FJ121" s="129"/>
      <c r="FK121" s="129"/>
      <c r="FL121" s="129"/>
      <c r="FM121" s="129"/>
      <c r="FN121" s="129"/>
      <c r="FO121" s="129"/>
      <c r="FP121" s="129"/>
      <c r="FQ121" s="129"/>
      <c r="FR121" s="129"/>
      <c r="FS121" s="129"/>
      <c r="FT121" s="129"/>
      <c r="FU121" s="129"/>
      <c r="FV121" s="129"/>
      <c r="FW121" s="129"/>
      <c r="FX121" s="129"/>
      <c r="FY121" s="129"/>
      <c r="FZ121" s="129"/>
      <c r="GA121" s="129"/>
      <c r="GB121" s="129"/>
      <c r="GC121" s="129"/>
      <c r="GD121" s="129"/>
      <c r="GE121" s="129"/>
      <c r="GF121" s="129"/>
      <c r="GG121" s="129"/>
      <c r="GH121" s="129"/>
      <c r="GI121" s="129"/>
      <c r="GJ121" s="129"/>
      <c r="GK121" s="129"/>
      <c r="GL121" s="129"/>
      <c r="GM121" s="129"/>
      <c r="GN121" s="129"/>
      <c r="GO121" s="129"/>
      <c r="GP121" s="129"/>
      <c r="GQ121" s="129"/>
      <c r="GR121" s="129"/>
      <c r="GS121" s="129"/>
      <c r="GT121" s="129"/>
      <c r="GU121" s="129"/>
      <c r="GV121" s="129"/>
      <c r="GW121" s="129"/>
      <c r="GX121" s="129"/>
      <c r="GY121" s="129"/>
      <c r="GZ121" s="129"/>
      <c r="HA121" s="129"/>
      <c r="HB121" s="129"/>
      <c r="HC121" s="129"/>
      <c r="HD121" s="129"/>
      <c r="HE121" s="129"/>
      <c r="HF121" s="129"/>
      <c r="HG121" s="129"/>
      <c r="HH121" s="129"/>
      <c r="HI121" s="129"/>
      <c r="HJ121" s="129"/>
      <c r="HK121" s="129"/>
      <c r="HL121" s="129"/>
      <c r="HM121" s="129"/>
      <c r="HN121" s="129"/>
      <c r="HO121" s="129"/>
      <c r="HP121" s="129"/>
      <c r="HQ121" s="129"/>
      <c r="HR121" s="129"/>
      <c r="HS121" s="129"/>
      <c r="HT121" s="129"/>
      <c r="HU121" s="129"/>
      <c r="HV121" s="129"/>
      <c r="HW121" s="129"/>
      <c r="HX121" s="129"/>
      <c r="HY121" s="129"/>
      <c r="HZ121" s="129"/>
      <c r="IA121" s="129"/>
      <c r="IB121" s="129"/>
      <c r="IC121" s="129"/>
      <c r="ID121" s="129"/>
      <c r="IE121" s="129"/>
      <c r="IF121" s="129"/>
      <c r="IG121" s="129"/>
      <c r="IH121" s="129"/>
      <c r="II121" s="129"/>
      <c r="IJ121" s="129"/>
      <c r="IK121" s="129"/>
      <c r="IL121" s="129"/>
      <c r="IM121" s="129"/>
      <c r="IN121" s="129"/>
      <c r="IO121" s="129"/>
      <c r="IP121" s="129"/>
      <c r="IQ121" s="129"/>
      <c r="IR121" s="129"/>
      <c r="IS121" s="129"/>
      <c r="IT121" s="129"/>
      <c r="IU121" s="129"/>
      <c r="IV121" s="129"/>
    </row>
    <row r="122" spans="1:256" x14ac:dyDescent="0.25">
      <c r="A122" s="95"/>
      <c r="B122" s="101"/>
      <c r="C122" s="101"/>
      <c r="D122" s="152"/>
      <c r="E122" s="152"/>
      <c r="F122" s="101"/>
      <c r="G122" s="101"/>
      <c r="H122" s="101"/>
      <c r="I122" s="101"/>
      <c r="J122" s="101"/>
      <c r="K122" s="101"/>
      <c r="L122" s="101"/>
      <c r="M122" s="152"/>
      <c r="N122" s="152"/>
      <c r="O122" s="152"/>
      <c r="P122" s="101"/>
      <c r="Q122" s="152"/>
      <c r="R122" s="152"/>
      <c r="S122" s="152"/>
      <c r="T122" s="152"/>
      <c r="U122" s="122"/>
      <c r="V122" s="122"/>
      <c r="W122" s="122"/>
      <c r="X122" s="122"/>
      <c r="Y122" s="122"/>
      <c r="Z122" s="122"/>
      <c r="AA122" s="122"/>
      <c r="AB122" s="122"/>
      <c r="AC122" s="122"/>
      <c r="AD122" s="122"/>
      <c r="AE122" s="122"/>
      <c r="AF122" s="122"/>
      <c r="AG122" s="122"/>
      <c r="AH122" s="122"/>
      <c r="AI122" s="122"/>
      <c r="AJ122" s="122"/>
      <c r="AK122" s="122"/>
      <c r="AL122" s="122"/>
      <c r="AM122" s="122"/>
      <c r="AN122" s="122"/>
      <c r="AO122" s="122"/>
      <c r="AP122" s="122"/>
      <c r="AQ122" s="122"/>
      <c r="AR122" s="122"/>
      <c r="AS122" s="122"/>
      <c r="AT122" s="122"/>
      <c r="AU122" s="122"/>
      <c r="AV122" s="122"/>
      <c r="AW122" s="122"/>
      <c r="AX122" s="122"/>
      <c r="AY122" s="122"/>
      <c r="AZ122" s="122"/>
      <c r="BA122" s="122"/>
      <c r="BB122" s="122"/>
      <c r="BC122" s="122"/>
      <c r="BD122" s="122"/>
      <c r="BE122" s="122"/>
      <c r="BF122" s="122"/>
      <c r="BG122" s="122"/>
      <c r="BH122" s="122"/>
      <c r="BI122" s="122"/>
      <c r="BJ122" s="122"/>
      <c r="BK122" s="122"/>
      <c r="BL122" s="122"/>
      <c r="BM122" s="122"/>
      <c r="BN122" s="122"/>
      <c r="BO122" s="122"/>
      <c r="BP122" s="122"/>
      <c r="BQ122" s="122"/>
      <c r="BR122" s="122"/>
      <c r="BS122" s="122"/>
      <c r="BT122" s="122"/>
      <c r="BU122" s="122"/>
      <c r="BV122" s="122"/>
      <c r="BW122" s="122"/>
      <c r="BX122" s="122"/>
      <c r="BY122" s="122"/>
      <c r="BZ122" s="122"/>
      <c r="CA122" s="122"/>
      <c r="CB122" s="122"/>
      <c r="CC122" s="122"/>
      <c r="CD122" s="122"/>
      <c r="CE122" s="122"/>
      <c r="CF122" s="122"/>
      <c r="CG122" s="122"/>
      <c r="CH122" s="122"/>
      <c r="CI122" s="122"/>
      <c r="CJ122" s="122"/>
      <c r="CK122" s="122"/>
      <c r="CL122" s="122"/>
      <c r="CM122" s="122"/>
      <c r="CN122" s="122"/>
      <c r="CO122" s="122"/>
      <c r="CP122" s="122"/>
      <c r="CQ122" s="122"/>
      <c r="CR122" s="122"/>
      <c r="CS122" s="122"/>
      <c r="CT122" s="122"/>
      <c r="CU122" s="122"/>
      <c r="CV122" s="122"/>
      <c r="CW122" s="122"/>
      <c r="CX122" s="122"/>
      <c r="CY122" s="122"/>
      <c r="CZ122" s="122"/>
      <c r="DA122" s="122"/>
      <c r="DB122" s="122"/>
      <c r="DC122" s="122"/>
      <c r="DD122" s="122"/>
      <c r="DE122" s="122"/>
      <c r="DF122" s="122"/>
      <c r="DG122" s="122"/>
      <c r="DH122" s="122"/>
      <c r="DI122" s="122"/>
      <c r="DJ122" s="122"/>
      <c r="DK122" s="122"/>
      <c r="DL122" s="122"/>
      <c r="DM122" s="122"/>
      <c r="DN122" s="122"/>
      <c r="DO122" s="122"/>
      <c r="DP122" s="122"/>
      <c r="DQ122" s="122"/>
      <c r="DR122" s="122"/>
      <c r="DS122" s="122"/>
      <c r="DT122" s="122"/>
      <c r="DU122" s="122"/>
      <c r="DV122" s="122"/>
      <c r="DW122" s="122"/>
      <c r="DX122" s="122"/>
      <c r="DY122" s="122"/>
      <c r="DZ122" s="122"/>
      <c r="EA122" s="122"/>
      <c r="EB122" s="122"/>
      <c r="EC122" s="122"/>
      <c r="ED122" s="122"/>
      <c r="EE122" s="122"/>
      <c r="EF122" s="122"/>
      <c r="EG122" s="122"/>
      <c r="EH122" s="122"/>
      <c r="EI122" s="122"/>
      <c r="EJ122" s="122"/>
      <c r="EK122" s="122"/>
      <c r="EL122" s="122"/>
      <c r="EM122" s="122"/>
      <c r="EN122" s="122"/>
      <c r="EO122" s="122"/>
      <c r="EP122" s="122"/>
      <c r="EQ122" s="122"/>
      <c r="ER122" s="122"/>
      <c r="ES122" s="122"/>
      <c r="ET122" s="122"/>
      <c r="EU122" s="122"/>
      <c r="EV122" s="122"/>
      <c r="EW122" s="122"/>
      <c r="EX122" s="122"/>
      <c r="EY122" s="122"/>
      <c r="EZ122" s="122"/>
      <c r="FA122" s="122"/>
      <c r="FB122" s="122"/>
      <c r="FC122" s="122"/>
      <c r="FD122" s="122"/>
      <c r="FE122" s="122"/>
      <c r="FF122" s="122"/>
      <c r="FG122" s="122"/>
      <c r="FH122" s="122"/>
      <c r="FI122" s="122"/>
      <c r="FJ122" s="122"/>
      <c r="FK122" s="122"/>
      <c r="FL122" s="122"/>
      <c r="FM122" s="122"/>
      <c r="FN122" s="122"/>
      <c r="FO122" s="122"/>
      <c r="FP122" s="122"/>
      <c r="FQ122" s="122"/>
      <c r="FR122" s="122"/>
      <c r="FS122" s="122"/>
      <c r="FT122" s="122"/>
      <c r="FU122" s="122"/>
      <c r="FV122" s="122"/>
      <c r="FW122" s="122"/>
      <c r="FX122" s="122"/>
      <c r="FY122" s="122"/>
      <c r="FZ122" s="122"/>
      <c r="GA122" s="122"/>
      <c r="GB122" s="122"/>
      <c r="GC122" s="122"/>
      <c r="GD122" s="122"/>
      <c r="GE122" s="122"/>
      <c r="GF122" s="122"/>
      <c r="GG122" s="122"/>
      <c r="GH122" s="122"/>
      <c r="GI122" s="122"/>
      <c r="GJ122" s="122"/>
      <c r="GK122" s="122"/>
      <c r="GL122" s="122"/>
      <c r="GM122" s="122"/>
      <c r="GN122" s="122"/>
      <c r="GO122" s="122"/>
      <c r="GP122" s="122"/>
      <c r="GQ122" s="122"/>
      <c r="GR122" s="122"/>
      <c r="GS122" s="122"/>
      <c r="GT122" s="122"/>
      <c r="GU122" s="122"/>
      <c r="GV122" s="122"/>
      <c r="GW122" s="122"/>
      <c r="GX122" s="122"/>
      <c r="GY122" s="122"/>
      <c r="GZ122" s="122"/>
      <c r="HA122" s="122"/>
      <c r="HB122" s="122"/>
      <c r="HC122" s="122"/>
      <c r="HD122" s="122"/>
      <c r="HE122" s="122"/>
      <c r="HF122" s="122"/>
      <c r="HG122" s="122"/>
      <c r="HH122" s="122"/>
      <c r="HI122" s="122"/>
      <c r="HJ122" s="122"/>
      <c r="HK122" s="122"/>
      <c r="HL122" s="122"/>
      <c r="HM122" s="122"/>
      <c r="HN122" s="122"/>
      <c r="HO122" s="122"/>
      <c r="HP122" s="122"/>
      <c r="HQ122" s="122"/>
      <c r="HR122" s="122"/>
      <c r="HS122" s="122"/>
      <c r="HT122" s="122"/>
      <c r="HU122" s="122"/>
      <c r="HV122" s="122"/>
      <c r="HW122" s="122"/>
      <c r="HX122" s="122"/>
      <c r="HY122" s="122"/>
      <c r="HZ122" s="122"/>
      <c r="IA122" s="122"/>
      <c r="IB122" s="122"/>
      <c r="IC122" s="122"/>
      <c r="ID122" s="122"/>
      <c r="IE122" s="122"/>
      <c r="IF122" s="122"/>
      <c r="IG122" s="122"/>
      <c r="IH122" s="122"/>
      <c r="II122" s="122"/>
      <c r="IJ122" s="122"/>
      <c r="IK122" s="122"/>
      <c r="IL122" s="122"/>
      <c r="IM122" s="122"/>
      <c r="IN122" s="122"/>
      <c r="IO122" s="122"/>
      <c r="IP122" s="122"/>
      <c r="IQ122" s="122"/>
      <c r="IR122" s="122"/>
      <c r="IS122" s="122"/>
      <c r="IT122" s="122"/>
      <c r="IU122" s="122"/>
      <c r="IV122" s="122"/>
    </row>
    <row r="123" spans="1:256" x14ac:dyDescent="0.25">
      <c r="A123" s="95"/>
      <c r="B123" s="101"/>
      <c r="C123" s="101"/>
      <c r="D123" s="152"/>
      <c r="E123" s="152"/>
      <c r="F123" s="101"/>
      <c r="G123" s="101"/>
      <c r="H123" s="101"/>
      <c r="I123" s="101"/>
      <c r="J123" s="101"/>
      <c r="K123" s="101"/>
      <c r="L123" s="101"/>
      <c r="M123" s="152"/>
      <c r="N123" s="152"/>
      <c r="O123" s="152"/>
      <c r="P123" s="101"/>
      <c r="Q123" s="152"/>
      <c r="R123" s="152"/>
      <c r="S123" s="152"/>
      <c r="T123" s="152"/>
      <c r="U123" s="122"/>
      <c r="V123" s="122"/>
      <c r="W123" s="122"/>
      <c r="X123" s="122"/>
      <c r="Y123" s="122"/>
      <c r="Z123" s="122"/>
      <c r="AA123" s="122"/>
      <c r="AB123" s="122"/>
      <c r="AC123" s="122"/>
      <c r="AD123" s="122"/>
      <c r="AE123" s="122"/>
      <c r="AF123" s="122"/>
      <c r="AG123" s="122"/>
      <c r="AH123" s="122"/>
      <c r="AI123" s="122"/>
      <c r="AJ123" s="122"/>
      <c r="AK123" s="122"/>
      <c r="AL123" s="122"/>
      <c r="AM123" s="122"/>
      <c r="AN123" s="122"/>
      <c r="AO123" s="122"/>
      <c r="AP123" s="122"/>
      <c r="AQ123" s="122"/>
      <c r="AR123" s="122"/>
      <c r="AS123" s="122"/>
      <c r="AT123" s="122"/>
      <c r="AU123" s="122"/>
      <c r="AV123" s="122"/>
      <c r="AW123" s="122"/>
      <c r="AX123" s="122"/>
      <c r="AY123" s="122"/>
      <c r="AZ123" s="122"/>
      <c r="BA123" s="122"/>
      <c r="BB123" s="122"/>
      <c r="BC123" s="122"/>
      <c r="BD123" s="122"/>
      <c r="BE123" s="122"/>
      <c r="BF123" s="122"/>
      <c r="BG123" s="122"/>
      <c r="BH123" s="122"/>
      <c r="BI123" s="122"/>
      <c r="BJ123" s="122"/>
      <c r="BK123" s="122"/>
      <c r="BL123" s="122"/>
      <c r="BM123" s="122"/>
      <c r="BN123" s="122"/>
      <c r="BO123" s="122"/>
      <c r="BP123" s="122"/>
      <c r="BQ123" s="122"/>
      <c r="BR123" s="122"/>
      <c r="BS123" s="122"/>
      <c r="BT123" s="122"/>
      <c r="BU123" s="122"/>
      <c r="BV123" s="122"/>
      <c r="BW123" s="122"/>
      <c r="BX123" s="122"/>
      <c r="BY123" s="122"/>
      <c r="BZ123" s="122"/>
      <c r="CA123" s="122"/>
      <c r="CB123" s="122"/>
      <c r="CC123" s="122"/>
      <c r="CD123" s="122"/>
      <c r="CE123" s="122"/>
      <c r="CF123" s="122"/>
      <c r="CG123" s="122"/>
      <c r="CH123" s="122"/>
      <c r="CI123" s="122"/>
      <c r="CJ123" s="122"/>
      <c r="CK123" s="122"/>
      <c r="CL123" s="122"/>
      <c r="CM123" s="122"/>
      <c r="CN123" s="122"/>
      <c r="CO123" s="122"/>
      <c r="CP123" s="122"/>
      <c r="CQ123" s="122"/>
      <c r="CR123" s="122"/>
      <c r="CS123" s="122"/>
      <c r="CT123" s="122"/>
      <c r="CU123" s="122"/>
      <c r="CV123" s="122"/>
      <c r="CW123" s="122"/>
      <c r="CX123" s="122"/>
      <c r="CY123" s="122"/>
      <c r="CZ123" s="122"/>
      <c r="DA123" s="122"/>
      <c r="DB123" s="122"/>
      <c r="DC123" s="122"/>
      <c r="DD123" s="122"/>
      <c r="DE123" s="122"/>
      <c r="DF123" s="122"/>
      <c r="DG123" s="122"/>
      <c r="DH123" s="122"/>
      <c r="DI123" s="122"/>
      <c r="DJ123" s="122"/>
      <c r="DK123" s="122"/>
      <c r="DL123" s="122"/>
      <c r="DM123" s="122"/>
      <c r="DN123" s="122"/>
      <c r="DO123" s="122"/>
      <c r="DP123" s="122"/>
      <c r="DQ123" s="122"/>
      <c r="DR123" s="122"/>
      <c r="DS123" s="122"/>
      <c r="DT123" s="122"/>
      <c r="DU123" s="122"/>
      <c r="DV123" s="122"/>
      <c r="DW123" s="122"/>
      <c r="DX123" s="122"/>
      <c r="DY123" s="122"/>
      <c r="DZ123" s="122"/>
      <c r="EA123" s="122"/>
      <c r="EB123" s="122"/>
      <c r="EC123" s="122"/>
      <c r="ED123" s="122"/>
      <c r="EE123" s="122"/>
      <c r="EF123" s="122"/>
      <c r="EG123" s="122"/>
      <c r="EH123" s="122"/>
      <c r="EI123" s="122"/>
      <c r="EJ123" s="122"/>
      <c r="EK123" s="122"/>
      <c r="EL123" s="122"/>
      <c r="EM123" s="122"/>
      <c r="EN123" s="122"/>
      <c r="EO123" s="122"/>
      <c r="EP123" s="122"/>
      <c r="EQ123" s="122"/>
      <c r="ER123" s="122"/>
      <c r="ES123" s="122"/>
      <c r="ET123" s="122"/>
      <c r="EU123" s="122"/>
      <c r="EV123" s="122"/>
      <c r="EW123" s="122"/>
      <c r="EX123" s="122"/>
      <c r="EY123" s="122"/>
      <c r="EZ123" s="122"/>
      <c r="FA123" s="122"/>
      <c r="FB123" s="122"/>
      <c r="FC123" s="122"/>
      <c r="FD123" s="122"/>
      <c r="FE123" s="122"/>
      <c r="FF123" s="122"/>
      <c r="FG123" s="122"/>
      <c r="FH123" s="122"/>
      <c r="FI123" s="122"/>
      <c r="FJ123" s="122"/>
      <c r="FK123" s="122"/>
      <c r="FL123" s="122"/>
      <c r="FM123" s="122"/>
      <c r="FN123" s="122"/>
      <c r="FO123" s="122"/>
      <c r="FP123" s="122"/>
      <c r="FQ123" s="122"/>
      <c r="FR123" s="122"/>
      <c r="FS123" s="122"/>
      <c r="FT123" s="122"/>
      <c r="FU123" s="122"/>
      <c r="FV123" s="122"/>
      <c r="FW123" s="122"/>
      <c r="FX123" s="122"/>
      <c r="FY123" s="122"/>
      <c r="FZ123" s="122"/>
      <c r="GA123" s="122"/>
      <c r="GB123" s="122"/>
      <c r="GC123" s="122"/>
      <c r="GD123" s="122"/>
      <c r="GE123" s="122"/>
      <c r="GF123" s="122"/>
      <c r="GG123" s="122"/>
      <c r="GH123" s="122"/>
      <c r="GI123" s="122"/>
      <c r="GJ123" s="122"/>
      <c r="GK123" s="122"/>
      <c r="GL123" s="122"/>
      <c r="GM123" s="122"/>
      <c r="GN123" s="122"/>
      <c r="GO123" s="122"/>
      <c r="GP123" s="122"/>
      <c r="GQ123" s="122"/>
      <c r="GR123" s="122"/>
      <c r="GS123" s="122"/>
      <c r="GT123" s="122"/>
      <c r="GU123" s="122"/>
      <c r="GV123" s="122"/>
      <c r="GW123" s="122"/>
      <c r="GX123" s="122"/>
      <c r="GY123" s="122"/>
      <c r="GZ123" s="122"/>
      <c r="HA123" s="122"/>
      <c r="HB123" s="122"/>
      <c r="HC123" s="122"/>
      <c r="HD123" s="122"/>
      <c r="HE123" s="122"/>
      <c r="HF123" s="122"/>
      <c r="HG123" s="122"/>
      <c r="HH123" s="122"/>
      <c r="HI123" s="122"/>
      <c r="HJ123" s="122"/>
      <c r="HK123" s="122"/>
      <c r="HL123" s="122"/>
      <c r="HM123" s="122"/>
      <c r="HN123" s="122"/>
      <c r="HO123" s="122"/>
      <c r="HP123" s="122"/>
      <c r="HQ123" s="122"/>
      <c r="HR123" s="122"/>
      <c r="HS123" s="122"/>
      <c r="HT123" s="122"/>
      <c r="HU123" s="122"/>
      <c r="HV123" s="122"/>
      <c r="HW123" s="122"/>
      <c r="HX123" s="122"/>
      <c r="HY123" s="122"/>
      <c r="HZ123" s="122"/>
      <c r="IA123" s="122"/>
      <c r="IB123" s="122"/>
      <c r="IC123" s="122"/>
      <c r="ID123" s="122"/>
      <c r="IE123" s="122"/>
      <c r="IF123" s="122"/>
      <c r="IG123" s="122"/>
      <c r="IH123" s="122"/>
      <c r="II123" s="122"/>
      <c r="IJ123" s="122"/>
      <c r="IK123" s="122"/>
      <c r="IL123" s="122"/>
      <c r="IM123" s="122"/>
      <c r="IN123" s="122"/>
      <c r="IO123" s="122"/>
      <c r="IP123" s="122"/>
      <c r="IQ123" s="122"/>
      <c r="IR123" s="122"/>
      <c r="IS123" s="122"/>
      <c r="IT123" s="122"/>
      <c r="IU123" s="122"/>
      <c r="IV123" s="122"/>
    </row>
    <row r="124" spans="1:256" x14ac:dyDescent="0.25">
      <c r="A124" s="95"/>
      <c r="B124" s="101"/>
      <c r="C124" s="101"/>
      <c r="D124" s="152"/>
      <c r="E124" s="152"/>
      <c r="F124" s="101"/>
      <c r="G124" s="101"/>
      <c r="H124" s="101"/>
      <c r="I124" s="101"/>
      <c r="J124" s="101"/>
      <c r="K124" s="101"/>
      <c r="L124" s="101"/>
      <c r="M124" s="152"/>
      <c r="N124" s="152"/>
      <c r="O124" s="152"/>
      <c r="P124" s="101"/>
      <c r="Q124" s="152"/>
      <c r="R124" s="152"/>
      <c r="S124" s="152"/>
      <c r="T124" s="152"/>
      <c r="U124" s="122"/>
      <c r="V124" s="122"/>
      <c r="W124" s="122"/>
      <c r="X124" s="122"/>
      <c r="Y124" s="122"/>
      <c r="Z124" s="122"/>
      <c r="AA124" s="122"/>
      <c r="AB124" s="122"/>
      <c r="AC124" s="122"/>
      <c r="AD124" s="122"/>
      <c r="AE124" s="122"/>
      <c r="AF124" s="122"/>
      <c r="AG124" s="122"/>
      <c r="AH124" s="122"/>
      <c r="AI124" s="122"/>
      <c r="AJ124" s="122"/>
      <c r="AK124" s="122"/>
      <c r="AL124" s="122"/>
      <c r="AM124" s="122"/>
      <c r="AN124" s="122"/>
      <c r="AO124" s="122"/>
      <c r="AP124" s="122"/>
      <c r="AQ124" s="122"/>
      <c r="AR124" s="122"/>
      <c r="AS124" s="122"/>
      <c r="AT124" s="122"/>
      <c r="AU124" s="122"/>
      <c r="AV124" s="122"/>
      <c r="AW124" s="122"/>
      <c r="AX124" s="122"/>
      <c r="AY124" s="122"/>
      <c r="AZ124" s="122"/>
      <c r="BA124" s="122"/>
      <c r="BB124" s="122"/>
      <c r="BC124" s="122"/>
      <c r="BD124" s="122"/>
      <c r="BE124" s="122"/>
      <c r="BF124" s="122"/>
      <c r="BG124" s="122"/>
      <c r="BH124" s="122"/>
      <c r="BI124" s="122"/>
      <c r="BJ124" s="122"/>
      <c r="BK124" s="122"/>
      <c r="BL124" s="122"/>
      <c r="BM124" s="122"/>
      <c r="BN124" s="122"/>
      <c r="BO124" s="122"/>
      <c r="BP124" s="122"/>
      <c r="BQ124" s="122"/>
      <c r="BR124" s="122"/>
      <c r="BS124" s="122"/>
      <c r="BT124" s="122"/>
      <c r="BU124" s="122"/>
      <c r="BV124" s="122"/>
      <c r="BW124" s="122"/>
      <c r="BX124" s="122"/>
      <c r="BY124" s="122"/>
      <c r="BZ124" s="122"/>
      <c r="CA124" s="122"/>
      <c r="CB124" s="122"/>
      <c r="CC124" s="122"/>
      <c r="CD124" s="122"/>
      <c r="CE124" s="122"/>
      <c r="CF124" s="122"/>
      <c r="CG124" s="122"/>
      <c r="CH124" s="122"/>
      <c r="CI124" s="122"/>
      <c r="CJ124" s="122"/>
      <c r="CK124" s="122"/>
      <c r="CL124" s="122"/>
      <c r="CM124" s="122"/>
      <c r="CN124" s="122"/>
      <c r="CO124" s="122"/>
      <c r="CP124" s="122"/>
      <c r="CQ124" s="122"/>
      <c r="CR124" s="122"/>
      <c r="CS124" s="122"/>
      <c r="CT124" s="122"/>
      <c r="CU124" s="122"/>
      <c r="CV124" s="122"/>
      <c r="CW124" s="122"/>
      <c r="CX124" s="122"/>
      <c r="CY124" s="122"/>
      <c r="CZ124" s="122"/>
      <c r="DA124" s="122"/>
      <c r="DB124" s="122"/>
      <c r="DC124" s="122"/>
      <c r="DD124" s="122"/>
      <c r="DE124" s="122"/>
      <c r="DF124" s="122"/>
      <c r="DG124" s="122"/>
      <c r="DH124" s="122"/>
      <c r="DI124" s="122"/>
      <c r="DJ124" s="122"/>
      <c r="DK124" s="122"/>
      <c r="DL124" s="122"/>
      <c r="DM124" s="122"/>
      <c r="DN124" s="122"/>
      <c r="DO124" s="122"/>
      <c r="DP124" s="122"/>
      <c r="DQ124" s="122"/>
      <c r="DR124" s="122"/>
      <c r="DS124" s="122"/>
      <c r="DT124" s="122"/>
      <c r="DU124" s="122"/>
      <c r="DV124" s="122"/>
      <c r="DW124" s="122"/>
      <c r="DX124" s="122"/>
      <c r="DY124" s="122"/>
      <c r="DZ124" s="122"/>
      <c r="EA124" s="122"/>
      <c r="EB124" s="122"/>
      <c r="EC124" s="122"/>
      <c r="ED124" s="122"/>
      <c r="EE124" s="122"/>
      <c r="EF124" s="122"/>
      <c r="EG124" s="122"/>
      <c r="EH124" s="122"/>
      <c r="EI124" s="122"/>
      <c r="EJ124" s="122"/>
      <c r="EK124" s="122"/>
      <c r="EL124" s="122"/>
      <c r="EM124" s="122"/>
      <c r="EN124" s="122"/>
      <c r="EO124" s="122"/>
      <c r="EP124" s="122"/>
      <c r="EQ124" s="122"/>
      <c r="ER124" s="122"/>
      <c r="ES124" s="122"/>
      <c r="ET124" s="122"/>
      <c r="EU124" s="122"/>
      <c r="EV124" s="122"/>
      <c r="EW124" s="122"/>
      <c r="EX124" s="122"/>
      <c r="EY124" s="122"/>
      <c r="EZ124" s="122"/>
      <c r="FA124" s="122"/>
      <c r="FB124" s="122"/>
      <c r="FC124" s="122"/>
      <c r="FD124" s="122"/>
      <c r="FE124" s="122"/>
      <c r="FF124" s="122"/>
      <c r="FG124" s="122"/>
      <c r="FH124" s="122"/>
      <c r="FI124" s="122"/>
      <c r="FJ124" s="122"/>
      <c r="FK124" s="122"/>
      <c r="FL124" s="122"/>
      <c r="FM124" s="122"/>
      <c r="FN124" s="122"/>
      <c r="FO124" s="122"/>
      <c r="FP124" s="122"/>
      <c r="FQ124" s="122"/>
      <c r="FR124" s="122"/>
      <c r="FS124" s="122"/>
      <c r="FT124" s="122"/>
      <c r="FU124" s="122"/>
      <c r="FV124" s="122"/>
      <c r="FW124" s="122"/>
      <c r="FX124" s="122"/>
      <c r="FY124" s="122"/>
      <c r="FZ124" s="122"/>
      <c r="GA124" s="122"/>
      <c r="GB124" s="122"/>
      <c r="GC124" s="122"/>
      <c r="GD124" s="122"/>
      <c r="GE124" s="122"/>
      <c r="GF124" s="122"/>
      <c r="GG124" s="122"/>
      <c r="GH124" s="122"/>
      <c r="GI124" s="122"/>
      <c r="GJ124" s="122"/>
      <c r="GK124" s="122"/>
      <c r="GL124" s="122"/>
      <c r="GM124" s="122"/>
      <c r="GN124" s="122"/>
      <c r="GO124" s="122"/>
      <c r="GP124" s="122"/>
      <c r="GQ124" s="122"/>
      <c r="GR124" s="122"/>
      <c r="GS124" s="122"/>
      <c r="GT124" s="122"/>
      <c r="GU124" s="122"/>
      <c r="GV124" s="122"/>
      <c r="GW124" s="122"/>
      <c r="GX124" s="122"/>
      <c r="GY124" s="122"/>
      <c r="GZ124" s="122"/>
      <c r="HA124" s="122"/>
      <c r="HB124" s="122"/>
      <c r="HC124" s="122"/>
      <c r="HD124" s="122"/>
      <c r="HE124" s="122"/>
      <c r="HF124" s="122"/>
      <c r="HG124" s="122"/>
      <c r="HH124" s="122"/>
      <c r="HI124" s="122"/>
      <c r="HJ124" s="122"/>
      <c r="HK124" s="122"/>
      <c r="HL124" s="122"/>
      <c r="HM124" s="122"/>
      <c r="HN124" s="122"/>
      <c r="HO124" s="122"/>
      <c r="HP124" s="122"/>
      <c r="HQ124" s="122"/>
      <c r="HR124" s="122"/>
      <c r="HS124" s="122"/>
      <c r="HT124" s="122"/>
      <c r="HU124" s="122"/>
      <c r="HV124" s="122"/>
      <c r="HW124" s="122"/>
      <c r="HX124" s="122"/>
      <c r="HY124" s="122"/>
      <c r="HZ124" s="122"/>
      <c r="IA124" s="122"/>
      <c r="IB124" s="122"/>
      <c r="IC124" s="122"/>
      <c r="ID124" s="122"/>
      <c r="IE124" s="122"/>
      <c r="IF124" s="122"/>
      <c r="IG124" s="122"/>
      <c r="IH124" s="122"/>
      <c r="II124" s="122"/>
      <c r="IJ124" s="122"/>
      <c r="IK124" s="122"/>
      <c r="IL124" s="122"/>
      <c r="IM124" s="122"/>
      <c r="IN124" s="122"/>
      <c r="IO124" s="122"/>
      <c r="IP124" s="122"/>
      <c r="IQ124" s="122"/>
      <c r="IR124" s="122"/>
      <c r="IS124" s="122"/>
      <c r="IT124" s="122"/>
      <c r="IU124" s="122"/>
      <c r="IV124" s="122"/>
    </row>
    <row r="125" spans="1:256" x14ac:dyDescent="0.25">
      <c r="A125" s="152"/>
      <c r="B125" s="101"/>
      <c r="C125" s="101"/>
      <c r="D125" s="152"/>
      <c r="E125" s="152"/>
      <c r="F125" s="101"/>
      <c r="G125" s="101"/>
      <c r="H125" s="101"/>
      <c r="I125" s="101"/>
      <c r="J125" s="101"/>
      <c r="K125" s="101"/>
      <c r="L125" s="152"/>
      <c r="M125" s="152"/>
      <c r="N125" s="152"/>
      <c r="O125" s="152"/>
      <c r="P125" s="101"/>
      <c r="Q125" s="152"/>
      <c r="R125" s="152"/>
      <c r="S125" s="152"/>
      <c r="T125" s="152"/>
      <c r="U125" s="122"/>
      <c r="V125" s="122"/>
      <c r="W125" s="122"/>
      <c r="X125" s="122"/>
      <c r="Y125" s="122"/>
      <c r="Z125" s="122"/>
      <c r="AA125" s="122"/>
      <c r="AB125" s="122"/>
      <c r="AC125" s="122"/>
      <c r="AD125" s="122"/>
      <c r="AE125" s="122"/>
      <c r="AF125" s="122"/>
      <c r="AG125" s="122"/>
      <c r="AH125" s="122"/>
      <c r="AI125" s="122"/>
      <c r="AJ125" s="122"/>
      <c r="AK125" s="122"/>
      <c r="AL125" s="122"/>
      <c r="AM125" s="122"/>
      <c r="AN125" s="122"/>
      <c r="AO125" s="122"/>
      <c r="AP125" s="122"/>
      <c r="AQ125" s="122"/>
      <c r="AR125" s="122"/>
      <c r="AS125" s="122"/>
      <c r="AT125" s="122"/>
      <c r="AU125" s="122"/>
      <c r="AV125" s="122"/>
      <c r="AW125" s="122"/>
      <c r="AX125" s="122"/>
      <c r="AY125" s="122"/>
      <c r="AZ125" s="122"/>
      <c r="BA125" s="122"/>
      <c r="BB125" s="122"/>
      <c r="BC125" s="122"/>
      <c r="BD125" s="122"/>
      <c r="BE125" s="122"/>
      <c r="BF125" s="122"/>
      <c r="BG125" s="122"/>
      <c r="BH125" s="122"/>
      <c r="BI125" s="122"/>
      <c r="BJ125" s="122"/>
      <c r="BK125" s="122"/>
      <c r="BL125" s="122"/>
      <c r="BM125" s="122"/>
      <c r="BN125" s="122"/>
      <c r="BO125" s="122"/>
      <c r="BP125" s="122"/>
      <c r="BQ125" s="122"/>
      <c r="BR125" s="122"/>
      <c r="BS125" s="122"/>
      <c r="BT125" s="122"/>
      <c r="BU125" s="122"/>
      <c r="BV125" s="122"/>
      <c r="BW125" s="122"/>
      <c r="BX125" s="122"/>
      <c r="BY125" s="122"/>
      <c r="BZ125" s="122"/>
      <c r="CA125" s="122"/>
      <c r="CB125" s="122"/>
      <c r="CC125" s="122"/>
      <c r="CD125" s="122"/>
      <c r="CE125" s="122"/>
      <c r="CF125" s="122"/>
      <c r="CG125" s="122"/>
      <c r="CH125" s="122"/>
      <c r="CI125" s="122"/>
      <c r="CJ125" s="122"/>
      <c r="CK125" s="122"/>
      <c r="CL125" s="122"/>
      <c r="CM125" s="122"/>
      <c r="CN125" s="122"/>
      <c r="CO125" s="122"/>
      <c r="CP125" s="122"/>
      <c r="CQ125" s="122"/>
      <c r="CR125" s="122"/>
      <c r="CS125" s="122"/>
      <c r="CT125" s="122"/>
      <c r="CU125" s="122"/>
      <c r="CV125" s="122"/>
      <c r="CW125" s="122"/>
      <c r="CX125" s="122"/>
      <c r="CY125" s="122"/>
      <c r="CZ125" s="122"/>
      <c r="DA125" s="122"/>
      <c r="DB125" s="122"/>
      <c r="DC125" s="122"/>
      <c r="DD125" s="122"/>
      <c r="DE125" s="122"/>
      <c r="DF125" s="122"/>
      <c r="DG125" s="122"/>
      <c r="DH125" s="122"/>
      <c r="DI125" s="122"/>
      <c r="DJ125" s="122"/>
      <c r="DK125" s="122"/>
      <c r="DL125" s="122"/>
      <c r="DM125" s="122"/>
      <c r="DN125" s="122"/>
      <c r="DO125" s="122"/>
      <c r="DP125" s="122"/>
      <c r="DQ125" s="122"/>
      <c r="DR125" s="122"/>
      <c r="DS125" s="122"/>
      <c r="DT125" s="122"/>
      <c r="DU125" s="122"/>
      <c r="DV125" s="122"/>
      <c r="DW125" s="122"/>
      <c r="DX125" s="122"/>
      <c r="DY125" s="122"/>
      <c r="DZ125" s="122"/>
      <c r="EA125" s="122"/>
      <c r="EB125" s="122"/>
      <c r="EC125" s="122"/>
      <c r="ED125" s="122"/>
      <c r="EE125" s="122"/>
      <c r="EF125" s="122"/>
      <c r="EG125" s="122"/>
      <c r="EH125" s="122"/>
      <c r="EI125" s="122"/>
      <c r="EJ125" s="122"/>
      <c r="EK125" s="122"/>
      <c r="EL125" s="122"/>
      <c r="EM125" s="122"/>
      <c r="EN125" s="122"/>
      <c r="EO125" s="122"/>
      <c r="EP125" s="122"/>
      <c r="EQ125" s="122"/>
      <c r="ER125" s="122"/>
      <c r="ES125" s="122"/>
      <c r="ET125" s="122"/>
      <c r="EU125" s="122"/>
      <c r="EV125" s="122"/>
      <c r="EW125" s="122"/>
      <c r="EX125" s="122"/>
      <c r="EY125" s="122"/>
      <c r="EZ125" s="122"/>
      <c r="FA125" s="122"/>
      <c r="FB125" s="122"/>
      <c r="FC125" s="122"/>
      <c r="FD125" s="122"/>
      <c r="FE125" s="122"/>
      <c r="FF125" s="122"/>
      <c r="FG125" s="122"/>
      <c r="FH125" s="122"/>
      <c r="FI125" s="122"/>
      <c r="FJ125" s="122"/>
      <c r="FK125" s="122"/>
      <c r="FL125" s="122"/>
      <c r="FM125" s="122"/>
      <c r="FN125" s="122"/>
      <c r="FO125" s="122"/>
      <c r="FP125" s="122"/>
      <c r="FQ125" s="122"/>
      <c r="FR125" s="122"/>
      <c r="FS125" s="122"/>
      <c r="FT125" s="122"/>
      <c r="FU125" s="122"/>
      <c r="FV125" s="122"/>
      <c r="FW125" s="122"/>
      <c r="FX125" s="122"/>
      <c r="FY125" s="122"/>
      <c r="FZ125" s="122"/>
      <c r="GA125" s="122"/>
      <c r="GB125" s="122"/>
      <c r="GC125" s="122"/>
      <c r="GD125" s="122"/>
      <c r="GE125" s="122"/>
      <c r="GF125" s="122"/>
      <c r="GG125" s="122"/>
      <c r="GH125" s="122"/>
      <c r="GI125" s="122"/>
      <c r="GJ125" s="122"/>
      <c r="GK125" s="122"/>
      <c r="GL125" s="122"/>
      <c r="GM125" s="122"/>
      <c r="GN125" s="122"/>
      <c r="GO125" s="122"/>
      <c r="GP125" s="122"/>
      <c r="GQ125" s="122"/>
      <c r="GR125" s="122"/>
      <c r="GS125" s="122"/>
      <c r="GT125" s="122"/>
      <c r="GU125" s="122"/>
      <c r="GV125" s="122"/>
      <c r="GW125" s="122"/>
      <c r="GX125" s="122"/>
      <c r="GY125" s="122"/>
      <c r="GZ125" s="122"/>
      <c r="HA125" s="122"/>
      <c r="HB125" s="122"/>
      <c r="HC125" s="122"/>
      <c r="HD125" s="122"/>
      <c r="HE125" s="122"/>
      <c r="HF125" s="122"/>
      <c r="HG125" s="122"/>
      <c r="HH125" s="122"/>
      <c r="HI125" s="122"/>
      <c r="HJ125" s="122"/>
      <c r="HK125" s="122"/>
      <c r="HL125" s="122"/>
      <c r="HM125" s="122"/>
      <c r="HN125" s="122"/>
      <c r="HO125" s="122"/>
      <c r="HP125" s="122"/>
      <c r="HQ125" s="122"/>
      <c r="HR125" s="122"/>
      <c r="HS125" s="122"/>
      <c r="HT125" s="122"/>
      <c r="HU125" s="122"/>
      <c r="HV125" s="122"/>
      <c r="HW125" s="122"/>
      <c r="HX125" s="122"/>
      <c r="HY125" s="122"/>
      <c r="HZ125" s="122"/>
      <c r="IA125" s="122"/>
      <c r="IB125" s="122"/>
      <c r="IC125" s="122"/>
      <c r="ID125" s="122"/>
      <c r="IE125" s="122"/>
      <c r="IF125" s="122"/>
      <c r="IG125" s="122"/>
      <c r="IH125" s="122"/>
      <c r="II125" s="122"/>
      <c r="IJ125" s="122"/>
      <c r="IK125" s="122"/>
      <c r="IL125" s="122"/>
      <c r="IM125" s="122"/>
      <c r="IN125" s="122"/>
      <c r="IO125" s="122"/>
      <c r="IP125" s="122"/>
      <c r="IQ125" s="122"/>
      <c r="IR125" s="122"/>
      <c r="IS125" s="122"/>
      <c r="IT125" s="122"/>
      <c r="IU125" s="122"/>
      <c r="IV125" s="122"/>
    </row>
    <row r="126" spans="1:256" x14ac:dyDescent="0.25">
      <c r="A126" s="155"/>
      <c r="B126" s="101"/>
      <c r="C126" s="101"/>
      <c r="D126" s="152"/>
      <c r="E126" s="152"/>
      <c r="F126" s="101"/>
      <c r="G126" s="101"/>
      <c r="H126" s="101"/>
      <c r="I126" s="101"/>
      <c r="J126" s="101"/>
      <c r="K126" s="101"/>
      <c r="L126" s="101"/>
      <c r="M126" s="152"/>
      <c r="N126" s="152"/>
      <c r="O126" s="152"/>
      <c r="P126" s="101"/>
      <c r="Q126" s="152"/>
      <c r="R126" s="152"/>
      <c r="S126" s="152"/>
      <c r="T126" s="152"/>
      <c r="U126" s="122"/>
      <c r="V126" s="122"/>
      <c r="W126" s="122"/>
      <c r="X126" s="122"/>
      <c r="Y126" s="122"/>
      <c r="Z126" s="122"/>
      <c r="AA126" s="122"/>
      <c r="AB126" s="122"/>
      <c r="AC126" s="122"/>
      <c r="AD126" s="122"/>
      <c r="AE126" s="122"/>
      <c r="AF126" s="122"/>
      <c r="AG126" s="122"/>
      <c r="AH126" s="122"/>
      <c r="AI126" s="122"/>
      <c r="AJ126" s="122"/>
      <c r="AK126" s="122"/>
      <c r="AL126" s="122"/>
      <c r="AM126" s="122"/>
      <c r="AN126" s="122"/>
      <c r="AO126" s="122"/>
      <c r="AP126" s="122"/>
      <c r="AQ126" s="122"/>
      <c r="AR126" s="122"/>
      <c r="AS126" s="122"/>
      <c r="AT126" s="122"/>
      <c r="AU126" s="122"/>
      <c r="AV126" s="122"/>
      <c r="AW126" s="122"/>
      <c r="AX126" s="122"/>
      <c r="AY126" s="122"/>
      <c r="AZ126" s="122"/>
      <c r="BA126" s="122"/>
      <c r="BB126" s="122"/>
      <c r="BC126" s="122"/>
      <c r="BD126" s="122"/>
      <c r="BE126" s="122"/>
      <c r="BF126" s="122"/>
      <c r="BG126" s="122"/>
      <c r="BH126" s="122"/>
      <c r="BI126" s="122"/>
      <c r="BJ126" s="122"/>
      <c r="BK126" s="122"/>
      <c r="BL126" s="122"/>
      <c r="BM126" s="122"/>
      <c r="BN126" s="122"/>
      <c r="BO126" s="122"/>
      <c r="BP126" s="122"/>
      <c r="BQ126" s="122"/>
      <c r="BR126" s="122"/>
      <c r="BS126" s="122"/>
      <c r="BT126" s="122"/>
      <c r="BU126" s="122"/>
      <c r="BV126" s="122"/>
      <c r="BW126" s="122"/>
      <c r="BX126" s="122"/>
      <c r="BY126" s="122"/>
      <c r="BZ126" s="122"/>
      <c r="CA126" s="122"/>
      <c r="CB126" s="122"/>
      <c r="CC126" s="122"/>
      <c r="CD126" s="122"/>
      <c r="CE126" s="122"/>
      <c r="CF126" s="122"/>
      <c r="CG126" s="122"/>
      <c r="CH126" s="122"/>
      <c r="CI126" s="122"/>
      <c r="CJ126" s="122"/>
      <c r="CK126" s="122"/>
      <c r="CL126" s="122"/>
      <c r="CM126" s="122"/>
      <c r="CN126" s="122"/>
      <c r="CO126" s="122"/>
      <c r="CP126" s="122"/>
      <c r="CQ126" s="122"/>
      <c r="CR126" s="122"/>
      <c r="CS126" s="122"/>
      <c r="CT126" s="122"/>
      <c r="CU126" s="122"/>
      <c r="CV126" s="122"/>
      <c r="CW126" s="122"/>
      <c r="CX126" s="122"/>
      <c r="CY126" s="122"/>
      <c r="CZ126" s="122"/>
      <c r="DA126" s="122"/>
      <c r="DB126" s="122"/>
      <c r="DC126" s="122"/>
      <c r="DD126" s="122"/>
      <c r="DE126" s="122"/>
      <c r="DF126" s="122"/>
      <c r="DG126" s="122"/>
      <c r="DH126" s="122"/>
      <c r="DI126" s="122"/>
      <c r="DJ126" s="122"/>
      <c r="DK126" s="122"/>
      <c r="DL126" s="122"/>
      <c r="DM126" s="122"/>
      <c r="DN126" s="122"/>
      <c r="DO126" s="122"/>
      <c r="DP126" s="122"/>
      <c r="DQ126" s="122"/>
      <c r="DR126" s="122"/>
      <c r="DS126" s="122"/>
      <c r="DT126" s="122"/>
      <c r="DU126" s="122"/>
      <c r="DV126" s="122"/>
      <c r="DW126" s="122"/>
      <c r="DX126" s="122"/>
      <c r="DY126" s="122"/>
      <c r="DZ126" s="122"/>
      <c r="EA126" s="122"/>
      <c r="EB126" s="122"/>
      <c r="EC126" s="122"/>
      <c r="ED126" s="122"/>
      <c r="EE126" s="122"/>
      <c r="EF126" s="122"/>
      <c r="EG126" s="122"/>
      <c r="EH126" s="122"/>
      <c r="EI126" s="122"/>
      <c r="EJ126" s="122"/>
      <c r="EK126" s="122"/>
      <c r="EL126" s="122"/>
      <c r="EM126" s="122"/>
      <c r="EN126" s="122"/>
      <c r="EO126" s="122"/>
      <c r="EP126" s="122"/>
      <c r="EQ126" s="122"/>
      <c r="ER126" s="122"/>
      <c r="ES126" s="122"/>
      <c r="ET126" s="122"/>
      <c r="EU126" s="122"/>
      <c r="EV126" s="122"/>
      <c r="EW126" s="122"/>
      <c r="EX126" s="122"/>
      <c r="EY126" s="122"/>
      <c r="EZ126" s="122"/>
      <c r="FA126" s="122"/>
      <c r="FB126" s="122"/>
      <c r="FC126" s="122"/>
      <c r="FD126" s="122"/>
      <c r="FE126" s="122"/>
      <c r="FF126" s="122"/>
      <c r="FG126" s="122"/>
      <c r="FH126" s="122"/>
      <c r="FI126" s="122"/>
      <c r="FJ126" s="122"/>
      <c r="FK126" s="122"/>
      <c r="FL126" s="122"/>
      <c r="FM126" s="122"/>
      <c r="FN126" s="122"/>
      <c r="FO126" s="122"/>
      <c r="FP126" s="122"/>
      <c r="FQ126" s="122"/>
      <c r="FR126" s="122"/>
      <c r="FS126" s="122"/>
      <c r="FT126" s="122"/>
      <c r="FU126" s="122"/>
      <c r="FV126" s="122"/>
      <c r="FW126" s="122"/>
      <c r="FX126" s="122"/>
      <c r="FY126" s="122"/>
      <c r="FZ126" s="122"/>
      <c r="GA126" s="122"/>
      <c r="GB126" s="122"/>
      <c r="GC126" s="122"/>
      <c r="GD126" s="122"/>
      <c r="GE126" s="122"/>
      <c r="GF126" s="122"/>
      <c r="GG126" s="122"/>
      <c r="GH126" s="122"/>
      <c r="GI126" s="122"/>
      <c r="GJ126" s="122"/>
      <c r="GK126" s="122"/>
      <c r="GL126" s="122"/>
      <c r="GM126" s="122"/>
      <c r="GN126" s="122"/>
      <c r="GO126" s="122"/>
      <c r="GP126" s="122"/>
      <c r="GQ126" s="122"/>
      <c r="GR126" s="122"/>
      <c r="GS126" s="122"/>
      <c r="GT126" s="122"/>
      <c r="GU126" s="122"/>
      <c r="GV126" s="122"/>
      <c r="GW126" s="122"/>
      <c r="GX126" s="122"/>
      <c r="GY126" s="122"/>
      <c r="GZ126" s="122"/>
      <c r="HA126" s="122"/>
      <c r="HB126" s="122"/>
      <c r="HC126" s="122"/>
      <c r="HD126" s="122"/>
      <c r="HE126" s="122"/>
      <c r="HF126" s="122"/>
      <c r="HG126" s="122"/>
      <c r="HH126" s="122"/>
      <c r="HI126" s="122"/>
      <c r="HJ126" s="122"/>
      <c r="HK126" s="122"/>
      <c r="HL126" s="122"/>
      <c r="HM126" s="122"/>
      <c r="HN126" s="122"/>
      <c r="HO126" s="122"/>
      <c r="HP126" s="122"/>
      <c r="HQ126" s="122"/>
      <c r="HR126" s="122"/>
      <c r="HS126" s="122"/>
      <c r="HT126" s="122"/>
      <c r="HU126" s="122"/>
      <c r="HV126" s="122"/>
      <c r="HW126" s="122"/>
      <c r="HX126" s="122"/>
      <c r="HY126" s="122"/>
      <c r="HZ126" s="122"/>
      <c r="IA126" s="122"/>
      <c r="IB126" s="122"/>
      <c r="IC126" s="122"/>
      <c r="ID126" s="122"/>
      <c r="IE126" s="122"/>
      <c r="IF126" s="122"/>
      <c r="IG126" s="122"/>
      <c r="IH126" s="122"/>
      <c r="II126" s="122"/>
      <c r="IJ126" s="122"/>
      <c r="IK126" s="122"/>
      <c r="IL126" s="122"/>
      <c r="IM126" s="122"/>
      <c r="IN126" s="122"/>
      <c r="IO126" s="122"/>
      <c r="IP126" s="122"/>
      <c r="IQ126" s="122"/>
      <c r="IR126" s="122"/>
      <c r="IS126" s="122"/>
      <c r="IT126" s="122"/>
      <c r="IU126" s="122"/>
      <c r="IV126" s="122"/>
    </row>
    <row r="127" spans="1:256" x14ac:dyDescent="0.25">
      <c r="A127" s="151"/>
      <c r="B127" s="131"/>
      <c r="C127" s="131"/>
      <c r="D127" s="152"/>
      <c r="E127" s="122"/>
      <c r="F127" s="131"/>
      <c r="G127" s="131"/>
      <c r="H127" s="131"/>
      <c r="I127" s="131"/>
      <c r="J127" s="131"/>
      <c r="K127" s="131"/>
      <c r="L127" s="131"/>
      <c r="M127" s="122"/>
      <c r="N127" s="122"/>
      <c r="O127" s="122"/>
      <c r="P127" s="131"/>
      <c r="Q127" s="122"/>
      <c r="R127" s="122"/>
      <c r="S127" s="122"/>
      <c r="T127" s="122"/>
      <c r="U127" s="122"/>
      <c r="V127" s="122"/>
      <c r="W127" s="122"/>
      <c r="X127" s="122"/>
      <c r="Y127" s="122"/>
      <c r="Z127" s="122"/>
      <c r="AA127" s="122"/>
      <c r="AB127" s="122"/>
      <c r="AC127" s="122"/>
      <c r="AD127" s="122"/>
      <c r="AE127" s="122"/>
      <c r="AF127" s="122"/>
      <c r="AG127" s="122"/>
      <c r="AH127" s="122"/>
      <c r="AI127" s="122"/>
      <c r="AJ127" s="122"/>
      <c r="AK127" s="122"/>
      <c r="AL127" s="122"/>
      <c r="AM127" s="122"/>
      <c r="AN127" s="122"/>
      <c r="AO127" s="122"/>
      <c r="AP127" s="122"/>
      <c r="AQ127" s="122"/>
      <c r="AR127" s="122"/>
      <c r="AS127" s="122"/>
      <c r="AT127" s="122"/>
      <c r="AU127" s="122"/>
      <c r="AV127" s="122"/>
      <c r="AW127" s="122"/>
      <c r="AX127" s="122"/>
      <c r="AY127" s="122"/>
      <c r="AZ127" s="122"/>
      <c r="BA127" s="122"/>
      <c r="BB127" s="122"/>
      <c r="BC127" s="122"/>
      <c r="BD127" s="122"/>
      <c r="BE127" s="122"/>
      <c r="BF127" s="122"/>
      <c r="BG127" s="122"/>
      <c r="BH127" s="122"/>
      <c r="BI127" s="122"/>
      <c r="BJ127" s="122"/>
      <c r="BK127" s="122"/>
      <c r="BL127" s="122"/>
      <c r="BM127" s="122"/>
      <c r="BN127" s="122"/>
      <c r="BO127" s="122"/>
      <c r="BP127" s="122"/>
      <c r="BQ127" s="122"/>
      <c r="BR127" s="122"/>
      <c r="BS127" s="122"/>
      <c r="BT127" s="122"/>
      <c r="BU127" s="122"/>
      <c r="BV127" s="122"/>
      <c r="BW127" s="122"/>
      <c r="BX127" s="122"/>
      <c r="BY127" s="122"/>
      <c r="BZ127" s="122"/>
      <c r="CA127" s="122"/>
      <c r="CB127" s="122"/>
      <c r="CC127" s="122"/>
      <c r="CD127" s="122"/>
      <c r="CE127" s="122"/>
      <c r="CF127" s="122"/>
      <c r="CG127" s="122"/>
      <c r="CH127" s="122"/>
      <c r="CI127" s="122"/>
      <c r="CJ127" s="122"/>
      <c r="CK127" s="122"/>
      <c r="CL127" s="122"/>
      <c r="CM127" s="122"/>
      <c r="CN127" s="122"/>
      <c r="CO127" s="122"/>
      <c r="CP127" s="122"/>
      <c r="CQ127" s="122"/>
      <c r="CR127" s="122"/>
      <c r="CS127" s="122"/>
      <c r="CT127" s="122"/>
      <c r="CU127" s="122"/>
      <c r="CV127" s="122"/>
      <c r="CW127" s="122"/>
      <c r="CX127" s="122"/>
      <c r="CY127" s="122"/>
      <c r="CZ127" s="122"/>
      <c r="DA127" s="122"/>
      <c r="DB127" s="122"/>
      <c r="DC127" s="122"/>
      <c r="DD127" s="122"/>
      <c r="DE127" s="122"/>
      <c r="DF127" s="122"/>
      <c r="DG127" s="122"/>
      <c r="DH127" s="122"/>
      <c r="DI127" s="122"/>
      <c r="DJ127" s="122"/>
      <c r="DK127" s="122"/>
      <c r="DL127" s="122"/>
      <c r="DM127" s="122"/>
      <c r="DN127" s="122"/>
      <c r="DO127" s="122"/>
      <c r="DP127" s="122"/>
      <c r="DQ127" s="122"/>
      <c r="DR127" s="122"/>
      <c r="DS127" s="122"/>
      <c r="DT127" s="122"/>
      <c r="DU127" s="122"/>
      <c r="DV127" s="122"/>
      <c r="DW127" s="122"/>
      <c r="DX127" s="122"/>
      <c r="DY127" s="122"/>
      <c r="DZ127" s="122"/>
      <c r="EA127" s="122"/>
      <c r="EB127" s="122"/>
      <c r="EC127" s="122"/>
      <c r="ED127" s="122"/>
      <c r="EE127" s="122"/>
      <c r="EF127" s="122"/>
      <c r="EG127" s="122"/>
      <c r="EH127" s="122"/>
      <c r="EI127" s="122"/>
      <c r="EJ127" s="122"/>
      <c r="EK127" s="122"/>
      <c r="EL127" s="122"/>
      <c r="EM127" s="122"/>
      <c r="EN127" s="122"/>
      <c r="EO127" s="122"/>
      <c r="EP127" s="122"/>
      <c r="EQ127" s="122"/>
      <c r="ER127" s="122"/>
      <c r="ES127" s="122"/>
      <c r="ET127" s="122"/>
      <c r="EU127" s="122"/>
      <c r="EV127" s="122"/>
      <c r="EW127" s="122"/>
      <c r="EX127" s="122"/>
      <c r="EY127" s="122"/>
      <c r="EZ127" s="122"/>
      <c r="FA127" s="122"/>
      <c r="FB127" s="122"/>
      <c r="FC127" s="122"/>
      <c r="FD127" s="122"/>
      <c r="FE127" s="122"/>
      <c r="FF127" s="122"/>
      <c r="FG127" s="122"/>
      <c r="FH127" s="122"/>
      <c r="FI127" s="122"/>
      <c r="FJ127" s="122"/>
      <c r="FK127" s="122"/>
      <c r="FL127" s="122"/>
      <c r="FM127" s="122"/>
      <c r="FN127" s="122"/>
      <c r="FO127" s="122"/>
      <c r="FP127" s="122"/>
      <c r="FQ127" s="122"/>
      <c r="FR127" s="122"/>
      <c r="FS127" s="122"/>
      <c r="FT127" s="122"/>
      <c r="FU127" s="122"/>
      <c r="FV127" s="122"/>
      <c r="FW127" s="122"/>
      <c r="FX127" s="122"/>
      <c r="FY127" s="122"/>
      <c r="FZ127" s="122"/>
      <c r="GA127" s="122"/>
      <c r="GB127" s="122"/>
      <c r="GC127" s="122"/>
      <c r="GD127" s="122"/>
      <c r="GE127" s="122"/>
      <c r="GF127" s="122"/>
      <c r="GG127" s="122"/>
      <c r="GH127" s="122"/>
      <c r="GI127" s="122"/>
      <c r="GJ127" s="122"/>
      <c r="GK127" s="122"/>
      <c r="GL127" s="122"/>
      <c r="GM127" s="122"/>
      <c r="GN127" s="122"/>
      <c r="GO127" s="122"/>
      <c r="GP127" s="122"/>
      <c r="GQ127" s="122"/>
      <c r="GR127" s="122"/>
      <c r="GS127" s="122"/>
      <c r="GT127" s="122"/>
      <c r="GU127" s="122"/>
      <c r="GV127" s="122"/>
      <c r="GW127" s="122"/>
      <c r="GX127" s="122"/>
      <c r="GY127" s="122"/>
      <c r="GZ127" s="122"/>
      <c r="HA127" s="122"/>
      <c r="HB127" s="122"/>
      <c r="HC127" s="122"/>
      <c r="HD127" s="122"/>
      <c r="HE127" s="122"/>
      <c r="HF127" s="122"/>
      <c r="HG127" s="122"/>
      <c r="HH127" s="122"/>
      <c r="HI127" s="122"/>
      <c r="HJ127" s="122"/>
      <c r="HK127" s="122"/>
      <c r="HL127" s="122"/>
      <c r="HM127" s="122"/>
      <c r="HN127" s="122"/>
      <c r="HO127" s="122"/>
      <c r="HP127" s="122"/>
      <c r="HQ127" s="122"/>
      <c r="HR127" s="122"/>
      <c r="HS127" s="122"/>
      <c r="HT127" s="122"/>
      <c r="HU127" s="122"/>
      <c r="HV127" s="122"/>
      <c r="HW127" s="122"/>
      <c r="HX127" s="122"/>
      <c r="HY127" s="122"/>
      <c r="HZ127" s="122"/>
      <c r="IA127" s="122"/>
      <c r="IB127" s="122"/>
      <c r="IC127" s="122"/>
      <c r="ID127" s="122"/>
      <c r="IE127" s="122"/>
      <c r="IF127" s="122"/>
      <c r="IG127" s="122"/>
      <c r="IH127" s="122"/>
      <c r="II127" s="122"/>
      <c r="IJ127" s="122"/>
      <c r="IK127" s="122"/>
      <c r="IL127" s="122"/>
      <c r="IM127" s="122"/>
      <c r="IN127" s="122"/>
      <c r="IO127" s="122"/>
      <c r="IP127" s="122"/>
      <c r="IQ127" s="122"/>
      <c r="IR127" s="122"/>
      <c r="IS127" s="122"/>
      <c r="IT127" s="122"/>
      <c r="IU127" s="122"/>
      <c r="IV127" s="122"/>
    </row>
    <row r="128" spans="1:256" x14ac:dyDescent="0.25">
      <c r="A128" s="152"/>
      <c r="B128" s="101"/>
      <c r="C128" s="101"/>
      <c r="D128" s="152"/>
      <c r="E128" s="152"/>
      <c r="F128" s="101"/>
      <c r="G128" s="101"/>
      <c r="H128" s="101"/>
      <c r="I128" s="101"/>
      <c r="J128" s="101"/>
      <c r="K128" s="101"/>
      <c r="L128" s="152"/>
      <c r="M128" s="152"/>
      <c r="N128" s="152"/>
      <c r="O128" s="152"/>
      <c r="P128" s="101"/>
      <c r="Q128" s="152"/>
      <c r="R128" s="152"/>
      <c r="S128" s="152"/>
      <c r="T128" s="152"/>
      <c r="U128" s="122"/>
      <c r="V128" s="122"/>
      <c r="W128" s="122"/>
      <c r="X128" s="122"/>
      <c r="Y128" s="122"/>
      <c r="Z128" s="122"/>
      <c r="AA128" s="122"/>
      <c r="AB128" s="122"/>
      <c r="AC128" s="122"/>
      <c r="AD128" s="122"/>
      <c r="AE128" s="122"/>
      <c r="AF128" s="122"/>
      <c r="AG128" s="122"/>
      <c r="AH128" s="122"/>
      <c r="AI128" s="122"/>
      <c r="AJ128" s="122"/>
      <c r="AK128" s="122"/>
      <c r="AL128" s="122"/>
      <c r="AM128" s="122"/>
      <c r="AN128" s="122"/>
      <c r="AO128" s="122"/>
      <c r="AP128" s="122"/>
      <c r="AQ128" s="122"/>
      <c r="AR128" s="122"/>
      <c r="AS128" s="122"/>
      <c r="AT128" s="122"/>
      <c r="AU128" s="122"/>
      <c r="AV128" s="122"/>
      <c r="AW128" s="122"/>
      <c r="AX128" s="122"/>
      <c r="AY128" s="122"/>
      <c r="AZ128" s="122"/>
      <c r="BA128" s="122"/>
      <c r="BB128" s="122"/>
      <c r="BC128" s="122"/>
      <c r="BD128" s="122"/>
      <c r="BE128" s="122"/>
      <c r="BF128" s="122"/>
      <c r="BG128" s="122"/>
      <c r="BH128" s="122"/>
      <c r="BI128" s="122"/>
      <c r="BJ128" s="122"/>
      <c r="BK128" s="122"/>
      <c r="BL128" s="122"/>
      <c r="BM128" s="122"/>
      <c r="BN128" s="122"/>
      <c r="BO128" s="122"/>
      <c r="BP128" s="122"/>
      <c r="BQ128" s="122"/>
      <c r="BR128" s="122"/>
      <c r="BS128" s="122"/>
      <c r="BT128" s="122"/>
      <c r="BU128" s="122"/>
      <c r="BV128" s="122"/>
      <c r="BW128" s="122"/>
      <c r="BX128" s="122"/>
      <c r="BY128" s="122"/>
      <c r="BZ128" s="122"/>
      <c r="CA128" s="122"/>
      <c r="CB128" s="122"/>
      <c r="CC128" s="122"/>
      <c r="CD128" s="122"/>
      <c r="CE128" s="122"/>
      <c r="CF128" s="122"/>
      <c r="CG128" s="122"/>
      <c r="CH128" s="122"/>
      <c r="CI128" s="122"/>
      <c r="CJ128" s="122"/>
      <c r="CK128" s="122"/>
      <c r="CL128" s="122"/>
      <c r="CM128" s="122"/>
      <c r="CN128" s="122"/>
      <c r="CO128" s="122"/>
      <c r="CP128" s="122"/>
      <c r="CQ128" s="122"/>
      <c r="CR128" s="122"/>
      <c r="CS128" s="122"/>
      <c r="CT128" s="122"/>
      <c r="CU128" s="122"/>
      <c r="CV128" s="122"/>
      <c r="CW128" s="122"/>
      <c r="CX128" s="122"/>
      <c r="CY128" s="122"/>
      <c r="CZ128" s="122"/>
      <c r="DA128" s="122"/>
      <c r="DB128" s="122"/>
      <c r="DC128" s="122"/>
      <c r="DD128" s="122"/>
      <c r="DE128" s="122"/>
      <c r="DF128" s="122"/>
      <c r="DG128" s="122"/>
      <c r="DH128" s="122"/>
      <c r="DI128" s="122"/>
      <c r="DJ128" s="122"/>
      <c r="DK128" s="122"/>
      <c r="DL128" s="122"/>
      <c r="DM128" s="122"/>
      <c r="DN128" s="122"/>
      <c r="DO128" s="122"/>
      <c r="DP128" s="122"/>
      <c r="DQ128" s="122"/>
      <c r="DR128" s="122"/>
      <c r="DS128" s="122"/>
      <c r="DT128" s="122"/>
      <c r="DU128" s="122"/>
      <c r="DV128" s="122"/>
      <c r="DW128" s="122"/>
      <c r="DX128" s="122"/>
      <c r="DY128" s="122"/>
      <c r="DZ128" s="122"/>
      <c r="EA128" s="122"/>
      <c r="EB128" s="122"/>
      <c r="EC128" s="122"/>
      <c r="ED128" s="122"/>
      <c r="EE128" s="122"/>
      <c r="EF128" s="122"/>
      <c r="EG128" s="122"/>
      <c r="EH128" s="122"/>
      <c r="EI128" s="122"/>
      <c r="EJ128" s="122"/>
      <c r="EK128" s="122"/>
      <c r="EL128" s="122"/>
      <c r="EM128" s="122"/>
      <c r="EN128" s="122"/>
      <c r="EO128" s="122"/>
      <c r="EP128" s="122"/>
      <c r="EQ128" s="122"/>
      <c r="ER128" s="122"/>
      <c r="ES128" s="122"/>
      <c r="ET128" s="122"/>
      <c r="EU128" s="122"/>
      <c r="EV128" s="122"/>
      <c r="EW128" s="122"/>
      <c r="EX128" s="122"/>
      <c r="EY128" s="122"/>
      <c r="EZ128" s="122"/>
      <c r="FA128" s="122"/>
      <c r="FB128" s="122"/>
      <c r="FC128" s="122"/>
      <c r="FD128" s="122"/>
      <c r="FE128" s="122"/>
      <c r="FF128" s="122"/>
      <c r="FG128" s="122"/>
      <c r="FH128" s="122"/>
      <c r="FI128" s="122"/>
      <c r="FJ128" s="122"/>
      <c r="FK128" s="122"/>
      <c r="FL128" s="122"/>
      <c r="FM128" s="122"/>
      <c r="FN128" s="122"/>
      <c r="FO128" s="122"/>
      <c r="FP128" s="122"/>
      <c r="FQ128" s="122"/>
      <c r="FR128" s="122"/>
      <c r="FS128" s="122"/>
      <c r="FT128" s="122"/>
      <c r="FU128" s="122"/>
      <c r="FV128" s="122"/>
      <c r="FW128" s="122"/>
      <c r="FX128" s="122"/>
      <c r="FY128" s="122"/>
      <c r="FZ128" s="122"/>
      <c r="GA128" s="122"/>
      <c r="GB128" s="122"/>
      <c r="GC128" s="122"/>
      <c r="GD128" s="122"/>
      <c r="GE128" s="122"/>
      <c r="GF128" s="122"/>
      <c r="GG128" s="122"/>
      <c r="GH128" s="122"/>
      <c r="GI128" s="122"/>
      <c r="GJ128" s="122"/>
      <c r="GK128" s="122"/>
      <c r="GL128" s="122"/>
      <c r="GM128" s="122"/>
      <c r="GN128" s="122"/>
      <c r="GO128" s="122"/>
      <c r="GP128" s="122"/>
      <c r="GQ128" s="122"/>
      <c r="GR128" s="122"/>
      <c r="GS128" s="122"/>
      <c r="GT128" s="122"/>
      <c r="GU128" s="122"/>
      <c r="GV128" s="122"/>
      <c r="GW128" s="122"/>
      <c r="GX128" s="122"/>
      <c r="GY128" s="122"/>
      <c r="GZ128" s="122"/>
      <c r="HA128" s="122"/>
      <c r="HB128" s="122"/>
      <c r="HC128" s="122"/>
      <c r="HD128" s="122"/>
      <c r="HE128" s="122"/>
      <c r="HF128" s="122"/>
      <c r="HG128" s="122"/>
      <c r="HH128" s="122"/>
      <c r="HI128" s="122"/>
      <c r="HJ128" s="122"/>
      <c r="HK128" s="122"/>
      <c r="HL128" s="122"/>
      <c r="HM128" s="122"/>
      <c r="HN128" s="122"/>
      <c r="HO128" s="122"/>
      <c r="HP128" s="122"/>
      <c r="HQ128" s="122"/>
      <c r="HR128" s="122"/>
      <c r="HS128" s="122"/>
      <c r="HT128" s="122"/>
      <c r="HU128" s="122"/>
      <c r="HV128" s="122"/>
      <c r="HW128" s="122"/>
      <c r="HX128" s="122"/>
      <c r="HY128" s="122"/>
      <c r="HZ128" s="122"/>
      <c r="IA128" s="122"/>
      <c r="IB128" s="122"/>
      <c r="IC128" s="122"/>
      <c r="ID128" s="122"/>
      <c r="IE128" s="122"/>
      <c r="IF128" s="122"/>
      <c r="IG128" s="122"/>
      <c r="IH128" s="122"/>
      <c r="II128" s="122"/>
      <c r="IJ128" s="122"/>
      <c r="IK128" s="122"/>
      <c r="IL128" s="122"/>
      <c r="IM128" s="122"/>
      <c r="IN128" s="122"/>
      <c r="IO128" s="122"/>
      <c r="IP128" s="122"/>
      <c r="IQ128" s="122"/>
      <c r="IR128" s="122"/>
      <c r="IS128" s="122"/>
      <c r="IT128" s="122"/>
      <c r="IU128" s="122"/>
      <c r="IV128" s="122"/>
    </row>
    <row r="129" spans="1:256" x14ac:dyDescent="0.25">
      <c r="A129" s="152"/>
      <c r="B129" s="101"/>
      <c r="C129" s="101"/>
      <c r="D129" s="152"/>
      <c r="E129" s="152"/>
      <c r="F129" s="101"/>
      <c r="G129" s="101"/>
      <c r="H129" s="101"/>
      <c r="I129" s="101"/>
      <c r="J129" s="101"/>
      <c r="K129" s="101"/>
      <c r="L129" s="152"/>
      <c r="M129" s="152"/>
      <c r="N129" s="152"/>
      <c r="O129" s="152"/>
      <c r="P129" s="101"/>
      <c r="Q129" s="152"/>
      <c r="R129" s="152"/>
      <c r="S129" s="152"/>
      <c r="T129" s="152"/>
      <c r="U129" s="122"/>
      <c r="V129" s="122"/>
      <c r="W129" s="122"/>
      <c r="X129" s="122"/>
      <c r="Y129" s="122"/>
      <c r="Z129" s="122"/>
      <c r="AA129" s="122"/>
      <c r="AB129" s="122"/>
      <c r="AC129" s="122"/>
      <c r="AD129" s="122"/>
      <c r="AE129" s="122"/>
      <c r="AF129" s="122"/>
      <c r="AG129" s="122"/>
      <c r="AH129" s="122"/>
      <c r="AI129" s="122"/>
      <c r="AJ129" s="122"/>
      <c r="AK129" s="122"/>
      <c r="AL129" s="122"/>
      <c r="AM129" s="122"/>
      <c r="AN129" s="122"/>
      <c r="AO129" s="122"/>
      <c r="AP129" s="122"/>
      <c r="AQ129" s="122"/>
      <c r="AR129" s="122"/>
      <c r="AS129" s="122"/>
      <c r="AT129" s="122"/>
      <c r="AU129" s="122"/>
      <c r="AV129" s="122"/>
      <c r="AW129" s="122"/>
      <c r="AX129" s="122"/>
      <c r="AY129" s="122"/>
      <c r="AZ129" s="122"/>
      <c r="BA129" s="122"/>
      <c r="BB129" s="122"/>
      <c r="BC129" s="122"/>
      <c r="BD129" s="122"/>
      <c r="BE129" s="122"/>
      <c r="BF129" s="122"/>
      <c r="BG129" s="122"/>
      <c r="BH129" s="122"/>
      <c r="BI129" s="122"/>
      <c r="BJ129" s="122"/>
      <c r="BK129" s="122"/>
      <c r="BL129" s="122"/>
      <c r="BM129" s="122"/>
      <c r="BN129" s="122"/>
      <c r="BO129" s="122"/>
      <c r="BP129" s="122"/>
      <c r="BQ129" s="122"/>
      <c r="BR129" s="122"/>
      <c r="BS129" s="122"/>
      <c r="BT129" s="122"/>
      <c r="BU129" s="122"/>
      <c r="BV129" s="122"/>
      <c r="BW129" s="122"/>
      <c r="BX129" s="122"/>
      <c r="BY129" s="122"/>
      <c r="BZ129" s="122"/>
      <c r="CA129" s="122"/>
      <c r="CB129" s="122"/>
      <c r="CC129" s="122"/>
      <c r="CD129" s="122"/>
      <c r="CE129" s="122"/>
      <c r="CF129" s="122"/>
      <c r="CG129" s="122"/>
      <c r="CH129" s="122"/>
      <c r="CI129" s="122"/>
      <c r="CJ129" s="122"/>
      <c r="CK129" s="122"/>
      <c r="CL129" s="122"/>
      <c r="CM129" s="122"/>
      <c r="CN129" s="122"/>
      <c r="CO129" s="122"/>
      <c r="CP129" s="122"/>
      <c r="CQ129" s="122"/>
      <c r="CR129" s="122"/>
      <c r="CS129" s="122"/>
      <c r="CT129" s="122"/>
      <c r="CU129" s="122"/>
      <c r="CV129" s="122"/>
      <c r="CW129" s="122"/>
      <c r="CX129" s="122"/>
      <c r="CY129" s="122"/>
      <c r="CZ129" s="122"/>
      <c r="DA129" s="122"/>
      <c r="DB129" s="122"/>
      <c r="DC129" s="122"/>
      <c r="DD129" s="122"/>
      <c r="DE129" s="122"/>
      <c r="DF129" s="122"/>
      <c r="DG129" s="122"/>
      <c r="DH129" s="122"/>
      <c r="DI129" s="122"/>
      <c r="DJ129" s="122"/>
      <c r="DK129" s="122"/>
      <c r="DL129" s="122"/>
      <c r="DM129" s="122"/>
      <c r="DN129" s="122"/>
      <c r="DO129" s="122"/>
      <c r="DP129" s="122"/>
      <c r="DQ129" s="122"/>
      <c r="DR129" s="122"/>
      <c r="DS129" s="122"/>
      <c r="DT129" s="122"/>
      <c r="DU129" s="122"/>
      <c r="DV129" s="122"/>
      <c r="DW129" s="122"/>
      <c r="DX129" s="122"/>
      <c r="DY129" s="122"/>
      <c r="DZ129" s="122"/>
      <c r="EA129" s="122"/>
      <c r="EB129" s="122"/>
      <c r="EC129" s="122"/>
      <c r="ED129" s="122"/>
      <c r="EE129" s="122"/>
      <c r="EF129" s="122"/>
      <c r="EG129" s="122"/>
      <c r="EH129" s="122"/>
      <c r="EI129" s="122"/>
      <c r="EJ129" s="122"/>
      <c r="EK129" s="122"/>
      <c r="EL129" s="122"/>
      <c r="EM129" s="122"/>
      <c r="EN129" s="122"/>
      <c r="EO129" s="122"/>
      <c r="EP129" s="122"/>
      <c r="EQ129" s="122"/>
      <c r="ER129" s="122"/>
      <c r="ES129" s="122"/>
      <c r="ET129" s="122"/>
      <c r="EU129" s="122"/>
      <c r="EV129" s="122"/>
      <c r="EW129" s="122"/>
      <c r="EX129" s="122"/>
      <c r="EY129" s="122"/>
      <c r="EZ129" s="122"/>
      <c r="FA129" s="122"/>
      <c r="FB129" s="122"/>
      <c r="FC129" s="122"/>
      <c r="FD129" s="122"/>
      <c r="FE129" s="122"/>
      <c r="FF129" s="122"/>
      <c r="FG129" s="122"/>
      <c r="FH129" s="122"/>
      <c r="FI129" s="122"/>
      <c r="FJ129" s="122"/>
      <c r="FK129" s="122"/>
      <c r="FL129" s="122"/>
      <c r="FM129" s="122"/>
      <c r="FN129" s="122"/>
      <c r="FO129" s="122"/>
      <c r="FP129" s="122"/>
      <c r="FQ129" s="122"/>
      <c r="FR129" s="122"/>
      <c r="FS129" s="122"/>
      <c r="FT129" s="122"/>
      <c r="FU129" s="122"/>
      <c r="FV129" s="122"/>
      <c r="FW129" s="122"/>
      <c r="FX129" s="122"/>
      <c r="FY129" s="122"/>
      <c r="FZ129" s="122"/>
      <c r="GA129" s="122"/>
      <c r="GB129" s="122"/>
      <c r="GC129" s="122"/>
      <c r="GD129" s="122"/>
      <c r="GE129" s="122"/>
      <c r="GF129" s="122"/>
      <c r="GG129" s="122"/>
      <c r="GH129" s="122"/>
      <c r="GI129" s="122"/>
      <c r="GJ129" s="122"/>
      <c r="GK129" s="122"/>
      <c r="GL129" s="122"/>
      <c r="GM129" s="122"/>
      <c r="GN129" s="122"/>
      <c r="GO129" s="122"/>
      <c r="GP129" s="122"/>
      <c r="GQ129" s="122"/>
      <c r="GR129" s="122"/>
      <c r="GS129" s="122"/>
      <c r="GT129" s="122"/>
      <c r="GU129" s="122"/>
      <c r="GV129" s="122"/>
      <c r="GW129" s="122"/>
      <c r="GX129" s="122"/>
      <c r="GY129" s="122"/>
      <c r="GZ129" s="122"/>
      <c r="HA129" s="122"/>
      <c r="HB129" s="122"/>
      <c r="HC129" s="122"/>
      <c r="HD129" s="122"/>
      <c r="HE129" s="122"/>
      <c r="HF129" s="122"/>
      <c r="HG129" s="122"/>
      <c r="HH129" s="122"/>
      <c r="HI129" s="122"/>
      <c r="HJ129" s="122"/>
      <c r="HK129" s="122"/>
      <c r="HL129" s="122"/>
      <c r="HM129" s="122"/>
      <c r="HN129" s="122"/>
      <c r="HO129" s="122"/>
      <c r="HP129" s="122"/>
      <c r="HQ129" s="122"/>
      <c r="HR129" s="122"/>
      <c r="HS129" s="122"/>
      <c r="HT129" s="122"/>
      <c r="HU129" s="122"/>
      <c r="HV129" s="122"/>
      <c r="HW129" s="122"/>
      <c r="HX129" s="122"/>
      <c r="HY129" s="122"/>
      <c r="HZ129" s="122"/>
      <c r="IA129" s="122"/>
      <c r="IB129" s="122"/>
      <c r="IC129" s="122"/>
      <c r="ID129" s="122"/>
      <c r="IE129" s="122"/>
      <c r="IF129" s="122"/>
      <c r="IG129" s="122"/>
      <c r="IH129" s="122"/>
      <c r="II129" s="122"/>
      <c r="IJ129" s="122"/>
      <c r="IK129" s="122"/>
      <c r="IL129" s="122"/>
      <c r="IM129" s="122"/>
      <c r="IN129" s="122"/>
      <c r="IO129" s="122"/>
      <c r="IP129" s="122"/>
      <c r="IQ129" s="122"/>
      <c r="IR129" s="122"/>
      <c r="IS129" s="122"/>
      <c r="IT129" s="122"/>
      <c r="IU129" s="122"/>
      <c r="IV129" s="122"/>
    </row>
    <row r="130" spans="1:256" x14ac:dyDescent="0.25">
      <c r="A130" s="152"/>
      <c r="B130" s="101"/>
      <c r="C130" s="101"/>
      <c r="D130" s="152"/>
      <c r="E130" s="152"/>
      <c r="F130" s="101"/>
      <c r="G130" s="101"/>
      <c r="H130" s="101"/>
      <c r="I130" s="101"/>
      <c r="J130" s="101"/>
      <c r="K130" s="101"/>
      <c r="L130" s="152"/>
      <c r="M130" s="152"/>
      <c r="N130" s="152"/>
      <c r="O130" s="152"/>
      <c r="P130" s="101"/>
      <c r="Q130" s="152"/>
      <c r="R130" s="152"/>
      <c r="S130" s="152"/>
      <c r="T130" s="152"/>
      <c r="U130" s="122"/>
      <c r="V130" s="122"/>
      <c r="W130" s="122"/>
      <c r="X130" s="122"/>
      <c r="Y130" s="122"/>
      <c r="Z130" s="122"/>
      <c r="AA130" s="122"/>
      <c r="AB130" s="122"/>
      <c r="AC130" s="122"/>
      <c r="AD130" s="122"/>
      <c r="AE130" s="122"/>
      <c r="AF130" s="122"/>
      <c r="AG130" s="122"/>
      <c r="AH130" s="122"/>
      <c r="AI130" s="122"/>
      <c r="AJ130" s="122"/>
      <c r="AK130" s="122"/>
      <c r="AL130" s="122"/>
      <c r="AM130" s="122"/>
      <c r="AN130" s="122"/>
      <c r="AO130" s="122"/>
      <c r="AP130" s="122"/>
      <c r="AQ130" s="122"/>
      <c r="AR130" s="122"/>
      <c r="AS130" s="122"/>
      <c r="AT130" s="122"/>
      <c r="AU130" s="122"/>
      <c r="AV130" s="122"/>
      <c r="AW130" s="122"/>
      <c r="AX130" s="122"/>
      <c r="AY130" s="122"/>
      <c r="AZ130" s="122"/>
      <c r="BA130" s="122"/>
      <c r="BB130" s="122"/>
      <c r="BC130" s="122"/>
      <c r="BD130" s="122"/>
      <c r="BE130" s="122"/>
      <c r="BF130" s="122"/>
      <c r="BG130" s="122"/>
      <c r="BH130" s="122"/>
      <c r="BI130" s="122"/>
      <c r="BJ130" s="122"/>
      <c r="BK130" s="122"/>
      <c r="BL130" s="122"/>
      <c r="BM130" s="122"/>
      <c r="BN130" s="122"/>
      <c r="BO130" s="122"/>
      <c r="BP130" s="122"/>
      <c r="BQ130" s="122"/>
      <c r="BR130" s="122"/>
      <c r="BS130" s="122"/>
      <c r="BT130" s="122"/>
      <c r="BU130" s="122"/>
      <c r="BV130" s="122"/>
      <c r="BW130" s="122"/>
      <c r="BX130" s="122"/>
      <c r="BY130" s="122"/>
      <c r="BZ130" s="122"/>
      <c r="CA130" s="122"/>
      <c r="CB130" s="122"/>
      <c r="CC130" s="122"/>
      <c r="CD130" s="122"/>
      <c r="CE130" s="122"/>
      <c r="CF130" s="122"/>
      <c r="CG130" s="122"/>
      <c r="CH130" s="122"/>
      <c r="CI130" s="122"/>
      <c r="CJ130" s="122"/>
      <c r="CK130" s="122"/>
      <c r="CL130" s="122"/>
      <c r="CM130" s="122"/>
      <c r="CN130" s="122"/>
      <c r="CO130" s="122"/>
      <c r="CP130" s="122"/>
      <c r="CQ130" s="122"/>
      <c r="CR130" s="122"/>
      <c r="CS130" s="122"/>
      <c r="CT130" s="122"/>
      <c r="CU130" s="122"/>
      <c r="CV130" s="122"/>
      <c r="CW130" s="122"/>
      <c r="CX130" s="122"/>
      <c r="CY130" s="122"/>
      <c r="CZ130" s="122"/>
      <c r="DA130" s="122"/>
      <c r="DB130" s="122"/>
      <c r="DC130" s="122"/>
      <c r="DD130" s="122"/>
      <c r="DE130" s="122"/>
      <c r="DF130" s="122"/>
      <c r="DG130" s="122"/>
      <c r="DH130" s="122"/>
      <c r="DI130" s="122"/>
      <c r="DJ130" s="122"/>
      <c r="DK130" s="122"/>
      <c r="DL130" s="122"/>
      <c r="DM130" s="122"/>
      <c r="DN130" s="122"/>
      <c r="DO130" s="122"/>
      <c r="DP130" s="122"/>
      <c r="DQ130" s="122"/>
      <c r="DR130" s="122"/>
      <c r="DS130" s="122"/>
      <c r="DT130" s="122"/>
      <c r="DU130" s="122"/>
      <c r="DV130" s="122"/>
      <c r="DW130" s="122"/>
      <c r="DX130" s="122"/>
      <c r="DY130" s="122"/>
      <c r="DZ130" s="122"/>
      <c r="EA130" s="122"/>
      <c r="EB130" s="122"/>
      <c r="EC130" s="122"/>
      <c r="ED130" s="122"/>
      <c r="EE130" s="122"/>
      <c r="EF130" s="122"/>
      <c r="EG130" s="122"/>
      <c r="EH130" s="122"/>
      <c r="EI130" s="122"/>
      <c r="EJ130" s="122"/>
      <c r="EK130" s="122"/>
      <c r="EL130" s="122"/>
      <c r="EM130" s="122"/>
      <c r="EN130" s="122"/>
      <c r="EO130" s="122"/>
      <c r="EP130" s="122"/>
      <c r="EQ130" s="122"/>
      <c r="ER130" s="122"/>
      <c r="ES130" s="122"/>
      <c r="ET130" s="122"/>
      <c r="EU130" s="122"/>
      <c r="EV130" s="122"/>
      <c r="EW130" s="122"/>
      <c r="EX130" s="122"/>
      <c r="EY130" s="122"/>
      <c r="EZ130" s="122"/>
      <c r="FA130" s="122"/>
      <c r="FB130" s="122"/>
      <c r="FC130" s="122"/>
      <c r="FD130" s="122"/>
      <c r="FE130" s="122"/>
      <c r="FF130" s="122"/>
      <c r="FG130" s="122"/>
      <c r="FH130" s="122"/>
      <c r="FI130" s="122"/>
      <c r="FJ130" s="122"/>
      <c r="FK130" s="122"/>
      <c r="FL130" s="122"/>
      <c r="FM130" s="122"/>
      <c r="FN130" s="122"/>
      <c r="FO130" s="122"/>
      <c r="FP130" s="122"/>
      <c r="FQ130" s="122"/>
      <c r="FR130" s="122"/>
      <c r="FS130" s="122"/>
      <c r="FT130" s="122"/>
      <c r="FU130" s="122"/>
      <c r="FV130" s="122"/>
      <c r="FW130" s="122"/>
      <c r="FX130" s="122"/>
      <c r="FY130" s="122"/>
      <c r="FZ130" s="122"/>
      <c r="GA130" s="122"/>
      <c r="GB130" s="122"/>
      <c r="GC130" s="122"/>
      <c r="GD130" s="122"/>
      <c r="GE130" s="122"/>
      <c r="GF130" s="122"/>
      <c r="GG130" s="122"/>
      <c r="GH130" s="122"/>
      <c r="GI130" s="122"/>
      <c r="GJ130" s="122"/>
      <c r="GK130" s="122"/>
      <c r="GL130" s="122"/>
      <c r="GM130" s="122"/>
      <c r="GN130" s="122"/>
      <c r="GO130" s="122"/>
      <c r="GP130" s="122"/>
      <c r="GQ130" s="122"/>
      <c r="GR130" s="122"/>
      <c r="GS130" s="122"/>
      <c r="GT130" s="122"/>
      <c r="GU130" s="122"/>
      <c r="GV130" s="122"/>
      <c r="GW130" s="122"/>
      <c r="GX130" s="122"/>
      <c r="GY130" s="122"/>
      <c r="GZ130" s="122"/>
      <c r="HA130" s="122"/>
      <c r="HB130" s="122"/>
      <c r="HC130" s="122"/>
      <c r="HD130" s="122"/>
      <c r="HE130" s="122"/>
      <c r="HF130" s="122"/>
      <c r="HG130" s="122"/>
      <c r="HH130" s="122"/>
      <c r="HI130" s="122"/>
      <c r="HJ130" s="122"/>
      <c r="HK130" s="122"/>
      <c r="HL130" s="122"/>
      <c r="HM130" s="122"/>
      <c r="HN130" s="122"/>
      <c r="HO130" s="122"/>
      <c r="HP130" s="122"/>
      <c r="HQ130" s="122"/>
      <c r="HR130" s="122"/>
      <c r="HS130" s="122"/>
      <c r="HT130" s="122"/>
      <c r="HU130" s="122"/>
      <c r="HV130" s="122"/>
      <c r="HW130" s="122"/>
      <c r="HX130" s="122"/>
      <c r="HY130" s="122"/>
      <c r="HZ130" s="122"/>
      <c r="IA130" s="122"/>
      <c r="IB130" s="122"/>
      <c r="IC130" s="122"/>
      <c r="ID130" s="122"/>
      <c r="IE130" s="122"/>
      <c r="IF130" s="122"/>
      <c r="IG130" s="122"/>
      <c r="IH130" s="122"/>
      <c r="II130" s="122"/>
      <c r="IJ130" s="122"/>
      <c r="IK130" s="122"/>
      <c r="IL130" s="122"/>
      <c r="IM130" s="122"/>
      <c r="IN130" s="122"/>
      <c r="IO130" s="122"/>
      <c r="IP130" s="122"/>
      <c r="IQ130" s="122"/>
      <c r="IR130" s="122"/>
      <c r="IS130" s="122"/>
      <c r="IT130" s="122"/>
      <c r="IU130" s="122"/>
      <c r="IV130" s="122"/>
    </row>
    <row r="131" spans="1:256" x14ac:dyDescent="0.25">
      <c r="A131" s="152"/>
      <c r="B131" s="101"/>
      <c r="C131" s="101"/>
      <c r="D131" s="152"/>
      <c r="E131" s="152"/>
      <c r="F131" s="101"/>
      <c r="G131" s="101"/>
      <c r="H131" s="101"/>
      <c r="I131" s="101"/>
      <c r="J131" s="101"/>
      <c r="K131" s="101"/>
      <c r="L131" s="152"/>
      <c r="M131" s="152"/>
      <c r="N131" s="152"/>
      <c r="O131" s="152"/>
      <c r="P131" s="101"/>
      <c r="Q131" s="152"/>
      <c r="R131" s="152"/>
      <c r="S131" s="152"/>
      <c r="T131" s="152"/>
      <c r="U131" s="122"/>
      <c r="V131" s="122"/>
      <c r="W131" s="122"/>
      <c r="X131" s="122"/>
      <c r="Y131" s="122"/>
      <c r="Z131" s="122"/>
      <c r="AA131" s="122"/>
      <c r="AB131" s="122"/>
      <c r="AC131" s="122"/>
      <c r="AD131" s="122"/>
      <c r="AE131" s="122"/>
      <c r="AF131" s="122"/>
      <c r="AG131" s="122"/>
      <c r="AH131" s="122"/>
      <c r="AI131" s="122"/>
      <c r="AJ131" s="122"/>
      <c r="AK131" s="122"/>
      <c r="AL131" s="122"/>
      <c r="AM131" s="122"/>
      <c r="AN131" s="122"/>
      <c r="AO131" s="122"/>
      <c r="AP131" s="122"/>
      <c r="AQ131" s="122"/>
      <c r="AR131" s="122"/>
      <c r="AS131" s="122"/>
      <c r="AT131" s="122"/>
      <c r="AU131" s="122"/>
      <c r="AV131" s="122"/>
      <c r="AW131" s="122"/>
      <c r="AX131" s="122"/>
      <c r="AY131" s="122"/>
      <c r="AZ131" s="122"/>
      <c r="BA131" s="122"/>
      <c r="BB131" s="122"/>
      <c r="BC131" s="122"/>
      <c r="BD131" s="122"/>
      <c r="BE131" s="122"/>
      <c r="BF131" s="122"/>
      <c r="BG131" s="122"/>
      <c r="BH131" s="122"/>
      <c r="BI131" s="122"/>
      <c r="BJ131" s="122"/>
      <c r="BK131" s="122"/>
      <c r="BL131" s="122"/>
      <c r="BM131" s="122"/>
      <c r="BN131" s="122"/>
      <c r="BO131" s="122"/>
      <c r="BP131" s="122"/>
      <c r="BQ131" s="122"/>
      <c r="BR131" s="122"/>
      <c r="BS131" s="122"/>
      <c r="BT131" s="122"/>
      <c r="BU131" s="122"/>
      <c r="BV131" s="122"/>
      <c r="BW131" s="122"/>
      <c r="BX131" s="122"/>
      <c r="BY131" s="122"/>
      <c r="BZ131" s="122"/>
      <c r="CA131" s="122"/>
      <c r="CB131" s="122"/>
      <c r="CC131" s="122"/>
      <c r="CD131" s="122"/>
      <c r="CE131" s="122"/>
      <c r="CF131" s="122"/>
      <c r="CG131" s="122"/>
      <c r="CH131" s="122"/>
      <c r="CI131" s="122"/>
      <c r="CJ131" s="122"/>
      <c r="CK131" s="122"/>
      <c r="CL131" s="122"/>
      <c r="CM131" s="122"/>
      <c r="CN131" s="122"/>
      <c r="CO131" s="122"/>
      <c r="CP131" s="122"/>
      <c r="CQ131" s="122"/>
      <c r="CR131" s="122"/>
      <c r="CS131" s="122"/>
      <c r="CT131" s="122"/>
      <c r="CU131" s="122"/>
      <c r="CV131" s="122"/>
      <c r="CW131" s="122"/>
      <c r="CX131" s="122"/>
      <c r="CY131" s="122"/>
      <c r="CZ131" s="122"/>
      <c r="DA131" s="122"/>
      <c r="DB131" s="122"/>
      <c r="DC131" s="122"/>
      <c r="DD131" s="122"/>
      <c r="DE131" s="122"/>
      <c r="DF131" s="122"/>
      <c r="DG131" s="122"/>
      <c r="DH131" s="122"/>
      <c r="DI131" s="122"/>
      <c r="DJ131" s="122"/>
      <c r="DK131" s="122"/>
      <c r="DL131" s="122"/>
      <c r="DM131" s="122"/>
      <c r="DN131" s="122"/>
      <c r="DO131" s="122"/>
      <c r="DP131" s="122"/>
      <c r="DQ131" s="122"/>
      <c r="DR131" s="122"/>
      <c r="DS131" s="122"/>
      <c r="DT131" s="122"/>
      <c r="DU131" s="122"/>
      <c r="DV131" s="122"/>
      <c r="DW131" s="122"/>
      <c r="DX131" s="122"/>
      <c r="DY131" s="122"/>
      <c r="DZ131" s="122"/>
      <c r="EA131" s="122"/>
      <c r="EB131" s="122"/>
      <c r="EC131" s="122"/>
      <c r="ED131" s="122"/>
      <c r="EE131" s="122"/>
      <c r="EF131" s="122"/>
      <c r="EG131" s="122"/>
      <c r="EH131" s="122"/>
      <c r="EI131" s="122"/>
      <c r="EJ131" s="122"/>
      <c r="EK131" s="122"/>
      <c r="EL131" s="122"/>
      <c r="EM131" s="122"/>
      <c r="EN131" s="122"/>
      <c r="EO131" s="122"/>
      <c r="EP131" s="122"/>
      <c r="EQ131" s="122"/>
      <c r="ER131" s="122"/>
      <c r="ES131" s="122"/>
      <c r="ET131" s="122"/>
      <c r="EU131" s="122"/>
      <c r="EV131" s="122"/>
      <c r="EW131" s="122"/>
      <c r="EX131" s="122"/>
      <c r="EY131" s="122"/>
      <c r="EZ131" s="122"/>
      <c r="FA131" s="122"/>
      <c r="FB131" s="122"/>
      <c r="FC131" s="122"/>
      <c r="FD131" s="122"/>
      <c r="FE131" s="122"/>
      <c r="FF131" s="122"/>
      <c r="FG131" s="122"/>
      <c r="FH131" s="122"/>
      <c r="FI131" s="122"/>
      <c r="FJ131" s="122"/>
      <c r="FK131" s="122"/>
      <c r="FL131" s="122"/>
      <c r="FM131" s="122"/>
      <c r="FN131" s="122"/>
      <c r="FO131" s="122"/>
      <c r="FP131" s="122"/>
      <c r="FQ131" s="122"/>
      <c r="FR131" s="122"/>
      <c r="FS131" s="122"/>
      <c r="FT131" s="122"/>
      <c r="FU131" s="122"/>
      <c r="FV131" s="122"/>
      <c r="FW131" s="122"/>
      <c r="FX131" s="122"/>
      <c r="FY131" s="122"/>
      <c r="FZ131" s="122"/>
      <c r="GA131" s="122"/>
      <c r="GB131" s="122"/>
      <c r="GC131" s="122"/>
      <c r="GD131" s="122"/>
      <c r="GE131" s="122"/>
      <c r="GF131" s="122"/>
      <c r="GG131" s="122"/>
      <c r="GH131" s="122"/>
      <c r="GI131" s="122"/>
      <c r="GJ131" s="122"/>
      <c r="GK131" s="122"/>
      <c r="GL131" s="122"/>
      <c r="GM131" s="122"/>
      <c r="GN131" s="122"/>
      <c r="GO131" s="122"/>
      <c r="GP131" s="122"/>
      <c r="GQ131" s="122"/>
      <c r="GR131" s="122"/>
      <c r="GS131" s="122"/>
      <c r="GT131" s="122"/>
      <c r="GU131" s="122"/>
      <c r="GV131" s="122"/>
      <c r="GW131" s="122"/>
      <c r="GX131" s="122"/>
      <c r="GY131" s="122"/>
      <c r="GZ131" s="122"/>
      <c r="HA131" s="122"/>
      <c r="HB131" s="122"/>
      <c r="HC131" s="122"/>
      <c r="HD131" s="122"/>
      <c r="HE131" s="122"/>
      <c r="HF131" s="122"/>
      <c r="HG131" s="122"/>
      <c r="HH131" s="122"/>
      <c r="HI131" s="122"/>
      <c r="HJ131" s="122"/>
      <c r="HK131" s="122"/>
      <c r="HL131" s="122"/>
      <c r="HM131" s="122"/>
      <c r="HN131" s="122"/>
      <c r="HO131" s="122"/>
      <c r="HP131" s="122"/>
      <c r="HQ131" s="122"/>
      <c r="HR131" s="122"/>
      <c r="HS131" s="122"/>
      <c r="HT131" s="122"/>
      <c r="HU131" s="122"/>
      <c r="HV131" s="122"/>
      <c r="HW131" s="122"/>
      <c r="HX131" s="122"/>
      <c r="HY131" s="122"/>
      <c r="HZ131" s="122"/>
      <c r="IA131" s="122"/>
      <c r="IB131" s="122"/>
      <c r="IC131" s="122"/>
      <c r="ID131" s="122"/>
      <c r="IE131" s="122"/>
      <c r="IF131" s="122"/>
      <c r="IG131" s="122"/>
      <c r="IH131" s="122"/>
      <c r="II131" s="122"/>
      <c r="IJ131" s="122"/>
      <c r="IK131" s="122"/>
      <c r="IL131" s="122"/>
      <c r="IM131" s="122"/>
      <c r="IN131" s="122"/>
      <c r="IO131" s="122"/>
      <c r="IP131" s="122"/>
      <c r="IQ131" s="122"/>
      <c r="IR131" s="122"/>
      <c r="IS131" s="122"/>
      <c r="IT131" s="122"/>
      <c r="IU131" s="122"/>
      <c r="IV131" s="122"/>
    </row>
    <row r="132" spans="1:256" x14ac:dyDescent="0.25">
      <c r="A132" s="151"/>
      <c r="B132" s="131"/>
      <c r="C132" s="131"/>
      <c r="D132" s="122"/>
      <c r="E132" s="122"/>
      <c r="F132" s="131"/>
      <c r="G132" s="131"/>
      <c r="H132" s="131"/>
      <c r="I132" s="131"/>
      <c r="J132" s="131"/>
      <c r="K132" s="131"/>
      <c r="L132" s="131"/>
      <c r="M132" s="122"/>
      <c r="N132" s="122"/>
      <c r="O132" s="122"/>
      <c r="P132" s="131"/>
      <c r="Q132" s="122"/>
      <c r="R132" s="122"/>
      <c r="S132" s="122"/>
      <c r="T132" s="122"/>
      <c r="U132" s="122"/>
      <c r="V132" s="122"/>
      <c r="W132" s="122"/>
      <c r="X132" s="122"/>
      <c r="Y132" s="122"/>
      <c r="Z132" s="122"/>
      <c r="AA132" s="122"/>
      <c r="AB132" s="122"/>
      <c r="AC132" s="122"/>
      <c r="AD132" s="122"/>
      <c r="AE132" s="122"/>
      <c r="AF132" s="122"/>
      <c r="AG132" s="122"/>
      <c r="AH132" s="122"/>
      <c r="AI132" s="122"/>
      <c r="AJ132" s="122"/>
      <c r="AK132" s="122"/>
      <c r="AL132" s="122"/>
      <c r="AM132" s="122"/>
      <c r="AN132" s="122"/>
      <c r="AO132" s="122"/>
      <c r="AP132" s="122"/>
      <c r="AQ132" s="122"/>
      <c r="AR132" s="122"/>
      <c r="AS132" s="122"/>
      <c r="AT132" s="122"/>
      <c r="AU132" s="122"/>
      <c r="AV132" s="122"/>
      <c r="AW132" s="122"/>
      <c r="AX132" s="122"/>
      <c r="AY132" s="122"/>
      <c r="AZ132" s="122"/>
      <c r="BA132" s="122"/>
      <c r="BB132" s="122"/>
      <c r="BC132" s="122"/>
      <c r="BD132" s="122"/>
      <c r="BE132" s="122"/>
      <c r="BF132" s="122"/>
      <c r="BG132" s="122"/>
      <c r="BH132" s="122"/>
      <c r="BI132" s="122"/>
      <c r="BJ132" s="122"/>
      <c r="BK132" s="122"/>
      <c r="BL132" s="122"/>
      <c r="BM132" s="122"/>
      <c r="BN132" s="122"/>
      <c r="BO132" s="122"/>
      <c r="BP132" s="122"/>
      <c r="BQ132" s="122"/>
      <c r="BR132" s="122"/>
      <c r="BS132" s="122"/>
      <c r="BT132" s="122"/>
      <c r="BU132" s="122"/>
      <c r="BV132" s="122"/>
      <c r="BW132" s="122"/>
      <c r="BX132" s="122"/>
      <c r="BY132" s="122"/>
      <c r="BZ132" s="122"/>
      <c r="CA132" s="122"/>
      <c r="CB132" s="122"/>
      <c r="CC132" s="122"/>
      <c r="CD132" s="122"/>
      <c r="CE132" s="122"/>
      <c r="CF132" s="122"/>
      <c r="CG132" s="122"/>
      <c r="CH132" s="122"/>
      <c r="CI132" s="122"/>
      <c r="CJ132" s="122"/>
      <c r="CK132" s="122"/>
      <c r="CL132" s="122"/>
      <c r="CM132" s="122"/>
      <c r="CN132" s="122"/>
      <c r="CO132" s="122"/>
      <c r="CP132" s="122"/>
      <c r="CQ132" s="122"/>
      <c r="CR132" s="122"/>
      <c r="CS132" s="122"/>
      <c r="CT132" s="122"/>
      <c r="CU132" s="122"/>
      <c r="CV132" s="122"/>
      <c r="CW132" s="122"/>
      <c r="CX132" s="122"/>
      <c r="CY132" s="122"/>
      <c r="CZ132" s="122"/>
      <c r="DA132" s="122"/>
      <c r="DB132" s="122"/>
      <c r="DC132" s="122"/>
      <c r="DD132" s="122"/>
      <c r="DE132" s="122"/>
      <c r="DF132" s="122"/>
      <c r="DG132" s="122"/>
      <c r="DH132" s="122"/>
      <c r="DI132" s="122"/>
      <c r="DJ132" s="122"/>
      <c r="DK132" s="122"/>
      <c r="DL132" s="122"/>
      <c r="DM132" s="122"/>
      <c r="DN132" s="122"/>
      <c r="DO132" s="122"/>
      <c r="DP132" s="122"/>
      <c r="DQ132" s="122"/>
      <c r="DR132" s="122"/>
      <c r="DS132" s="122"/>
      <c r="DT132" s="122"/>
      <c r="DU132" s="122"/>
      <c r="DV132" s="122"/>
      <c r="DW132" s="122"/>
      <c r="DX132" s="122"/>
      <c r="DY132" s="122"/>
      <c r="DZ132" s="122"/>
      <c r="EA132" s="122"/>
      <c r="EB132" s="122"/>
      <c r="EC132" s="122"/>
      <c r="ED132" s="122"/>
      <c r="EE132" s="122"/>
      <c r="EF132" s="122"/>
      <c r="EG132" s="122"/>
      <c r="EH132" s="122"/>
      <c r="EI132" s="122"/>
      <c r="EJ132" s="122"/>
      <c r="EK132" s="122"/>
      <c r="EL132" s="122"/>
      <c r="EM132" s="122"/>
      <c r="EN132" s="122"/>
      <c r="EO132" s="122"/>
      <c r="EP132" s="122"/>
      <c r="EQ132" s="122"/>
      <c r="ER132" s="122"/>
      <c r="ES132" s="122"/>
      <c r="ET132" s="122"/>
      <c r="EU132" s="122"/>
      <c r="EV132" s="122"/>
      <c r="EW132" s="122"/>
      <c r="EX132" s="122"/>
      <c r="EY132" s="122"/>
      <c r="EZ132" s="122"/>
      <c r="FA132" s="122"/>
      <c r="FB132" s="122"/>
      <c r="FC132" s="122"/>
      <c r="FD132" s="122"/>
      <c r="FE132" s="122"/>
      <c r="FF132" s="122"/>
      <c r="FG132" s="122"/>
      <c r="FH132" s="122"/>
      <c r="FI132" s="122"/>
      <c r="FJ132" s="122"/>
      <c r="FK132" s="122"/>
      <c r="FL132" s="122"/>
      <c r="FM132" s="122"/>
      <c r="FN132" s="122"/>
      <c r="FO132" s="122"/>
      <c r="FP132" s="122"/>
      <c r="FQ132" s="122"/>
      <c r="FR132" s="122"/>
      <c r="FS132" s="122"/>
      <c r="FT132" s="122"/>
      <c r="FU132" s="122"/>
      <c r="FV132" s="122"/>
      <c r="FW132" s="122"/>
      <c r="FX132" s="122"/>
      <c r="FY132" s="122"/>
      <c r="FZ132" s="122"/>
      <c r="GA132" s="122"/>
      <c r="GB132" s="122"/>
      <c r="GC132" s="122"/>
      <c r="GD132" s="122"/>
      <c r="GE132" s="122"/>
      <c r="GF132" s="122"/>
      <c r="GG132" s="122"/>
      <c r="GH132" s="122"/>
      <c r="GI132" s="122"/>
      <c r="GJ132" s="122"/>
      <c r="GK132" s="122"/>
      <c r="GL132" s="122"/>
      <c r="GM132" s="122"/>
      <c r="GN132" s="122"/>
      <c r="GO132" s="122"/>
      <c r="GP132" s="122"/>
      <c r="GQ132" s="122"/>
      <c r="GR132" s="122"/>
      <c r="GS132" s="122"/>
      <c r="GT132" s="122"/>
      <c r="GU132" s="122"/>
      <c r="GV132" s="122"/>
      <c r="GW132" s="122"/>
      <c r="GX132" s="122"/>
      <c r="GY132" s="122"/>
      <c r="GZ132" s="122"/>
      <c r="HA132" s="122"/>
      <c r="HB132" s="122"/>
      <c r="HC132" s="122"/>
      <c r="HD132" s="122"/>
      <c r="HE132" s="122"/>
      <c r="HF132" s="122"/>
      <c r="HG132" s="122"/>
      <c r="HH132" s="122"/>
      <c r="HI132" s="122"/>
      <c r="HJ132" s="122"/>
      <c r="HK132" s="122"/>
      <c r="HL132" s="122"/>
      <c r="HM132" s="122"/>
      <c r="HN132" s="122"/>
      <c r="HO132" s="122"/>
      <c r="HP132" s="122"/>
      <c r="HQ132" s="122"/>
      <c r="HR132" s="122"/>
      <c r="HS132" s="122"/>
      <c r="HT132" s="122"/>
      <c r="HU132" s="122"/>
      <c r="HV132" s="122"/>
      <c r="HW132" s="122"/>
      <c r="HX132" s="122"/>
      <c r="HY132" s="122"/>
      <c r="HZ132" s="122"/>
      <c r="IA132" s="122"/>
      <c r="IB132" s="122"/>
      <c r="IC132" s="122"/>
      <c r="ID132" s="122"/>
      <c r="IE132" s="122"/>
      <c r="IF132" s="122"/>
      <c r="IG132" s="122"/>
      <c r="IH132" s="122"/>
      <c r="II132" s="122"/>
      <c r="IJ132" s="122"/>
      <c r="IK132" s="122"/>
      <c r="IL132" s="122"/>
      <c r="IM132" s="122"/>
      <c r="IN132" s="122"/>
      <c r="IO132" s="122"/>
      <c r="IP132" s="122"/>
      <c r="IQ132" s="122"/>
      <c r="IR132" s="122"/>
      <c r="IS132" s="122"/>
      <c r="IT132" s="122"/>
      <c r="IU132" s="122"/>
      <c r="IV132" s="122"/>
    </row>
    <row r="133" spans="1:256" x14ac:dyDescent="0.25">
      <c r="A133" s="151"/>
      <c r="B133" s="131"/>
      <c r="C133" s="131"/>
      <c r="D133" s="122"/>
      <c r="E133" s="122"/>
      <c r="F133" s="131"/>
      <c r="G133" s="131"/>
      <c r="H133" s="131"/>
      <c r="I133" s="131"/>
      <c r="J133" s="131"/>
      <c r="K133" s="131"/>
      <c r="L133" s="131"/>
      <c r="M133" s="122"/>
      <c r="N133" s="122"/>
      <c r="O133" s="122"/>
      <c r="P133" s="131"/>
      <c r="Q133" s="122"/>
      <c r="R133" s="122"/>
      <c r="S133" s="122"/>
      <c r="T133" s="122"/>
      <c r="U133" s="122"/>
      <c r="V133" s="122"/>
      <c r="W133" s="122"/>
      <c r="X133" s="122"/>
      <c r="Y133" s="122"/>
      <c r="Z133" s="122"/>
      <c r="AA133" s="122"/>
      <c r="AB133" s="122"/>
      <c r="AC133" s="122"/>
      <c r="AD133" s="122"/>
      <c r="AE133" s="122"/>
      <c r="AF133" s="122"/>
      <c r="AG133" s="122"/>
      <c r="AH133" s="122"/>
      <c r="AI133" s="122"/>
      <c r="AJ133" s="122"/>
      <c r="AK133" s="122"/>
      <c r="AL133" s="122"/>
      <c r="AM133" s="122"/>
      <c r="AN133" s="122"/>
      <c r="AO133" s="122"/>
      <c r="AP133" s="122"/>
      <c r="AQ133" s="122"/>
      <c r="AR133" s="122"/>
      <c r="AS133" s="122"/>
      <c r="AT133" s="122"/>
      <c r="AU133" s="122"/>
      <c r="AV133" s="122"/>
      <c r="AW133" s="122"/>
      <c r="AX133" s="122"/>
      <c r="AY133" s="122"/>
      <c r="AZ133" s="122"/>
      <c r="BA133" s="122"/>
      <c r="BB133" s="122"/>
      <c r="BC133" s="122"/>
      <c r="BD133" s="122"/>
      <c r="BE133" s="122"/>
      <c r="BF133" s="122"/>
      <c r="BG133" s="122"/>
      <c r="BH133" s="122"/>
      <c r="BI133" s="122"/>
      <c r="BJ133" s="122"/>
      <c r="BK133" s="122"/>
      <c r="BL133" s="122"/>
      <c r="BM133" s="122"/>
      <c r="BN133" s="122"/>
      <c r="BO133" s="122"/>
      <c r="BP133" s="122"/>
      <c r="BQ133" s="122"/>
      <c r="BR133" s="122"/>
      <c r="BS133" s="122"/>
      <c r="BT133" s="122"/>
      <c r="BU133" s="122"/>
      <c r="BV133" s="122"/>
      <c r="BW133" s="122"/>
      <c r="BX133" s="122"/>
      <c r="BY133" s="122"/>
      <c r="BZ133" s="122"/>
      <c r="CA133" s="122"/>
      <c r="CB133" s="122"/>
      <c r="CC133" s="122"/>
      <c r="CD133" s="122"/>
      <c r="CE133" s="122"/>
      <c r="CF133" s="122"/>
      <c r="CG133" s="122"/>
      <c r="CH133" s="122"/>
      <c r="CI133" s="122"/>
      <c r="CJ133" s="122"/>
      <c r="CK133" s="122"/>
      <c r="CL133" s="122"/>
      <c r="CM133" s="122"/>
      <c r="CN133" s="122"/>
      <c r="CO133" s="122"/>
      <c r="CP133" s="122"/>
      <c r="CQ133" s="122"/>
      <c r="CR133" s="122"/>
      <c r="CS133" s="122"/>
      <c r="CT133" s="122"/>
      <c r="CU133" s="122"/>
      <c r="CV133" s="122"/>
      <c r="CW133" s="122"/>
      <c r="CX133" s="122"/>
      <c r="CY133" s="122"/>
      <c r="CZ133" s="122"/>
      <c r="DA133" s="122"/>
      <c r="DB133" s="122"/>
      <c r="DC133" s="122"/>
      <c r="DD133" s="122"/>
      <c r="DE133" s="122"/>
      <c r="DF133" s="122"/>
      <c r="DG133" s="122"/>
      <c r="DH133" s="122"/>
      <c r="DI133" s="122"/>
      <c r="DJ133" s="122"/>
      <c r="DK133" s="122"/>
      <c r="DL133" s="122"/>
      <c r="DM133" s="122"/>
      <c r="DN133" s="122"/>
      <c r="DO133" s="122"/>
      <c r="DP133" s="122"/>
      <c r="DQ133" s="122"/>
      <c r="DR133" s="122"/>
      <c r="DS133" s="122"/>
      <c r="DT133" s="122"/>
      <c r="DU133" s="122"/>
      <c r="DV133" s="122"/>
      <c r="DW133" s="122"/>
      <c r="DX133" s="122"/>
      <c r="DY133" s="122"/>
      <c r="DZ133" s="122"/>
      <c r="EA133" s="122"/>
      <c r="EB133" s="122"/>
      <c r="EC133" s="122"/>
      <c r="ED133" s="122"/>
      <c r="EE133" s="122"/>
      <c r="EF133" s="122"/>
      <c r="EG133" s="122"/>
      <c r="EH133" s="122"/>
      <c r="EI133" s="122"/>
      <c r="EJ133" s="122"/>
      <c r="EK133" s="122"/>
      <c r="EL133" s="122"/>
      <c r="EM133" s="122"/>
      <c r="EN133" s="122"/>
      <c r="EO133" s="122"/>
      <c r="EP133" s="122"/>
      <c r="EQ133" s="122"/>
      <c r="ER133" s="122"/>
      <c r="ES133" s="122"/>
      <c r="ET133" s="122"/>
      <c r="EU133" s="122"/>
      <c r="EV133" s="122"/>
      <c r="EW133" s="122"/>
      <c r="EX133" s="122"/>
      <c r="EY133" s="122"/>
      <c r="EZ133" s="122"/>
      <c r="FA133" s="122"/>
      <c r="FB133" s="122"/>
      <c r="FC133" s="122"/>
      <c r="FD133" s="122"/>
      <c r="FE133" s="122"/>
      <c r="FF133" s="122"/>
      <c r="FG133" s="122"/>
      <c r="FH133" s="122"/>
      <c r="FI133" s="122"/>
      <c r="FJ133" s="122"/>
      <c r="FK133" s="122"/>
      <c r="FL133" s="122"/>
      <c r="FM133" s="122"/>
      <c r="FN133" s="122"/>
      <c r="FO133" s="122"/>
      <c r="FP133" s="122"/>
      <c r="FQ133" s="122"/>
      <c r="FR133" s="122"/>
      <c r="FS133" s="122"/>
      <c r="FT133" s="122"/>
      <c r="FU133" s="122"/>
      <c r="FV133" s="122"/>
      <c r="FW133" s="122"/>
      <c r="FX133" s="122"/>
      <c r="FY133" s="122"/>
      <c r="FZ133" s="122"/>
      <c r="GA133" s="122"/>
      <c r="GB133" s="122"/>
      <c r="GC133" s="122"/>
      <c r="GD133" s="122"/>
      <c r="GE133" s="122"/>
      <c r="GF133" s="122"/>
      <c r="GG133" s="122"/>
      <c r="GH133" s="122"/>
      <c r="GI133" s="122"/>
      <c r="GJ133" s="122"/>
      <c r="GK133" s="122"/>
      <c r="GL133" s="122"/>
      <c r="GM133" s="122"/>
      <c r="GN133" s="122"/>
      <c r="GO133" s="122"/>
      <c r="GP133" s="122"/>
      <c r="GQ133" s="122"/>
      <c r="GR133" s="122"/>
      <c r="GS133" s="122"/>
      <c r="GT133" s="122"/>
      <c r="GU133" s="122"/>
      <c r="GV133" s="122"/>
      <c r="GW133" s="122"/>
      <c r="GX133" s="122"/>
      <c r="GY133" s="122"/>
      <c r="GZ133" s="122"/>
      <c r="HA133" s="122"/>
      <c r="HB133" s="122"/>
      <c r="HC133" s="122"/>
      <c r="HD133" s="122"/>
      <c r="HE133" s="122"/>
      <c r="HF133" s="122"/>
      <c r="HG133" s="122"/>
      <c r="HH133" s="122"/>
      <c r="HI133" s="122"/>
      <c r="HJ133" s="122"/>
      <c r="HK133" s="122"/>
      <c r="HL133" s="122"/>
      <c r="HM133" s="122"/>
      <c r="HN133" s="122"/>
      <c r="HO133" s="122"/>
      <c r="HP133" s="122"/>
      <c r="HQ133" s="122"/>
      <c r="HR133" s="122"/>
      <c r="HS133" s="122"/>
      <c r="HT133" s="122"/>
      <c r="HU133" s="122"/>
      <c r="HV133" s="122"/>
      <c r="HW133" s="122"/>
      <c r="HX133" s="122"/>
      <c r="HY133" s="122"/>
      <c r="HZ133" s="122"/>
      <c r="IA133" s="122"/>
      <c r="IB133" s="122"/>
      <c r="IC133" s="122"/>
      <c r="ID133" s="122"/>
      <c r="IE133" s="122"/>
      <c r="IF133" s="122"/>
      <c r="IG133" s="122"/>
      <c r="IH133" s="122"/>
      <c r="II133" s="122"/>
      <c r="IJ133" s="122"/>
      <c r="IK133" s="122"/>
      <c r="IL133" s="122"/>
      <c r="IM133" s="122"/>
      <c r="IN133" s="122"/>
      <c r="IO133" s="122"/>
      <c r="IP133" s="122"/>
      <c r="IQ133" s="122"/>
      <c r="IR133" s="122"/>
      <c r="IS133" s="122"/>
      <c r="IT133" s="122"/>
      <c r="IU133" s="122"/>
      <c r="IV133" s="122"/>
    </row>
  </sheetData>
  <pageMargins left="0.7" right="0.7" top="0.75" bottom="0.75" header="0.3" footer="0.3"/>
  <pageSetup paperSize="9" orientation="portrait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IV90"/>
  <sheetViews>
    <sheetView zoomScale="85" zoomScaleNormal="85" workbookViewId="0">
      <pane ySplit="4" topLeftCell="A5" activePane="bottomLeft" state="frozen"/>
      <selection pane="bottomLeft" activeCell="D39" sqref="D39"/>
    </sheetView>
  </sheetViews>
  <sheetFormatPr defaultRowHeight="15" x14ac:dyDescent="0.25"/>
  <cols>
    <col min="2" max="2" width="3.85546875" style="218" customWidth="1"/>
    <col min="3" max="3" width="3.7109375" style="19" customWidth="1"/>
    <col min="4" max="4" width="23.42578125" customWidth="1"/>
    <col min="5" max="5" width="33.42578125" customWidth="1"/>
    <col min="6" max="6" width="17" style="218" customWidth="1"/>
    <col min="7" max="7" width="8.28515625" style="218" customWidth="1"/>
    <col min="8" max="8" width="20.28515625" style="218" customWidth="1"/>
    <col min="9" max="9" width="11" style="218" customWidth="1"/>
    <col min="10" max="10" width="7.28515625" customWidth="1"/>
    <col min="11" max="11" width="25.42578125" style="218" customWidth="1"/>
    <col min="12" max="12" width="8.85546875" style="316"/>
    <col min="13" max="13" width="7.42578125" customWidth="1"/>
    <col min="14" max="14" width="63" customWidth="1"/>
  </cols>
  <sheetData>
    <row r="1" spans="1:17" ht="14.45" x14ac:dyDescent="0.3">
      <c r="A1" s="6"/>
    </row>
    <row r="2" spans="1:17" ht="14.45" x14ac:dyDescent="0.3">
      <c r="A2" s="6"/>
      <c r="B2" s="218" t="s">
        <v>21</v>
      </c>
      <c r="C2" s="218" t="s">
        <v>119</v>
      </c>
    </row>
    <row r="3" spans="1:17" ht="77.25" x14ac:dyDescent="0.25">
      <c r="A3" s="6"/>
      <c r="B3" s="77" t="s">
        <v>117</v>
      </c>
      <c r="C3" s="76" t="s">
        <v>118</v>
      </c>
    </row>
    <row r="4" spans="1:17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5" t="s">
        <v>12</v>
      </c>
      <c r="O4" s="4" t="s">
        <v>13</v>
      </c>
    </row>
    <row r="5" spans="1:17" s="102" customFormat="1" x14ac:dyDescent="0.25">
      <c r="A5" s="102" t="s">
        <v>22</v>
      </c>
      <c r="B5" s="103">
        <v>1</v>
      </c>
      <c r="C5" s="103">
        <v>1</v>
      </c>
      <c r="D5" s="102" t="s">
        <v>68</v>
      </c>
      <c r="F5" s="103" t="s">
        <v>24</v>
      </c>
      <c r="G5" s="103">
        <v>1024</v>
      </c>
      <c r="H5" s="103" t="s">
        <v>29</v>
      </c>
      <c r="I5" s="103" t="s">
        <v>26</v>
      </c>
      <c r="K5" s="103" t="s">
        <v>18</v>
      </c>
      <c r="L5" s="103" t="s">
        <v>69</v>
      </c>
      <c r="N5" s="102" t="s">
        <v>69</v>
      </c>
    </row>
    <row r="6" spans="1:17" s="409" customFormat="1" x14ac:dyDescent="0.25">
      <c r="A6" s="409" t="s">
        <v>22</v>
      </c>
      <c r="B6" s="246">
        <v>1</v>
      </c>
      <c r="C6" s="246">
        <v>1</v>
      </c>
      <c r="D6" s="410" t="s">
        <v>552</v>
      </c>
      <c r="E6" s="250" t="s">
        <v>172</v>
      </c>
      <c r="F6" s="411" t="s">
        <v>89</v>
      </c>
      <c r="G6" s="246">
        <v>1024</v>
      </c>
      <c r="H6" s="412" t="s">
        <v>29</v>
      </c>
      <c r="I6" s="246" t="s">
        <v>155</v>
      </c>
      <c r="K6" s="246" t="s">
        <v>284</v>
      </c>
      <c r="L6" s="246">
        <v>15</v>
      </c>
      <c r="M6" s="409" t="s">
        <v>177</v>
      </c>
      <c r="N6" s="409" t="s">
        <v>553</v>
      </c>
    </row>
    <row r="7" spans="1:17" s="409" customFormat="1" x14ac:dyDescent="0.25">
      <c r="A7" s="409" t="s">
        <v>22</v>
      </c>
      <c r="B7" s="246">
        <v>1</v>
      </c>
      <c r="C7" s="246">
        <v>1</v>
      </c>
      <c r="D7" s="410" t="s">
        <v>554</v>
      </c>
      <c r="E7" s="250" t="s">
        <v>173</v>
      </c>
      <c r="F7" s="411" t="s">
        <v>89</v>
      </c>
      <c r="G7" s="246">
        <v>1024</v>
      </c>
      <c r="H7" s="412" t="s">
        <v>29</v>
      </c>
      <c r="I7" s="246" t="s">
        <v>155</v>
      </c>
      <c r="K7" s="246" t="s">
        <v>284</v>
      </c>
      <c r="L7" s="246">
        <v>30</v>
      </c>
      <c r="M7" s="409" t="s">
        <v>178</v>
      </c>
      <c r="N7" s="409" t="s">
        <v>555</v>
      </c>
    </row>
    <row r="8" spans="1:17" s="409" customFormat="1" x14ac:dyDescent="0.25">
      <c r="A8" s="409" t="s">
        <v>22</v>
      </c>
      <c r="B8" s="246">
        <v>1</v>
      </c>
      <c r="C8" s="246">
        <v>1</v>
      </c>
      <c r="D8" s="410" t="s">
        <v>556</v>
      </c>
      <c r="E8" s="250" t="s">
        <v>174</v>
      </c>
      <c r="F8" s="411" t="s">
        <v>89</v>
      </c>
      <c r="G8" s="246">
        <v>1024</v>
      </c>
      <c r="H8" s="412" t="s">
        <v>29</v>
      </c>
      <c r="I8" s="246" t="s">
        <v>155</v>
      </c>
      <c r="K8" s="246" t="s">
        <v>284</v>
      </c>
      <c r="L8" s="246">
        <v>5000</v>
      </c>
      <c r="M8" s="409" t="s">
        <v>179</v>
      </c>
      <c r="N8" s="409" t="s">
        <v>557</v>
      </c>
    </row>
    <row r="9" spans="1:17" s="409" customFormat="1" x14ac:dyDescent="0.25">
      <c r="A9" s="409" t="s">
        <v>22</v>
      </c>
      <c r="B9" s="246">
        <v>1</v>
      </c>
      <c r="C9" s="246">
        <v>1</v>
      </c>
      <c r="D9" s="410" t="s">
        <v>558</v>
      </c>
      <c r="E9" s="250" t="s">
        <v>175</v>
      </c>
      <c r="F9" s="411" t="s">
        <v>89</v>
      </c>
      <c r="G9" s="246">
        <v>1024</v>
      </c>
      <c r="H9" s="412" t="s">
        <v>29</v>
      </c>
      <c r="I9" s="246" t="s">
        <v>155</v>
      </c>
      <c r="K9" s="246" t="s">
        <v>284</v>
      </c>
      <c r="L9" s="246">
        <v>50</v>
      </c>
      <c r="N9" s="409" t="s">
        <v>559</v>
      </c>
    </row>
    <row r="10" spans="1:17" s="409" customFormat="1" x14ac:dyDescent="0.25">
      <c r="A10" s="409" t="s">
        <v>22</v>
      </c>
      <c r="B10" s="246">
        <v>1</v>
      </c>
      <c r="C10" s="246">
        <v>1</v>
      </c>
      <c r="D10" s="410" t="s">
        <v>560</v>
      </c>
      <c r="E10" s="250" t="s">
        <v>176</v>
      </c>
      <c r="F10" s="411" t="s">
        <v>89</v>
      </c>
      <c r="G10" s="246">
        <v>1024</v>
      </c>
      <c r="H10" s="412" t="s">
        <v>29</v>
      </c>
      <c r="I10" s="246" t="s">
        <v>30</v>
      </c>
      <c r="K10" s="246" t="s">
        <v>284</v>
      </c>
      <c r="L10" s="246">
        <v>0</v>
      </c>
      <c r="N10" s="409" t="s">
        <v>561</v>
      </c>
    </row>
    <row r="11" spans="1:17" s="409" customFormat="1" x14ac:dyDescent="0.25">
      <c r="A11" s="409" t="s">
        <v>22</v>
      </c>
      <c r="B11" s="246">
        <v>1</v>
      </c>
      <c r="C11" s="246">
        <v>1</v>
      </c>
      <c r="D11" s="410" t="s">
        <v>453</v>
      </c>
      <c r="E11" s="413" t="s">
        <v>454</v>
      </c>
      <c r="F11" s="412" t="s">
        <v>596</v>
      </c>
      <c r="G11" s="246">
        <v>1024</v>
      </c>
      <c r="H11" s="412" t="s">
        <v>29</v>
      </c>
      <c r="I11" s="246" t="s">
        <v>26</v>
      </c>
      <c r="J11" s="246">
        <v>18</v>
      </c>
      <c r="K11" s="246" t="s">
        <v>284</v>
      </c>
      <c r="L11" s="246">
        <v>0</v>
      </c>
      <c r="N11" s="410" t="s">
        <v>455</v>
      </c>
    </row>
    <row r="12" spans="1:17" s="315" customFormat="1" x14ac:dyDescent="0.25">
      <c r="A12" s="428" t="s">
        <v>22</v>
      </c>
      <c r="B12" s="293">
        <v>2</v>
      </c>
      <c r="C12" s="293">
        <v>1</v>
      </c>
      <c r="D12" s="315" t="s">
        <v>457</v>
      </c>
      <c r="E12" s="428" t="s">
        <v>458</v>
      </c>
      <c r="F12" s="293" t="s">
        <v>89</v>
      </c>
      <c r="G12" s="293" t="s">
        <v>21</v>
      </c>
      <c r="H12" s="293" t="s">
        <v>29</v>
      </c>
      <c r="I12" s="293" t="s">
        <v>30</v>
      </c>
      <c r="J12" s="428"/>
      <c r="K12" s="293" t="s">
        <v>522</v>
      </c>
      <c r="L12" s="293">
        <v>0</v>
      </c>
      <c r="M12" s="428"/>
      <c r="N12" s="428" t="s">
        <v>462</v>
      </c>
    </row>
    <row r="13" spans="1:17" s="434" customFormat="1" ht="15" customHeight="1" x14ac:dyDescent="0.25">
      <c r="A13" s="429" t="s">
        <v>22</v>
      </c>
      <c r="B13" s="430">
        <v>2</v>
      </c>
      <c r="C13" s="430">
        <v>1</v>
      </c>
      <c r="D13" s="315" t="s">
        <v>460</v>
      </c>
      <c r="E13" s="431" t="s">
        <v>459</v>
      </c>
      <c r="F13" s="432" t="s">
        <v>89</v>
      </c>
      <c r="G13" s="430" t="s">
        <v>21</v>
      </c>
      <c r="H13" s="433" t="s">
        <v>29</v>
      </c>
      <c r="I13" s="432" t="s">
        <v>30</v>
      </c>
      <c r="J13" s="429"/>
      <c r="K13" s="432" t="s">
        <v>86</v>
      </c>
      <c r="L13" s="430">
        <v>1</v>
      </c>
      <c r="M13" s="431"/>
      <c r="N13" s="431" t="s">
        <v>461</v>
      </c>
      <c r="O13" s="431"/>
      <c r="P13" s="431"/>
      <c r="Q13" s="431"/>
    </row>
    <row r="14" spans="1:17" s="434" customFormat="1" ht="15" customHeight="1" x14ac:dyDescent="0.25">
      <c r="A14" s="429" t="s">
        <v>22</v>
      </c>
      <c r="B14" s="430">
        <v>2</v>
      </c>
      <c r="C14" s="430">
        <v>1</v>
      </c>
      <c r="D14" s="516" t="s">
        <v>838</v>
      </c>
      <c r="E14" s="431" t="s">
        <v>839</v>
      </c>
      <c r="F14" s="432" t="s">
        <v>89</v>
      </c>
      <c r="G14" s="430" t="s">
        <v>21</v>
      </c>
      <c r="H14" s="433" t="s">
        <v>29</v>
      </c>
      <c r="I14" s="432" t="s">
        <v>30</v>
      </c>
      <c r="J14" s="429"/>
      <c r="K14" s="514" t="s">
        <v>522</v>
      </c>
      <c r="L14" s="430">
        <v>1</v>
      </c>
      <c r="M14" s="431"/>
      <c r="N14" s="516" t="s">
        <v>840</v>
      </c>
      <c r="O14" s="431"/>
      <c r="P14" s="431"/>
      <c r="Q14" s="431"/>
    </row>
    <row r="15" spans="1:17" s="434" customFormat="1" ht="15" customHeight="1" x14ac:dyDescent="0.25">
      <c r="A15" s="429" t="s">
        <v>22</v>
      </c>
      <c r="B15" s="430">
        <v>1</v>
      </c>
      <c r="C15" s="430">
        <v>1</v>
      </c>
      <c r="D15" s="315" t="s">
        <v>651</v>
      </c>
      <c r="E15" s="431" t="s">
        <v>652</v>
      </c>
      <c r="F15" s="432" t="s">
        <v>718</v>
      </c>
      <c r="G15" s="430">
        <v>1024</v>
      </c>
      <c r="H15" s="433" t="s">
        <v>29</v>
      </c>
      <c r="I15" s="432" t="s">
        <v>30</v>
      </c>
      <c r="J15" s="429"/>
      <c r="K15" s="432" t="s">
        <v>18</v>
      </c>
      <c r="L15" s="430"/>
      <c r="M15" s="431"/>
      <c r="N15" s="315" t="s">
        <v>719</v>
      </c>
      <c r="O15" s="431"/>
      <c r="P15" s="431"/>
      <c r="Q15" s="431"/>
    </row>
    <row r="16" spans="1:17" s="339" customFormat="1" ht="15" customHeight="1" x14ac:dyDescent="0.25">
      <c r="A16" s="338" t="s">
        <v>22</v>
      </c>
      <c r="B16" s="276">
        <v>1</v>
      </c>
      <c r="C16" s="276">
        <v>1</v>
      </c>
      <c r="D16" s="340" t="s">
        <v>467</v>
      </c>
      <c r="E16" s="265" t="s">
        <v>285</v>
      </c>
      <c r="F16" s="264" t="s">
        <v>233</v>
      </c>
      <c r="G16" s="276">
        <v>1024</v>
      </c>
      <c r="H16" s="275" t="s">
        <v>29</v>
      </c>
      <c r="I16" s="264" t="s">
        <v>30</v>
      </c>
      <c r="J16" s="276"/>
      <c r="K16" s="264" t="s">
        <v>18</v>
      </c>
      <c r="L16" s="276">
        <v>0</v>
      </c>
      <c r="M16" s="265"/>
      <c r="N16" s="265" t="s">
        <v>468</v>
      </c>
      <c r="O16" s="265"/>
      <c r="P16" s="264"/>
      <c r="Q16" s="265"/>
    </row>
    <row r="17" spans="1:256" s="329" customFormat="1" ht="15" customHeight="1" x14ac:dyDescent="0.25">
      <c r="A17" s="286" t="s">
        <v>22</v>
      </c>
      <c r="B17" s="285">
        <v>1</v>
      </c>
      <c r="C17" s="285">
        <v>1</v>
      </c>
      <c r="D17" s="189" t="s">
        <v>416</v>
      </c>
      <c r="E17" s="189" t="s">
        <v>417</v>
      </c>
      <c r="F17" s="288" t="s">
        <v>89</v>
      </c>
      <c r="G17" s="285">
        <v>1024</v>
      </c>
      <c r="H17" s="188" t="s">
        <v>29</v>
      </c>
      <c r="I17" s="288" t="s">
        <v>38</v>
      </c>
      <c r="J17" s="285"/>
      <c r="K17" s="288" t="s">
        <v>481</v>
      </c>
      <c r="L17" s="285">
        <v>50</v>
      </c>
      <c r="M17" s="502" t="s">
        <v>180</v>
      </c>
      <c r="N17" s="189" t="s">
        <v>836</v>
      </c>
      <c r="O17" s="189"/>
      <c r="P17" s="288"/>
      <c r="Q17" s="189"/>
    </row>
    <row r="18" spans="1:256" s="503" customFormat="1" ht="15" customHeight="1" x14ac:dyDescent="0.25">
      <c r="A18" s="501" t="s">
        <v>22</v>
      </c>
      <c r="B18" s="500">
        <v>1</v>
      </c>
      <c r="C18" s="500">
        <v>1</v>
      </c>
      <c r="D18" s="498" t="s">
        <v>823</v>
      </c>
      <c r="E18" s="498" t="s">
        <v>824</v>
      </c>
      <c r="F18" s="502" t="s">
        <v>89</v>
      </c>
      <c r="G18" s="500">
        <v>1024</v>
      </c>
      <c r="H18" s="188" t="s">
        <v>29</v>
      </c>
      <c r="I18" s="502" t="s">
        <v>30</v>
      </c>
      <c r="J18" s="500"/>
      <c r="K18" s="502" t="s">
        <v>481</v>
      </c>
      <c r="L18" s="500">
        <v>0</v>
      </c>
      <c r="M18" s="502"/>
      <c r="N18" s="498" t="s">
        <v>837</v>
      </c>
      <c r="O18" s="498"/>
      <c r="P18" s="502"/>
      <c r="Q18" s="498"/>
    </row>
    <row r="19" spans="1:256" s="503" customFormat="1" ht="15" customHeight="1" x14ac:dyDescent="0.25">
      <c r="A19" s="501" t="s">
        <v>22</v>
      </c>
      <c r="B19" s="500">
        <v>1</v>
      </c>
      <c r="C19" s="500">
        <v>1</v>
      </c>
      <c r="D19" s="498" t="s">
        <v>827</v>
      </c>
      <c r="E19" s="498" t="s">
        <v>829</v>
      </c>
      <c r="F19" s="502" t="s">
        <v>89</v>
      </c>
      <c r="G19" s="500">
        <v>1024</v>
      </c>
      <c r="H19" s="188" t="s">
        <v>29</v>
      </c>
      <c r="I19" s="502" t="s">
        <v>38</v>
      </c>
      <c r="J19" s="500"/>
      <c r="K19" s="502" t="s">
        <v>481</v>
      </c>
      <c r="L19" s="500">
        <v>90</v>
      </c>
      <c r="M19" s="502" t="s">
        <v>313</v>
      </c>
      <c r="N19" s="498" t="s">
        <v>831</v>
      </c>
      <c r="O19" s="498"/>
      <c r="P19" s="502"/>
      <c r="Q19" s="498"/>
    </row>
    <row r="20" spans="1:256" s="503" customFormat="1" ht="15" customHeight="1" x14ac:dyDescent="0.25">
      <c r="A20" s="501" t="s">
        <v>22</v>
      </c>
      <c r="B20" s="500">
        <v>1</v>
      </c>
      <c r="C20" s="500">
        <v>1</v>
      </c>
      <c r="D20" s="498" t="s">
        <v>828</v>
      </c>
      <c r="E20" s="498" t="s">
        <v>830</v>
      </c>
      <c r="F20" s="502" t="s">
        <v>89</v>
      </c>
      <c r="G20" s="500">
        <v>1024</v>
      </c>
      <c r="H20" s="188" t="s">
        <v>29</v>
      </c>
      <c r="I20" s="502" t="s">
        <v>38</v>
      </c>
      <c r="J20" s="500"/>
      <c r="K20" s="502" t="s">
        <v>481</v>
      </c>
      <c r="L20" s="500">
        <v>140</v>
      </c>
      <c r="M20" s="502" t="s">
        <v>313</v>
      </c>
      <c r="N20" s="498" t="s">
        <v>832</v>
      </c>
      <c r="O20" s="498"/>
      <c r="P20" s="502"/>
      <c r="Q20" s="498"/>
    </row>
    <row r="21" spans="1:256" s="193" customFormat="1" x14ac:dyDescent="0.25">
      <c r="A21" s="389" t="s">
        <v>22</v>
      </c>
      <c r="B21" s="390">
        <v>1</v>
      </c>
      <c r="C21" s="390">
        <v>1</v>
      </c>
      <c r="D21" s="193" t="s">
        <v>469</v>
      </c>
      <c r="E21" s="192" t="s">
        <v>315</v>
      </c>
      <c r="F21" s="212" t="s">
        <v>233</v>
      </c>
      <c r="G21" s="390">
        <v>1024</v>
      </c>
      <c r="H21" s="191" t="s">
        <v>29</v>
      </c>
      <c r="I21" s="212" t="s">
        <v>38</v>
      </c>
      <c r="J21" s="390"/>
      <c r="K21" s="212" t="s">
        <v>82</v>
      </c>
      <c r="L21" s="390">
        <v>0</v>
      </c>
      <c r="M21" s="212" t="s">
        <v>313</v>
      </c>
      <c r="N21" s="192" t="s">
        <v>475</v>
      </c>
      <c r="O21" s="192"/>
      <c r="P21" s="212"/>
      <c r="Q21" s="192"/>
      <c r="R21" s="391"/>
      <c r="S21" s="391"/>
      <c r="T21" s="391"/>
      <c r="U21" s="391"/>
      <c r="V21" s="391"/>
      <c r="W21" s="391"/>
      <c r="X21" s="391"/>
      <c r="Y21" s="391"/>
      <c r="Z21" s="391"/>
      <c r="AA21" s="391"/>
      <c r="AB21" s="391"/>
      <c r="AC21" s="391"/>
      <c r="AD21" s="391"/>
      <c r="AE21" s="391"/>
      <c r="AF21" s="391"/>
      <c r="AG21" s="391"/>
      <c r="AH21" s="391"/>
      <c r="AI21" s="391"/>
      <c r="AJ21" s="391"/>
      <c r="AK21" s="391"/>
      <c r="AL21" s="391"/>
      <c r="AM21" s="391"/>
      <c r="AN21" s="391"/>
      <c r="AO21" s="391"/>
      <c r="AP21" s="391"/>
      <c r="AQ21" s="391"/>
      <c r="AR21" s="391"/>
      <c r="AS21" s="391"/>
      <c r="AT21" s="391"/>
      <c r="AU21" s="391"/>
      <c r="AV21" s="391"/>
      <c r="AW21" s="391"/>
      <c r="AX21" s="391"/>
      <c r="AY21" s="391"/>
      <c r="AZ21" s="391"/>
      <c r="BA21" s="391"/>
      <c r="BB21" s="391"/>
      <c r="BC21" s="391"/>
      <c r="BD21" s="391"/>
      <c r="BE21" s="391"/>
      <c r="BF21" s="391"/>
      <c r="BG21" s="391"/>
      <c r="BH21" s="391"/>
      <c r="BI21" s="391"/>
      <c r="BJ21" s="391"/>
      <c r="BK21" s="391"/>
      <c r="BL21" s="391"/>
      <c r="BM21" s="391"/>
      <c r="BN21" s="391"/>
      <c r="BO21" s="391"/>
      <c r="BP21" s="391"/>
      <c r="BQ21" s="391"/>
      <c r="BR21" s="391"/>
      <c r="BS21" s="391"/>
      <c r="BT21" s="391"/>
      <c r="BU21" s="391"/>
      <c r="BV21" s="391"/>
      <c r="BW21" s="391"/>
      <c r="BX21" s="391"/>
      <c r="BY21" s="391"/>
      <c r="BZ21" s="391"/>
      <c r="CA21" s="391"/>
      <c r="CB21" s="391"/>
      <c r="CC21" s="391"/>
      <c r="CD21" s="391"/>
      <c r="CE21" s="391"/>
      <c r="CF21" s="391"/>
      <c r="CG21" s="391"/>
      <c r="CH21" s="391"/>
      <c r="CI21" s="391"/>
      <c r="CJ21" s="391"/>
      <c r="CK21" s="391"/>
      <c r="CL21" s="391"/>
      <c r="CM21" s="391"/>
      <c r="CN21" s="391"/>
      <c r="CO21" s="391"/>
      <c r="CP21" s="391"/>
      <c r="CQ21" s="391"/>
      <c r="CR21" s="391"/>
      <c r="CS21" s="391"/>
      <c r="CT21" s="391"/>
      <c r="CU21" s="391"/>
      <c r="CV21" s="391"/>
      <c r="CW21" s="391"/>
      <c r="CX21" s="391"/>
      <c r="CY21" s="391"/>
      <c r="CZ21" s="391"/>
      <c r="DA21" s="391"/>
      <c r="DB21" s="391"/>
      <c r="DC21" s="391"/>
      <c r="DD21" s="391"/>
      <c r="DE21" s="391"/>
      <c r="DF21" s="391"/>
      <c r="DG21" s="391"/>
      <c r="DH21" s="391"/>
      <c r="DI21" s="391"/>
      <c r="DJ21" s="391"/>
      <c r="DK21" s="391"/>
      <c r="DL21" s="391"/>
      <c r="DM21" s="391"/>
      <c r="DN21" s="391"/>
      <c r="DO21" s="391"/>
      <c r="DP21" s="391"/>
      <c r="DQ21" s="391"/>
      <c r="DR21" s="391"/>
      <c r="DS21" s="391"/>
      <c r="DT21" s="391"/>
      <c r="DU21" s="391"/>
      <c r="DV21" s="391"/>
      <c r="DW21" s="391"/>
      <c r="DX21" s="391"/>
      <c r="DY21" s="391"/>
      <c r="DZ21" s="391"/>
      <c r="EA21" s="391"/>
      <c r="EB21" s="391"/>
      <c r="EC21" s="391"/>
      <c r="ED21" s="391"/>
      <c r="EE21" s="391"/>
      <c r="EF21" s="391"/>
      <c r="EG21" s="391"/>
      <c r="EH21" s="391"/>
      <c r="EI21" s="391"/>
      <c r="EJ21" s="391"/>
      <c r="EK21" s="391"/>
      <c r="EL21" s="391"/>
      <c r="EM21" s="391"/>
      <c r="EN21" s="391"/>
      <c r="EO21" s="391"/>
      <c r="EP21" s="391"/>
      <c r="EQ21" s="391"/>
      <c r="ER21" s="391"/>
      <c r="ES21" s="391"/>
      <c r="ET21" s="391"/>
      <c r="EU21" s="391"/>
      <c r="EV21" s="391"/>
      <c r="EW21" s="391"/>
      <c r="EX21" s="391"/>
      <c r="EY21" s="391"/>
      <c r="EZ21" s="391"/>
      <c r="FA21" s="391"/>
      <c r="FB21" s="391"/>
      <c r="FC21" s="391"/>
      <c r="FD21" s="391"/>
      <c r="FE21" s="391"/>
      <c r="FF21" s="391"/>
      <c r="FG21" s="391"/>
      <c r="FH21" s="391"/>
      <c r="FI21" s="391"/>
      <c r="FJ21" s="391"/>
      <c r="FK21" s="391"/>
      <c r="FL21" s="391"/>
      <c r="FM21" s="391"/>
      <c r="FN21" s="391"/>
      <c r="FO21" s="391"/>
      <c r="FP21" s="391"/>
      <c r="FQ21" s="391"/>
      <c r="FR21" s="391"/>
      <c r="FS21" s="391"/>
      <c r="FT21" s="391"/>
      <c r="FU21" s="391"/>
      <c r="FV21" s="391"/>
      <c r="FW21" s="391"/>
      <c r="FX21" s="391"/>
      <c r="FY21" s="391"/>
      <c r="FZ21" s="391"/>
      <c r="GA21" s="391"/>
      <c r="GB21" s="391"/>
      <c r="GC21" s="391"/>
      <c r="GD21" s="391"/>
      <c r="GE21" s="391"/>
      <c r="GF21" s="391"/>
      <c r="GG21" s="391"/>
      <c r="GH21" s="391"/>
      <c r="GI21" s="391"/>
      <c r="GJ21" s="391"/>
      <c r="GK21" s="391"/>
      <c r="GL21" s="391"/>
      <c r="GM21" s="391"/>
      <c r="GN21" s="391"/>
      <c r="GO21" s="391"/>
      <c r="GP21" s="391"/>
      <c r="GQ21" s="391"/>
      <c r="GR21" s="391"/>
      <c r="GS21" s="391"/>
      <c r="GT21" s="391"/>
      <c r="GU21" s="391"/>
      <c r="GV21" s="391"/>
      <c r="GW21" s="391"/>
      <c r="GX21" s="391"/>
      <c r="GY21" s="391"/>
      <c r="GZ21" s="391"/>
      <c r="HA21" s="391"/>
      <c r="HB21" s="391"/>
      <c r="HC21" s="391"/>
      <c r="HD21" s="391"/>
      <c r="HE21" s="391"/>
      <c r="HF21" s="391"/>
      <c r="HG21" s="391"/>
      <c r="HH21" s="391"/>
      <c r="HI21" s="391"/>
      <c r="HJ21" s="391"/>
      <c r="HK21" s="391"/>
      <c r="HL21" s="391"/>
      <c r="HM21" s="391"/>
      <c r="HN21" s="391"/>
      <c r="HO21" s="391"/>
      <c r="HP21" s="391"/>
      <c r="HQ21" s="391"/>
      <c r="HR21" s="391"/>
      <c r="HS21" s="391"/>
      <c r="HT21" s="391"/>
      <c r="HU21" s="391"/>
      <c r="HV21" s="391"/>
      <c r="HW21" s="391"/>
      <c r="HX21" s="391"/>
      <c r="HY21" s="391"/>
      <c r="HZ21" s="391"/>
      <c r="IA21" s="391"/>
      <c r="IB21" s="391"/>
      <c r="IC21" s="391"/>
      <c r="ID21" s="391"/>
      <c r="IE21" s="391"/>
      <c r="IF21" s="391"/>
      <c r="IG21" s="391"/>
      <c r="IH21" s="391"/>
      <c r="II21" s="391"/>
      <c r="IJ21" s="391"/>
      <c r="IK21" s="391"/>
      <c r="IL21" s="391"/>
      <c r="IM21" s="391"/>
      <c r="IN21" s="391"/>
      <c r="IO21" s="391"/>
      <c r="IP21" s="391"/>
      <c r="IQ21" s="391"/>
      <c r="IR21" s="391"/>
      <c r="IS21" s="391"/>
      <c r="IT21" s="391"/>
      <c r="IU21" s="391"/>
      <c r="IV21" s="391"/>
    </row>
    <row r="22" spans="1:256" s="193" customFormat="1" x14ac:dyDescent="0.25">
      <c r="A22" s="389" t="s">
        <v>22</v>
      </c>
      <c r="B22" s="390">
        <v>1</v>
      </c>
      <c r="C22" s="390">
        <v>1</v>
      </c>
      <c r="D22" s="193" t="s">
        <v>470</v>
      </c>
      <c r="E22" s="192" t="s">
        <v>316</v>
      </c>
      <c r="F22" s="212" t="s">
        <v>233</v>
      </c>
      <c r="G22" s="390">
        <v>1024</v>
      </c>
      <c r="H22" s="191" t="s">
        <v>29</v>
      </c>
      <c r="I22" s="212" t="s">
        <v>26</v>
      </c>
      <c r="J22" s="390">
        <v>15</v>
      </c>
      <c r="K22" s="212" t="s">
        <v>82</v>
      </c>
      <c r="L22" s="390" t="s">
        <v>314</v>
      </c>
      <c r="M22" s="192"/>
      <c r="N22" s="192" t="s">
        <v>476</v>
      </c>
      <c r="O22" s="192"/>
      <c r="P22" s="212"/>
      <c r="Q22" s="192"/>
      <c r="R22" s="391"/>
      <c r="S22" s="391"/>
      <c r="T22" s="391"/>
      <c r="U22" s="391"/>
      <c r="V22" s="391"/>
      <c r="W22" s="391"/>
      <c r="X22" s="391"/>
      <c r="Y22" s="391"/>
      <c r="Z22" s="391"/>
      <c r="AA22" s="391"/>
      <c r="AB22" s="391"/>
      <c r="AC22" s="391"/>
      <c r="AD22" s="391"/>
      <c r="AE22" s="391"/>
      <c r="AF22" s="391"/>
      <c r="AG22" s="391"/>
      <c r="AH22" s="391"/>
      <c r="AI22" s="391"/>
      <c r="AJ22" s="391"/>
      <c r="AK22" s="391"/>
      <c r="AL22" s="391"/>
      <c r="AM22" s="391"/>
      <c r="AN22" s="391"/>
      <c r="AO22" s="391"/>
      <c r="AP22" s="391"/>
      <c r="AQ22" s="391"/>
      <c r="AR22" s="391"/>
      <c r="AS22" s="391"/>
      <c r="AT22" s="391"/>
      <c r="AU22" s="391"/>
      <c r="AV22" s="391"/>
      <c r="AW22" s="391"/>
      <c r="AX22" s="391"/>
      <c r="AY22" s="391"/>
      <c r="AZ22" s="391"/>
      <c r="BA22" s="391"/>
      <c r="BB22" s="391"/>
      <c r="BC22" s="391"/>
      <c r="BD22" s="391"/>
      <c r="BE22" s="391"/>
      <c r="BF22" s="391"/>
      <c r="BG22" s="391"/>
      <c r="BH22" s="391"/>
      <c r="BI22" s="391"/>
      <c r="BJ22" s="391"/>
      <c r="BK22" s="391"/>
      <c r="BL22" s="391"/>
      <c r="BM22" s="391"/>
      <c r="BN22" s="391"/>
      <c r="BO22" s="391"/>
      <c r="BP22" s="391"/>
      <c r="BQ22" s="391"/>
      <c r="BR22" s="391"/>
      <c r="BS22" s="391"/>
      <c r="BT22" s="391"/>
      <c r="BU22" s="391"/>
      <c r="BV22" s="391"/>
      <c r="BW22" s="391"/>
      <c r="BX22" s="391"/>
      <c r="BY22" s="391"/>
      <c r="BZ22" s="391"/>
      <c r="CA22" s="391"/>
      <c r="CB22" s="391"/>
      <c r="CC22" s="391"/>
      <c r="CD22" s="391"/>
      <c r="CE22" s="391"/>
      <c r="CF22" s="391"/>
      <c r="CG22" s="391"/>
      <c r="CH22" s="391"/>
      <c r="CI22" s="391"/>
      <c r="CJ22" s="391"/>
      <c r="CK22" s="391"/>
      <c r="CL22" s="391"/>
      <c r="CM22" s="391"/>
      <c r="CN22" s="391"/>
      <c r="CO22" s="391"/>
      <c r="CP22" s="391"/>
      <c r="CQ22" s="391"/>
      <c r="CR22" s="391"/>
      <c r="CS22" s="391"/>
      <c r="CT22" s="391"/>
      <c r="CU22" s="391"/>
      <c r="CV22" s="391"/>
      <c r="CW22" s="391"/>
      <c r="CX22" s="391"/>
      <c r="CY22" s="391"/>
      <c r="CZ22" s="391"/>
      <c r="DA22" s="391"/>
      <c r="DB22" s="391"/>
      <c r="DC22" s="391"/>
      <c r="DD22" s="391"/>
      <c r="DE22" s="391"/>
      <c r="DF22" s="391"/>
      <c r="DG22" s="391"/>
      <c r="DH22" s="391"/>
      <c r="DI22" s="391"/>
      <c r="DJ22" s="391"/>
      <c r="DK22" s="391"/>
      <c r="DL22" s="391"/>
      <c r="DM22" s="391"/>
      <c r="DN22" s="391"/>
      <c r="DO22" s="391"/>
      <c r="DP22" s="391"/>
      <c r="DQ22" s="391"/>
      <c r="DR22" s="391"/>
      <c r="DS22" s="391"/>
      <c r="DT22" s="391"/>
      <c r="DU22" s="391"/>
      <c r="DV22" s="391"/>
      <c r="DW22" s="391"/>
      <c r="DX22" s="391"/>
      <c r="DY22" s="391"/>
      <c r="DZ22" s="391"/>
      <c r="EA22" s="391"/>
      <c r="EB22" s="391"/>
      <c r="EC22" s="391"/>
      <c r="ED22" s="391"/>
      <c r="EE22" s="391"/>
      <c r="EF22" s="391"/>
      <c r="EG22" s="391"/>
      <c r="EH22" s="391"/>
      <c r="EI22" s="391"/>
      <c r="EJ22" s="391"/>
      <c r="EK22" s="391"/>
      <c r="EL22" s="391"/>
      <c r="EM22" s="391"/>
      <c r="EN22" s="391"/>
      <c r="EO22" s="391"/>
      <c r="EP22" s="391"/>
      <c r="EQ22" s="391"/>
      <c r="ER22" s="391"/>
      <c r="ES22" s="391"/>
      <c r="ET22" s="391"/>
      <c r="EU22" s="391"/>
      <c r="EV22" s="391"/>
      <c r="EW22" s="391"/>
      <c r="EX22" s="391"/>
      <c r="EY22" s="391"/>
      <c r="EZ22" s="391"/>
      <c r="FA22" s="391"/>
      <c r="FB22" s="391"/>
      <c r="FC22" s="391"/>
      <c r="FD22" s="391"/>
      <c r="FE22" s="391"/>
      <c r="FF22" s="391"/>
      <c r="FG22" s="391"/>
      <c r="FH22" s="391"/>
      <c r="FI22" s="391"/>
      <c r="FJ22" s="391"/>
      <c r="FK22" s="391"/>
      <c r="FL22" s="391"/>
      <c r="FM22" s="391"/>
      <c r="FN22" s="391"/>
      <c r="FO22" s="391"/>
      <c r="FP22" s="391"/>
      <c r="FQ22" s="391"/>
      <c r="FR22" s="391"/>
      <c r="FS22" s="391"/>
      <c r="FT22" s="391"/>
      <c r="FU22" s="391"/>
      <c r="FV22" s="391"/>
      <c r="FW22" s="391"/>
      <c r="FX22" s="391"/>
      <c r="FY22" s="391"/>
      <c r="FZ22" s="391"/>
      <c r="GA22" s="391"/>
      <c r="GB22" s="391"/>
      <c r="GC22" s="391"/>
      <c r="GD22" s="391"/>
      <c r="GE22" s="391"/>
      <c r="GF22" s="391"/>
      <c r="GG22" s="391"/>
      <c r="GH22" s="391"/>
      <c r="GI22" s="391"/>
      <c r="GJ22" s="391"/>
      <c r="GK22" s="391"/>
      <c r="GL22" s="391"/>
      <c r="GM22" s="391"/>
      <c r="GN22" s="391"/>
      <c r="GO22" s="391"/>
      <c r="GP22" s="391"/>
      <c r="GQ22" s="391"/>
      <c r="GR22" s="391"/>
      <c r="GS22" s="391"/>
      <c r="GT22" s="391"/>
      <c r="GU22" s="391"/>
      <c r="GV22" s="391"/>
      <c r="GW22" s="391"/>
      <c r="GX22" s="391"/>
      <c r="GY22" s="391"/>
      <c r="GZ22" s="391"/>
      <c r="HA22" s="391"/>
      <c r="HB22" s="391"/>
      <c r="HC22" s="391"/>
      <c r="HD22" s="391"/>
      <c r="HE22" s="391"/>
      <c r="HF22" s="391"/>
      <c r="HG22" s="391"/>
      <c r="HH22" s="391"/>
      <c r="HI22" s="391"/>
      <c r="HJ22" s="391"/>
      <c r="HK22" s="391"/>
      <c r="HL22" s="391"/>
      <c r="HM22" s="391"/>
      <c r="HN22" s="391"/>
      <c r="HO22" s="391"/>
      <c r="HP22" s="391"/>
      <c r="HQ22" s="391"/>
      <c r="HR22" s="391"/>
      <c r="HS22" s="391"/>
      <c r="HT22" s="391"/>
      <c r="HU22" s="391"/>
      <c r="HV22" s="391"/>
      <c r="HW22" s="391"/>
      <c r="HX22" s="391"/>
      <c r="HY22" s="391"/>
      <c r="HZ22" s="391"/>
      <c r="IA22" s="391"/>
      <c r="IB22" s="391"/>
      <c r="IC22" s="391"/>
      <c r="ID22" s="391"/>
      <c r="IE22" s="391"/>
      <c r="IF22" s="391"/>
      <c r="IG22" s="391"/>
      <c r="IH22" s="391"/>
      <c r="II22" s="391"/>
      <c r="IJ22" s="391"/>
      <c r="IK22" s="391"/>
      <c r="IL22" s="391"/>
      <c r="IM22" s="391"/>
      <c r="IN22" s="391"/>
      <c r="IO22" s="391"/>
      <c r="IP22" s="391"/>
      <c r="IQ22" s="391"/>
      <c r="IR22" s="391"/>
      <c r="IS22" s="391"/>
      <c r="IT22" s="391"/>
      <c r="IU22" s="391"/>
      <c r="IV22" s="391"/>
    </row>
    <row r="23" spans="1:256" s="193" customFormat="1" x14ac:dyDescent="0.25">
      <c r="A23" s="389" t="s">
        <v>22</v>
      </c>
      <c r="B23" s="390">
        <v>1</v>
      </c>
      <c r="C23" s="390">
        <v>1</v>
      </c>
      <c r="D23" s="192" t="s">
        <v>305</v>
      </c>
      <c r="E23" s="192" t="s">
        <v>317</v>
      </c>
      <c r="F23" s="212" t="s">
        <v>233</v>
      </c>
      <c r="G23" s="390">
        <v>1024</v>
      </c>
      <c r="H23" s="191" t="s">
        <v>29</v>
      </c>
      <c r="I23" s="212" t="s">
        <v>17</v>
      </c>
      <c r="J23" s="390"/>
      <c r="K23" s="212" t="s">
        <v>82</v>
      </c>
      <c r="L23" s="191">
        <v>50</v>
      </c>
      <c r="M23" s="390" t="s">
        <v>296</v>
      </c>
      <c r="N23" s="192" t="s">
        <v>326</v>
      </c>
      <c r="O23" s="192"/>
      <c r="P23" s="212"/>
      <c r="Q23" s="192"/>
      <c r="R23" s="391"/>
      <c r="S23" s="391"/>
      <c r="T23" s="391"/>
      <c r="U23" s="391"/>
      <c r="V23" s="391"/>
      <c r="W23" s="391"/>
      <c r="X23" s="391"/>
      <c r="Y23" s="391"/>
      <c r="Z23" s="391"/>
      <c r="AA23" s="391"/>
      <c r="AB23" s="391"/>
      <c r="AC23" s="391"/>
      <c r="AD23" s="391"/>
      <c r="AE23" s="391"/>
      <c r="AF23" s="391"/>
      <c r="AG23" s="391"/>
      <c r="AH23" s="391"/>
      <c r="AI23" s="391"/>
      <c r="AJ23" s="391"/>
      <c r="AK23" s="391"/>
      <c r="AL23" s="391"/>
      <c r="AM23" s="391"/>
      <c r="AN23" s="391"/>
      <c r="AO23" s="391"/>
      <c r="AP23" s="391"/>
      <c r="AQ23" s="391"/>
      <c r="AR23" s="391"/>
      <c r="AS23" s="391"/>
      <c r="AT23" s="391"/>
      <c r="AU23" s="391"/>
      <c r="AV23" s="391"/>
      <c r="AW23" s="391"/>
      <c r="AX23" s="391"/>
      <c r="AY23" s="391"/>
      <c r="AZ23" s="391"/>
      <c r="BA23" s="391"/>
      <c r="BB23" s="391"/>
      <c r="BC23" s="391"/>
      <c r="BD23" s="391"/>
      <c r="BE23" s="391"/>
      <c r="BF23" s="391"/>
      <c r="BG23" s="391"/>
      <c r="BH23" s="391"/>
      <c r="BI23" s="391"/>
      <c r="BJ23" s="391"/>
      <c r="BK23" s="391"/>
      <c r="BL23" s="391"/>
      <c r="BM23" s="391"/>
      <c r="BN23" s="391"/>
      <c r="BO23" s="391"/>
      <c r="BP23" s="391"/>
      <c r="BQ23" s="391"/>
      <c r="BR23" s="391"/>
      <c r="BS23" s="391"/>
      <c r="BT23" s="391"/>
      <c r="BU23" s="391"/>
      <c r="BV23" s="391"/>
      <c r="BW23" s="391"/>
      <c r="BX23" s="391"/>
      <c r="BY23" s="391"/>
      <c r="BZ23" s="391"/>
      <c r="CA23" s="391"/>
      <c r="CB23" s="391"/>
      <c r="CC23" s="391"/>
      <c r="CD23" s="391"/>
      <c r="CE23" s="391"/>
      <c r="CF23" s="391"/>
      <c r="CG23" s="391"/>
      <c r="CH23" s="391"/>
      <c r="CI23" s="391"/>
      <c r="CJ23" s="391"/>
      <c r="CK23" s="391"/>
      <c r="CL23" s="391"/>
      <c r="CM23" s="391"/>
      <c r="CN23" s="391"/>
      <c r="CO23" s="391"/>
      <c r="CP23" s="391"/>
      <c r="CQ23" s="391"/>
      <c r="CR23" s="391"/>
      <c r="CS23" s="391"/>
      <c r="CT23" s="391"/>
      <c r="CU23" s="391"/>
      <c r="CV23" s="391"/>
      <c r="CW23" s="391"/>
      <c r="CX23" s="391"/>
      <c r="CY23" s="391"/>
      <c r="CZ23" s="391"/>
      <c r="DA23" s="391"/>
      <c r="DB23" s="391"/>
      <c r="DC23" s="391"/>
      <c r="DD23" s="391"/>
      <c r="DE23" s="391"/>
      <c r="DF23" s="391"/>
      <c r="DG23" s="391"/>
      <c r="DH23" s="391"/>
      <c r="DI23" s="391"/>
      <c r="DJ23" s="391"/>
      <c r="DK23" s="391"/>
      <c r="DL23" s="391"/>
      <c r="DM23" s="391"/>
      <c r="DN23" s="391"/>
      <c r="DO23" s="391"/>
      <c r="DP23" s="391"/>
      <c r="DQ23" s="391"/>
      <c r="DR23" s="391"/>
      <c r="DS23" s="391"/>
      <c r="DT23" s="391"/>
      <c r="DU23" s="391"/>
      <c r="DV23" s="391"/>
      <c r="DW23" s="391"/>
      <c r="DX23" s="391"/>
      <c r="DY23" s="391"/>
      <c r="DZ23" s="391"/>
      <c r="EA23" s="391"/>
      <c r="EB23" s="391"/>
      <c r="EC23" s="391"/>
      <c r="ED23" s="391"/>
      <c r="EE23" s="391"/>
      <c r="EF23" s="391"/>
      <c r="EG23" s="391"/>
      <c r="EH23" s="391"/>
      <c r="EI23" s="391"/>
      <c r="EJ23" s="391"/>
      <c r="EK23" s="391"/>
      <c r="EL23" s="391"/>
      <c r="EM23" s="391"/>
      <c r="EN23" s="391"/>
      <c r="EO23" s="391"/>
      <c r="EP23" s="391"/>
      <c r="EQ23" s="391"/>
      <c r="ER23" s="391"/>
      <c r="ES23" s="391"/>
      <c r="ET23" s="391"/>
      <c r="EU23" s="391"/>
      <c r="EV23" s="391"/>
      <c r="EW23" s="391"/>
      <c r="EX23" s="391"/>
      <c r="EY23" s="391"/>
      <c r="EZ23" s="391"/>
      <c r="FA23" s="391"/>
      <c r="FB23" s="391"/>
      <c r="FC23" s="391"/>
      <c r="FD23" s="391"/>
      <c r="FE23" s="391"/>
      <c r="FF23" s="391"/>
      <c r="FG23" s="391"/>
      <c r="FH23" s="391"/>
      <c r="FI23" s="391"/>
      <c r="FJ23" s="391"/>
      <c r="FK23" s="391"/>
      <c r="FL23" s="391"/>
      <c r="FM23" s="391"/>
      <c r="FN23" s="391"/>
      <c r="FO23" s="391"/>
      <c r="FP23" s="391"/>
      <c r="FQ23" s="391"/>
      <c r="FR23" s="391"/>
      <c r="FS23" s="391"/>
      <c r="FT23" s="391"/>
      <c r="FU23" s="391"/>
      <c r="FV23" s="391"/>
      <c r="FW23" s="391"/>
      <c r="FX23" s="391"/>
      <c r="FY23" s="391"/>
      <c r="FZ23" s="391"/>
      <c r="GA23" s="391"/>
      <c r="GB23" s="391"/>
      <c r="GC23" s="391"/>
      <c r="GD23" s="391"/>
      <c r="GE23" s="391"/>
      <c r="GF23" s="391"/>
      <c r="GG23" s="391"/>
      <c r="GH23" s="391"/>
      <c r="GI23" s="391"/>
      <c r="GJ23" s="391"/>
      <c r="GK23" s="391"/>
      <c r="GL23" s="391"/>
      <c r="GM23" s="391"/>
      <c r="GN23" s="391"/>
      <c r="GO23" s="391"/>
      <c r="GP23" s="391"/>
      <c r="GQ23" s="391"/>
      <c r="GR23" s="391"/>
      <c r="GS23" s="391"/>
      <c r="GT23" s="391"/>
      <c r="GU23" s="391"/>
      <c r="GV23" s="391"/>
      <c r="GW23" s="391"/>
      <c r="GX23" s="391"/>
      <c r="GY23" s="391"/>
      <c r="GZ23" s="391"/>
      <c r="HA23" s="391"/>
      <c r="HB23" s="391"/>
      <c r="HC23" s="391"/>
      <c r="HD23" s="391"/>
      <c r="HE23" s="391"/>
      <c r="HF23" s="391"/>
      <c r="HG23" s="391"/>
      <c r="HH23" s="391"/>
      <c r="HI23" s="391"/>
      <c r="HJ23" s="391"/>
      <c r="HK23" s="391"/>
      <c r="HL23" s="391"/>
      <c r="HM23" s="391"/>
      <c r="HN23" s="391"/>
      <c r="HO23" s="391"/>
      <c r="HP23" s="391"/>
      <c r="HQ23" s="391"/>
      <c r="HR23" s="391"/>
      <c r="HS23" s="391"/>
      <c r="HT23" s="391"/>
      <c r="HU23" s="391"/>
      <c r="HV23" s="391"/>
      <c r="HW23" s="391"/>
      <c r="HX23" s="391"/>
      <c r="HY23" s="391"/>
      <c r="HZ23" s="391"/>
      <c r="IA23" s="391"/>
      <c r="IB23" s="391"/>
      <c r="IC23" s="391"/>
      <c r="ID23" s="391"/>
      <c r="IE23" s="391"/>
      <c r="IF23" s="391"/>
      <c r="IG23" s="391"/>
      <c r="IH23" s="391"/>
      <c r="II23" s="391"/>
      <c r="IJ23" s="391"/>
      <c r="IK23" s="391"/>
      <c r="IL23" s="391"/>
      <c r="IM23" s="391"/>
      <c r="IN23" s="391"/>
      <c r="IO23" s="391"/>
      <c r="IP23" s="391"/>
      <c r="IQ23" s="391"/>
      <c r="IR23" s="391"/>
      <c r="IS23" s="391"/>
      <c r="IT23" s="391"/>
      <c r="IU23" s="391"/>
      <c r="IV23" s="391"/>
    </row>
    <row r="24" spans="1:256" s="193" customFormat="1" x14ac:dyDescent="0.25">
      <c r="A24" s="389" t="s">
        <v>22</v>
      </c>
      <c r="B24" s="390">
        <v>1</v>
      </c>
      <c r="C24" s="390">
        <v>1</v>
      </c>
      <c r="D24" s="192" t="s">
        <v>307</v>
      </c>
      <c r="E24" s="192" t="s">
        <v>318</v>
      </c>
      <c r="F24" s="212" t="s">
        <v>233</v>
      </c>
      <c r="G24" s="390">
        <v>1024</v>
      </c>
      <c r="H24" s="191" t="s">
        <v>29</v>
      </c>
      <c r="I24" s="212" t="s">
        <v>30</v>
      </c>
      <c r="J24" s="390"/>
      <c r="K24" s="212" t="s">
        <v>82</v>
      </c>
      <c r="L24" s="390">
        <v>1</v>
      </c>
      <c r="M24" s="192"/>
      <c r="N24" s="192" t="s">
        <v>328</v>
      </c>
      <c r="O24" s="192"/>
      <c r="P24" s="212"/>
      <c r="Q24" s="192"/>
      <c r="R24" s="391"/>
      <c r="S24" s="391"/>
      <c r="T24" s="391"/>
      <c r="U24" s="391"/>
      <c r="V24" s="391"/>
      <c r="W24" s="391"/>
      <c r="X24" s="391"/>
      <c r="Y24" s="391"/>
      <c r="Z24" s="391"/>
      <c r="AA24" s="391"/>
      <c r="AB24" s="391"/>
      <c r="AC24" s="391"/>
      <c r="AD24" s="391"/>
      <c r="AE24" s="391"/>
      <c r="AF24" s="391"/>
      <c r="AG24" s="391"/>
      <c r="AH24" s="391"/>
      <c r="AI24" s="391"/>
      <c r="AJ24" s="391"/>
      <c r="AK24" s="391"/>
      <c r="AL24" s="391"/>
      <c r="AM24" s="391"/>
      <c r="AN24" s="391"/>
      <c r="AO24" s="391"/>
      <c r="AP24" s="391"/>
      <c r="AQ24" s="391"/>
      <c r="AR24" s="391"/>
      <c r="AS24" s="391"/>
      <c r="AT24" s="391"/>
      <c r="AU24" s="391"/>
      <c r="AV24" s="391"/>
      <c r="AW24" s="391"/>
      <c r="AX24" s="391"/>
      <c r="AY24" s="391"/>
      <c r="AZ24" s="391"/>
      <c r="BA24" s="391"/>
      <c r="BB24" s="391"/>
      <c r="BC24" s="391"/>
      <c r="BD24" s="391"/>
      <c r="BE24" s="391"/>
      <c r="BF24" s="391"/>
      <c r="BG24" s="391"/>
      <c r="BH24" s="391"/>
      <c r="BI24" s="391"/>
      <c r="BJ24" s="391"/>
      <c r="BK24" s="391"/>
      <c r="BL24" s="391"/>
      <c r="BM24" s="391"/>
      <c r="BN24" s="391"/>
      <c r="BO24" s="391"/>
      <c r="BP24" s="391"/>
      <c r="BQ24" s="391"/>
      <c r="BR24" s="391"/>
      <c r="BS24" s="391"/>
      <c r="BT24" s="391"/>
      <c r="BU24" s="391"/>
      <c r="BV24" s="391"/>
      <c r="BW24" s="391"/>
      <c r="BX24" s="391"/>
      <c r="BY24" s="391"/>
      <c r="BZ24" s="391"/>
      <c r="CA24" s="391"/>
      <c r="CB24" s="391"/>
      <c r="CC24" s="391"/>
      <c r="CD24" s="391"/>
      <c r="CE24" s="391"/>
      <c r="CF24" s="391"/>
      <c r="CG24" s="391"/>
      <c r="CH24" s="391"/>
      <c r="CI24" s="391"/>
      <c r="CJ24" s="391"/>
      <c r="CK24" s="391"/>
      <c r="CL24" s="391"/>
      <c r="CM24" s="391"/>
      <c r="CN24" s="391"/>
      <c r="CO24" s="391"/>
      <c r="CP24" s="391"/>
      <c r="CQ24" s="391"/>
      <c r="CR24" s="391"/>
      <c r="CS24" s="391"/>
      <c r="CT24" s="391"/>
      <c r="CU24" s="391"/>
      <c r="CV24" s="391"/>
      <c r="CW24" s="391"/>
      <c r="CX24" s="391"/>
      <c r="CY24" s="391"/>
      <c r="CZ24" s="391"/>
      <c r="DA24" s="391"/>
      <c r="DB24" s="391"/>
      <c r="DC24" s="391"/>
      <c r="DD24" s="391"/>
      <c r="DE24" s="391"/>
      <c r="DF24" s="391"/>
      <c r="DG24" s="391"/>
      <c r="DH24" s="391"/>
      <c r="DI24" s="391"/>
      <c r="DJ24" s="391"/>
      <c r="DK24" s="391"/>
      <c r="DL24" s="391"/>
      <c r="DM24" s="391"/>
      <c r="DN24" s="391"/>
      <c r="DO24" s="391"/>
      <c r="DP24" s="391"/>
      <c r="DQ24" s="391"/>
      <c r="DR24" s="391"/>
      <c r="DS24" s="391"/>
      <c r="DT24" s="391"/>
      <c r="DU24" s="391"/>
      <c r="DV24" s="391"/>
      <c r="DW24" s="391"/>
      <c r="DX24" s="391"/>
      <c r="DY24" s="391"/>
      <c r="DZ24" s="391"/>
      <c r="EA24" s="391"/>
      <c r="EB24" s="391"/>
      <c r="EC24" s="391"/>
      <c r="ED24" s="391"/>
      <c r="EE24" s="391"/>
      <c r="EF24" s="391"/>
      <c r="EG24" s="391"/>
      <c r="EH24" s="391"/>
      <c r="EI24" s="391"/>
      <c r="EJ24" s="391"/>
      <c r="EK24" s="391"/>
      <c r="EL24" s="391"/>
      <c r="EM24" s="391"/>
      <c r="EN24" s="391"/>
      <c r="EO24" s="391"/>
      <c r="EP24" s="391"/>
      <c r="EQ24" s="391"/>
      <c r="ER24" s="391"/>
      <c r="ES24" s="391"/>
      <c r="ET24" s="391"/>
      <c r="EU24" s="391"/>
      <c r="EV24" s="391"/>
      <c r="EW24" s="391"/>
      <c r="EX24" s="391"/>
      <c r="EY24" s="391"/>
      <c r="EZ24" s="391"/>
      <c r="FA24" s="391"/>
      <c r="FB24" s="391"/>
      <c r="FC24" s="391"/>
      <c r="FD24" s="391"/>
      <c r="FE24" s="391"/>
      <c r="FF24" s="391"/>
      <c r="FG24" s="391"/>
      <c r="FH24" s="391"/>
      <c r="FI24" s="391"/>
      <c r="FJ24" s="391"/>
      <c r="FK24" s="391"/>
      <c r="FL24" s="391"/>
      <c r="FM24" s="391"/>
      <c r="FN24" s="391"/>
      <c r="FO24" s="391"/>
      <c r="FP24" s="391"/>
      <c r="FQ24" s="391"/>
      <c r="FR24" s="391"/>
      <c r="FS24" s="391"/>
      <c r="FT24" s="391"/>
      <c r="FU24" s="391"/>
      <c r="FV24" s="391"/>
      <c r="FW24" s="391"/>
      <c r="FX24" s="391"/>
      <c r="FY24" s="391"/>
      <c r="FZ24" s="391"/>
      <c r="GA24" s="391"/>
      <c r="GB24" s="391"/>
      <c r="GC24" s="391"/>
      <c r="GD24" s="391"/>
      <c r="GE24" s="391"/>
      <c r="GF24" s="391"/>
      <c r="GG24" s="391"/>
      <c r="GH24" s="391"/>
      <c r="GI24" s="391"/>
      <c r="GJ24" s="391"/>
      <c r="GK24" s="391"/>
      <c r="GL24" s="391"/>
      <c r="GM24" s="391"/>
      <c r="GN24" s="391"/>
      <c r="GO24" s="391"/>
      <c r="GP24" s="391"/>
      <c r="GQ24" s="391"/>
      <c r="GR24" s="391"/>
      <c r="GS24" s="391"/>
      <c r="GT24" s="391"/>
      <c r="GU24" s="391"/>
      <c r="GV24" s="391"/>
      <c r="GW24" s="391"/>
      <c r="GX24" s="391"/>
      <c r="GY24" s="391"/>
      <c r="GZ24" s="391"/>
      <c r="HA24" s="391"/>
      <c r="HB24" s="391"/>
      <c r="HC24" s="391"/>
      <c r="HD24" s="391"/>
      <c r="HE24" s="391"/>
      <c r="HF24" s="391"/>
      <c r="HG24" s="391"/>
      <c r="HH24" s="391"/>
      <c r="HI24" s="391"/>
      <c r="HJ24" s="391"/>
      <c r="HK24" s="391"/>
      <c r="HL24" s="391"/>
      <c r="HM24" s="391"/>
      <c r="HN24" s="391"/>
      <c r="HO24" s="391"/>
      <c r="HP24" s="391"/>
      <c r="HQ24" s="391"/>
      <c r="HR24" s="391"/>
      <c r="HS24" s="391"/>
      <c r="HT24" s="391"/>
      <c r="HU24" s="391"/>
      <c r="HV24" s="391"/>
      <c r="HW24" s="391"/>
      <c r="HX24" s="391"/>
      <c r="HY24" s="391"/>
      <c r="HZ24" s="391"/>
      <c r="IA24" s="391"/>
      <c r="IB24" s="391"/>
      <c r="IC24" s="391"/>
      <c r="ID24" s="391"/>
      <c r="IE24" s="391"/>
      <c r="IF24" s="391"/>
      <c r="IG24" s="391"/>
      <c r="IH24" s="391"/>
      <c r="II24" s="391"/>
      <c r="IJ24" s="391"/>
      <c r="IK24" s="391"/>
      <c r="IL24" s="391"/>
      <c r="IM24" s="391"/>
      <c r="IN24" s="391"/>
      <c r="IO24" s="391"/>
      <c r="IP24" s="391"/>
      <c r="IQ24" s="391"/>
      <c r="IR24" s="391"/>
      <c r="IS24" s="391"/>
      <c r="IT24" s="391"/>
      <c r="IU24" s="391"/>
      <c r="IV24" s="391"/>
    </row>
    <row r="25" spans="1:256" s="193" customFormat="1" x14ac:dyDescent="0.25">
      <c r="A25" s="389" t="s">
        <v>22</v>
      </c>
      <c r="B25" s="390">
        <v>1</v>
      </c>
      <c r="C25" s="390">
        <v>1</v>
      </c>
      <c r="D25" s="193" t="s">
        <v>308</v>
      </c>
      <c r="E25" s="192" t="s">
        <v>319</v>
      </c>
      <c r="F25" s="212" t="s">
        <v>233</v>
      </c>
      <c r="G25" s="390">
        <v>1024</v>
      </c>
      <c r="H25" s="191" t="s">
        <v>29</v>
      </c>
      <c r="I25" s="212" t="s">
        <v>30</v>
      </c>
      <c r="J25" s="390"/>
      <c r="K25" s="212" t="s">
        <v>82</v>
      </c>
      <c r="L25" s="390">
        <v>1</v>
      </c>
      <c r="M25" s="192"/>
      <c r="N25" s="193" t="s">
        <v>327</v>
      </c>
      <c r="O25" s="192"/>
      <c r="P25" s="212"/>
      <c r="Q25" s="192"/>
      <c r="R25" s="391"/>
      <c r="S25" s="391"/>
      <c r="T25" s="391"/>
      <c r="U25" s="391"/>
      <c r="V25" s="391"/>
      <c r="W25" s="391"/>
      <c r="X25" s="391"/>
      <c r="Y25" s="391"/>
      <c r="Z25" s="391"/>
      <c r="AA25" s="391"/>
      <c r="AB25" s="391"/>
      <c r="AC25" s="391"/>
      <c r="AD25" s="391"/>
      <c r="AE25" s="391"/>
      <c r="AF25" s="391"/>
      <c r="AG25" s="391"/>
      <c r="AH25" s="391"/>
      <c r="AI25" s="391"/>
      <c r="AJ25" s="391"/>
      <c r="AK25" s="391"/>
      <c r="AL25" s="391"/>
      <c r="AM25" s="391"/>
      <c r="AN25" s="391"/>
      <c r="AO25" s="391"/>
      <c r="AP25" s="391"/>
      <c r="AQ25" s="391"/>
      <c r="AR25" s="391"/>
      <c r="AS25" s="391"/>
      <c r="AT25" s="391"/>
      <c r="AU25" s="391"/>
      <c r="AV25" s="391"/>
      <c r="AW25" s="391"/>
      <c r="AX25" s="391"/>
      <c r="AY25" s="391"/>
      <c r="AZ25" s="391"/>
      <c r="BA25" s="391"/>
      <c r="BB25" s="391"/>
      <c r="BC25" s="391"/>
      <c r="BD25" s="391"/>
      <c r="BE25" s="391"/>
      <c r="BF25" s="391"/>
      <c r="BG25" s="391"/>
      <c r="BH25" s="391"/>
      <c r="BI25" s="391"/>
      <c r="BJ25" s="391"/>
      <c r="BK25" s="391"/>
      <c r="BL25" s="391"/>
      <c r="BM25" s="391"/>
      <c r="BN25" s="391"/>
      <c r="BO25" s="391"/>
      <c r="BP25" s="391"/>
      <c r="BQ25" s="391"/>
      <c r="BR25" s="391"/>
      <c r="BS25" s="391"/>
      <c r="BT25" s="391"/>
      <c r="BU25" s="391"/>
      <c r="BV25" s="391"/>
      <c r="BW25" s="391"/>
      <c r="BX25" s="391"/>
      <c r="BY25" s="391"/>
      <c r="BZ25" s="391"/>
      <c r="CA25" s="391"/>
      <c r="CB25" s="391"/>
      <c r="CC25" s="391"/>
      <c r="CD25" s="391"/>
      <c r="CE25" s="391"/>
      <c r="CF25" s="391"/>
      <c r="CG25" s="391"/>
      <c r="CH25" s="391"/>
      <c r="CI25" s="391"/>
      <c r="CJ25" s="391"/>
      <c r="CK25" s="391"/>
      <c r="CL25" s="391"/>
      <c r="CM25" s="391"/>
      <c r="CN25" s="391"/>
      <c r="CO25" s="391"/>
      <c r="CP25" s="391"/>
      <c r="CQ25" s="391"/>
      <c r="CR25" s="391"/>
      <c r="CS25" s="391"/>
      <c r="CT25" s="391"/>
      <c r="CU25" s="391"/>
      <c r="CV25" s="391"/>
      <c r="CW25" s="391"/>
      <c r="CX25" s="391"/>
      <c r="CY25" s="391"/>
      <c r="CZ25" s="391"/>
      <c r="DA25" s="391"/>
      <c r="DB25" s="391"/>
      <c r="DC25" s="391"/>
      <c r="DD25" s="391"/>
      <c r="DE25" s="391"/>
      <c r="DF25" s="391"/>
      <c r="DG25" s="391"/>
      <c r="DH25" s="391"/>
      <c r="DI25" s="391"/>
      <c r="DJ25" s="391"/>
      <c r="DK25" s="391"/>
      <c r="DL25" s="391"/>
      <c r="DM25" s="391"/>
      <c r="DN25" s="391"/>
      <c r="DO25" s="391"/>
      <c r="DP25" s="391"/>
      <c r="DQ25" s="391"/>
      <c r="DR25" s="391"/>
      <c r="DS25" s="391"/>
      <c r="DT25" s="391"/>
      <c r="DU25" s="391"/>
      <c r="DV25" s="391"/>
      <c r="DW25" s="391"/>
      <c r="DX25" s="391"/>
      <c r="DY25" s="391"/>
      <c r="DZ25" s="391"/>
      <c r="EA25" s="391"/>
      <c r="EB25" s="391"/>
      <c r="EC25" s="391"/>
      <c r="ED25" s="391"/>
      <c r="EE25" s="391"/>
      <c r="EF25" s="391"/>
      <c r="EG25" s="391"/>
      <c r="EH25" s="391"/>
      <c r="EI25" s="391"/>
      <c r="EJ25" s="391"/>
      <c r="EK25" s="391"/>
      <c r="EL25" s="391"/>
      <c r="EM25" s="391"/>
      <c r="EN25" s="391"/>
      <c r="EO25" s="391"/>
      <c r="EP25" s="391"/>
      <c r="EQ25" s="391"/>
      <c r="ER25" s="391"/>
      <c r="ES25" s="391"/>
      <c r="ET25" s="391"/>
      <c r="EU25" s="391"/>
      <c r="EV25" s="391"/>
      <c r="EW25" s="391"/>
      <c r="EX25" s="391"/>
      <c r="EY25" s="391"/>
      <c r="EZ25" s="391"/>
      <c r="FA25" s="391"/>
      <c r="FB25" s="391"/>
      <c r="FC25" s="391"/>
      <c r="FD25" s="391"/>
      <c r="FE25" s="391"/>
      <c r="FF25" s="391"/>
      <c r="FG25" s="391"/>
      <c r="FH25" s="391"/>
      <c r="FI25" s="391"/>
      <c r="FJ25" s="391"/>
      <c r="FK25" s="391"/>
      <c r="FL25" s="391"/>
      <c r="FM25" s="391"/>
      <c r="FN25" s="391"/>
      <c r="FO25" s="391"/>
      <c r="FP25" s="391"/>
      <c r="FQ25" s="391"/>
      <c r="FR25" s="391"/>
      <c r="FS25" s="391"/>
      <c r="FT25" s="391"/>
      <c r="FU25" s="391"/>
      <c r="FV25" s="391"/>
      <c r="FW25" s="391"/>
      <c r="FX25" s="391"/>
      <c r="FY25" s="391"/>
      <c r="FZ25" s="391"/>
      <c r="GA25" s="391"/>
      <c r="GB25" s="391"/>
      <c r="GC25" s="391"/>
      <c r="GD25" s="391"/>
      <c r="GE25" s="391"/>
      <c r="GF25" s="391"/>
      <c r="GG25" s="391"/>
      <c r="GH25" s="391"/>
      <c r="GI25" s="391"/>
      <c r="GJ25" s="391"/>
      <c r="GK25" s="391"/>
      <c r="GL25" s="391"/>
      <c r="GM25" s="391"/>
      <c r="GN25" s="391"/>
      <c r="GO25" s="391"/>
      <c r="GP25" s="391"/>
      <c r="GQ25" s="391"/>
      <c r="GR25" s="391"/>
      <c r="GS25" s="391"/>
      <c r="GT25" s="391"/>
      <c r="GU25" s="391"/>
      <c r="GV25" s="391"/>
      <c r="GW25" s="391"/>
      <c r="GX25" s="391"/>
      <c r="GY25" s="391"/>
      <c r="GZ25" s="391"/>
      <c r="HA25" s="391"/>
      <c r="HB25" s="391"/>
      <c r="HC25" s="391"/>
      <c r="HD25" s="391"/>
      <c r="HE25" s="391"/>
      <c r="HF25" s="391"/>
      <c r="HG25" s="391"/>
      <c r="HH25" s="391"/>
      <c r="HI25" s="391"/>
      <c r="HJ25" s="391"/>
      <c r="HK25" s="391"/>
      <c r="HL25" s="391"/>
      <c r="HM25" s="391"/>
      <c r="HN25" s="391"/>
      <c r="HO25" s="391"/>
      <c r="HP25" s="391"/>
      <c r="HQ25" s="391"/>
      <c r="HR25" s="391"/>
      <c r="HS25" s="391"/>
      <c r="HT25" s="391"/>
      <c r="HU25" s="391"/>
      <c r="HV25" s="391"/>
      <c r="HW25" s="391"/>
      <c r="HX25" s="391"/>
      <c r="HY25" s="391"/>
      <c r="HZ25" s="391"/>
      <c r="IA25" s="391"/>
      <c r="IB25" s="391"/>
      <c r="IC25" s="391"/>
      <c r="ID25" s="391"/>
      <c r="IE25" s="391"/>
      <c r="IF25" s="391"/>
      <c r="IG25" s="391"/>
      <c r="IH25" s="391"/>
      <c r="II25" s="391"/>
      <c r="IJ25" s="391"/>
      <c r="IK25" s="391"/>
      <c r="IL25" s="391"/>
      <c r="IM25" s="391"/>
      <c r="IN25" s="391"/>
      <c r="IO25" s="391"/>
      <c r="IP25" s="391"/>
      <c r="IQ25" s="391"/>
      <c r="IR25" s="391"/>
      <c r="IS25" s="391"/>
      <c r="IT25" s="391"/>
      <c r="IU25" s="391"/>
      <c r="IV25" s="391"/>
    </row>
    <row r="26" spans="1:256" s="193" customFormat="1" x14ac:dyDescent="0.25">
      <c r="A26" s="389" t="s">
        <v>22</v>
      </c>
      <c r="B26" s="390">
        <v>1</v>
      </c>
      <c r="C26" s="390">
        <v>1</v>
      </c>
      <c r="D26" s="193" t="s">
        <v>309</v>
      </c>
      <c r="E26" s="192" t="s">
        <v>320</v>
      </c>
      <c r="F26" s="212" t="s">
        <v>233</v>
      </c>
      <c r="G26" s="390">
        <v>1024</v>
      </c>
      <c r="H26" s="191" t="s">
        <v>29</v>
      </c>
      <c r="I26" s="212" t="s">
        <v>30</v>
      </c>
      <c r="J26" s="390"/>
      <c r="K26" s="212" t="s">
        <v>82</v>
      </c>
      <c r="L26" s="390">
        <v>1</v>
      </c>
      <c r="M26" s="192"/>
      <c r="N26" s="193" t="s">
        <v>331</v>
      </c>
      <c r="O26" s="192"/>
      <c r="P26" s="212"/>
      <c r="Q26" s="192"/>
      <c r="R26" s="391"/>
      <c r="S26" s="391"/>
      <c r="T26" s="391"/>
      <c r="U26" s="391"/>
      <c r="V26" s="391"/>
      <c r="W26" s="391"/>
      <c r="X26" s="391"/>
      <c r="Y26" s="391"/>
      <c r="Z26" s="391"/>
      <c r="AA26" s="391"/>
      <c r="AB26" s="391"/>
      <c r="AC26" s="391"/>
      <c r="AD26" s="391"/>
      <c r="AE26" s="391"/>
      <c r="AF26" s="391"/>
      <c r="AG26" s="391"/>
      <c r="AH26" s="391"/>
      <c r="AI26" s="391"/>
      <c r="AJ26" s="391"/>
      <c r="AK26" s="391"/>
      <c r="AL26" s="391"/>
      <c r="AM26" s="391"/>
      <c r="AN26" s="391"/>
      <c r="AO26" s="391"/>
      <c r="AP26" s="391"/>
      <c r="AQ26" s="391"/>
      <c r="AR26" s="391"/>
      <c r="AS26" s="391"/>
      <c r="AT26" s="391"/>
      <c r="AU26" s="391"/>
      <c r="AV26" s="391"/>
      <c r="AW26" s="391"/>
      <c r="AX26" s="391"/>
      <c r="AY26" s="391"/>
      <c r="AZ26" s="391"/>
      <c r="BA26" s="391"/>
      <c r="BB26" s="391"/>
      <c r="BC26" s="391"/>
      <c r="BD26" s="391"/>
      <c r="BE26" s="391"/>
      <c r="BF26" s="391"/>
      <c r="BG26" s="391"/>
      <c r="BH26" s="391"/>
      <c r="BI26" s="391"/>
      <c r="BJ26" s="391"/>
      <c r="BK26" s="391"/>
      <c r="BL26" s="391"/>
      <c r="BM26" s="391"/>
      <c r="BN26" s="391"/>
      <c r="BO26" s="391"/>
      <c r="BP26" s="391"/>
      <c r="BQ26" s="391"/>
      <c r="BR26" s="391"/>
      <c r="BS26" s="391"/>
      <c r="BT26" s="391"/>
      <c r="BU26" s="391"/>
      <c r="BV26" s="391"/>
      <c r="BW26" s="391"/>
      <c r="BX26" s="391"/>
      <c r="BY26" s="391"/>
      <c r="BZ26" s="391"/>
      <c r="CA26" s="391"/>
      <c r="CB26" s="391"/>
      <c r="CC26" s="391"/>
      <c r="CD26" s="391"/>
      <c r="CE26" s="391"/>
      <c r="CF26" s="391"/>
      <c r="CG26" s="391"/>
      <c r="CH26" s="391"/>
      <c r="CI26" s="391"/>
      <c r="CJ26" s="391"/>
      <c r="CK26" s="391"/>
      <c r="CL26" s="391"/>
      <c r="CM26" s="391"/>
      <c r="CN26" s="391"/>
      <c r="CO26" s="391"/>
      <c r="CP26" s="391"/>
      <c r="CQ26" s="391"/>
      <c r="CR26" s="391"/>
      <c r="CS26" s="391"/>
      <c r="CT26" s="391"/>
      <c r="CU26" s="391"/>
      <c r="CV26" s="391"/>
      <c r="CW26" s="391"/>
      <c r="CX26" s="391"/>
      <c r="CY26" s="391"/>
      <c r="CZ26" s="391"/>
      <c r="DA26" s="391"/>
      <c r="DB26" s="391"/>
      <c r="DC26" s="391"/>
      <c r="DD26" s="391"/>
      <c r="DE26" s="391"/>
      <c r="DF26" s="391"/>
      <c r="DG26" s="391"/>
      <c r="DH26" s="391"/>
      <c r="DI26" s="391"/>
      <c r="DJ26" s="391"/>
      <c r="DK26" s="391"/>
      <c r="DL26" s="391"/>
      <c r="DM26" s="391"/>
      <c r="DN26" s="391"/>
      <c r="DO26" s="391"/>
      <c r="DP26" s="391"/>
      <c r="DQ26" s="391"/>
      <c r="DR26" s="391"/>
      <c r="DS26" s="391"/>
      <c r="DT26" s="391"/>
      <c r="DU26" s="391"/>
      <c r="DV26" s="391"/>
      <c r="DW26" s="391"/>
      <c r="DX26" s="391"/>
      <c r="DY26" s="391"/>
      <c r="DZ26" s="391"/>
      <c r="EA26" s="391"/>
      <c r="EB26" s="391"/>
      <c r="EC26" s="391"/>
      <c r="ED26" s="391"/>
      <c r="EE26" s="391"/>
      <c r="EF26" s="391"/>
      <c r="EG26" s="391"/>
      <c r="EH26" s="391"/>
      <c r="EI26" s="391"/>
      <c r="EJ26" s="391"/>
      <c r="EK26" s="391"/>
      <c r="EL26" s="391"/>
      <c r="EM26" s="391"/>
      <c r="EN26" s="391"/>
      <c r="EO26" s="391"/>
      <c r="EP26" s="391"/>
      <c r="EQ26" s="391"/>
      <c r="ER26" s="391"/>
      <c r="ES26" s="391"/>
      <c r="ET26" s="391"/>
      <c r="EU26" s="391"/>
      <c r="EV26" s="391"/>
      <c r="EW26" s="391"/>
      <c r="EX26" s="391"/>
      <c r="EY26" s="391"/>
      <c r="EZ26" s="391"/>
      <c r="FA26" s="391"/>
      <c r="FB26" s="391"/>
      <c r="FC26" s="391"/>
      <c r="FD26" s="391"/>
      <c r="FE26" s="391"/>
      <c r="FF26" s="391"/>
      <c r="FG26" s="391"/>
      <c r="FH26" s="391"/>
      <c r="FI26" s="391"/>
      <c r="FJ26" s="391"/>
      <c r="FK26" s="391"/>
      <c r="FL26" s="391"/>
      <c r="FM26" s="391"/>
      <c r="FN26" s="391"/>
      <c r="FO26" s="391"/>
      <c r="FP26" s="391"/>
      <c r="FQ26" s="391"/>
      <c r="FR26" s="391"/>
      <c r="FS26" s="391"/>
      <c r="FT26" s="391"/>
      <c r="FU26" s="391"/>
      <c r="FV26" s="391"/>
      <c r="FW26" s="391"/>
      <c r="FX26" s="391"/>
      <c r="FY26" s="391"/>
      <c r="FZ26" s="391"/>
      <c r="GA26" s="391"/>
      <c r="GB26" s="391"/>
      <c r="GC26" s="391"/>
      <c r="GD26" s="391"/>
      <c r="GE26" s="391"/>
      <c r="GF26" s="391"/>
      <c r="GG26" s="391"/>
      <c r="GH26" s="391"/>
      <c r="GI26" s="391"/>
      <c r="GJ26" s="391"/>
      <c r="GK26" s="391"/>
      <c r="GL26" s="391"/>
      <c r="GM26" s="391"/>
      <c r="GN26" s="391"/>
      <c r="GO26" s="391"/>
      <c r="GP26" s="391"/>
      <c r="GQ26" s="391"/>
      <c r="GR26" s="391"/>
      <c r="GS26" s="391"/>
      <c r="GT26" s="391"/>
      <c r="GU26" s="391"/>
      <c r="GV26" s="391"/>
      <c r="GW26" s="391"/>
      <c r="GX26" s="391"/>
      <c r="GY26" s="391"/>
      <c r="GZ26" s="391"/>
      <c r="HA26" s="391"/>
      <c r="HB26" s="391"/>
      <c r="HC26" s="391"/>
      <c r="HD26" s="391"/>
      <c r="HE26" s="391"/>
      <c r="HF26" s="391"/>
      <c r="HG26" s="391"/>
      <c r="HH26" s="391"/>
      <c r="HI26" s="391"/>
      <c r="HJ26" s="391"/>
      <c r="HK26" s="391"/>
      <c r="HL26" s="391"/>
      <c r="HM26" s="391"/>
      <c r="HN26" s="391"/>
      <c r="HO26" s="391"/>
      <c r="HP26" s="391"/>
      <c r="HQ26" s="391"/>
      <c r="HR26" s="391"/>
      <c r="HS26" s="391"/>
      <c r="HT26" s="391"/>
      <c r="HU26" s="391"/>
      <c r="HV26" s="391"/>
      <c r="HW26" s="391"/>
      <c r="HX26" s="391"/>
      <c r="HY26" s="391"/>
      <c r="HZ26" s="391"/>
      <c r="IA26" s="391"/>
      <c r="IB26" s="391"/>
      <c r="IC26" s="391"/>
      <c r="ID26" s="391"/>
      <c r="IE26" s="391"/>
      <c r="IF26" s="391"/>
      <c r="IG26" s="391"/>
      <c r="IH26" s="391"/>
      <c r="II26" s="391"/>
      <c r="IJ26" s="391"/>
      <c r="IK26" s="391"/>
      <c r="IL26" s="391"/>
      <c r="IM26" s="391"/>
      <c r="IN26" s="391"/>
      <c r="IO26" s="391"/>
      <c r="IP26" s="391"/>
      <c r="IQ26" s="391"/>
      <c r="IR26" s="391"/>
      <c r="IS26" s="391"/>
      <c r="IT26" s="391"/>
      <c r="IU26" s="391"/>
      <c r="IV26" s="391"/>
    </row>
    <row r="27" spans="1:256" s="193" customFormat="1" x14ac:dyDescent="0.25">
      <c r="A27" s="389" t="s">
        <v>22</v>
      </c>
      <c r="B27" s="390">
        <v>1</v>
      </c>
      <c r="C27" s="390">
        <v>1</v>
      </c>
      <c r="D27" s="192" t="s">
        <v>306</v>
      </c>
      <c r="E27" s="192" t="s">
        <v>321</v>
      </c>
      <c r="F27" s="212" t="s">
        <v>233</v>
      </c>
      <c r="G27" s="390">
        <v>1024</v>
      </c>
      <c r="H27" s="191" t="s">
        <v>29</v>
      </c>
      <c r="I27" s="212" t="s">
        <v>17</v>
      </c>
      <c r="J27" s="390"/>
      <c r="K27" s="212" t="s">
        <v>82</v>
      </c>
      <c r="L27" s="191">
        <v>50</v>
      </c>
      <c r="M27" s="390" t="s">
        <v>296</v>
      </c>
      <c r="N27" s="192" t="s">
        <v>645</v>
      </c>
      <c r="O27" s="192"/>
      <c r="P27" s="212"/>
      <c r="Q27" s="192"/>
      <c r="R27" s="391"/>
      <c r="S27" s="391"/>
      <c r="T27" s="391"/>
      <c r="U27" s="391"/>
      <c r="V27" s="391"/>
      <c r="W27" s="391"/>
      <c r="X27" s="391"/>
      <c r="Y27" s="391"/>
      <c r="Z27" s="391"/>
      <c r="AA27" s="391"/>
      <c r="AB27" s="391"/>
      <c r="AC27" s="391"/>
      <c r="AD27" s="391"/>
      <c r="AE27" s="391"/>
      <c r="AF27" s="391"/>
      <c r="AG27" s="391"/>
      <c r="AH27" s="391"/>
      <c r="AI27" s="391"/>
      <c r="AJ27" s="391"/>
      <c r="AK27" s="391"/>
      <c r="AL27" s="391"/>
      <c r="AM27" s="391"/>
      <c r="AN27" s="391"/>
      <c r="AO27" s="391"/>
      <c r="AP27" s="391"/>
      <c r="AQ27" s="391"/>
      <c r="AR27" s="391"/>
      <c r="AS27" s="391"/>
      <c r="AT27" s="391"/>
      <c r="AU27" s="391"/>
      <c r="AV27" s="391"/>
      <c r="AW27" s="391"/>
      <c r="AX27" s="391"/>
      <c r="AY27" s="391"/>
      <c r="AZ27" s="391"/>
      <c r="BA27" s="391"/>
      <c r="BB27" s="391"/>
      <c r="BC27" s="391"/>
      <c r="BD27" s="391"/>
      <c r="BE27" s="391"/>
      <c r="BF27" s="391"/>
      <c r="BG27" s="391"/>
      <c r="BH27" s="391"/>
      <c r="BI27" s="391"/>
      <c r="BJ27" s="391"/>
      <c r="BK27" s="391"/>
      <c r="BL27" s="391"/>
      <c r="BM27" s="391"/>
      <c r="BN27" s="391"/>
      <c r="BO27" s="391"/>
      <c r="BP27" s="391"/>
      <c r="BQ27" s="391"/>
      <c r="BR27" s="391"/>
      <c r="BS27" s="391"/>
      <c r="BT27" s="391"/>
      <c r="BU27" s="391"/>
      <c r="BV27" s="391"/>
      <c r="BW27" s="391"/>
      <c r="BX27" s="391"/>
      <c r="BY27" s="391"/>
      <c r="BZ27" s="391"/>
      <c r="CA27" s="391"/>
      <c r="CB27" s="391"/>
      <c r="CC27" s="391"/>
      <c r="CD27" s="391"/>
      <c r="CE27" s="391"/>
      <c r="CF27" s="391"/>
      <c r="CG27" s="391"/>
      <c r="CH27" s="391"/>
      <c r="CI27" s="391"/>
      <c r="CJ27" s="391"/>
      <c r="CK27" s="391"/>
      <c r="CL27" s="391"/>
      <c r="CM27" s="391"/>
      <c r="CN27" s="391"/>
      <c r="CO27" s="391"/>
      <c r="CP27" s="391"/>
      <c r="CQ27" s="391"/>
      <c r="CR27" s="391"/>
      <c r="CS27" s="391"/>
      <c r="CT27" s="391"/>
      <c r="CU27" s="391"/>
      <c r="CV27" s="391"/>
      <c r="CW27" s="391"/>
      <c r="CX27" s="391"/>
      <c r="CY27" s="391"/>
      <c r="CZ27" s="391"/>
      <c r="DA27" s="391"/>
      <c r="DB27" s="391"/>
      <c r="DC27" s="391"/>
      <c r="DD27" s="391"/>
      <c r="DE27" s="391"/>
      <c r="DF27" s="391"/>
      <c r="DG27" s="391"/>
      <c r="DH27" s="391"/>
      <c r="DI27" s="391"/>
      <c r="DJ27" s="391"/>
      <c r="DK27" s="391"/>
      <c r="DL27" s="391"/>
      <c r="DM27" s="391"/>
      <c r="DN27" s="391"/>
      <c r="DO27" s="391"/>
      <c r="DP27" s="391"/>
      <c r="DQ27" s="391"/>
      <c r="DR27" s="391"/>
      <c r="DS27" s="391"/>
      <c r="DT27" s="391"/>
      <c r="DU27" s="391"/>
      <c r="DV27" s="391"/>
      <c r="DW27" s="391"/>
      <c r="DX27" s="391"/>
      <c r="DY27" s="391"/>
      <c r="DZ27" s="391"/>
      <c r="EA27" s="391"/>
      <c r="EB27" s="391"/>
      <c r="EC27" s="391"/>
      <c r="ED27" s="391"/>
      <c r="EE27" s="391"/>
      <c r="EF27" s="391"/>
      <c r="EG27" s="391"/>
      <c r="EH27" s="391"/>
      <c r="EI27" s="391"/>
      <c r="EJ27" s="391"/>
      <c r="EK27" s="391"/>
      <c r="EL27" s="391"/>
      <c r="EM27" s="391"/>
      <c r="EN27" s="391"/>
      <c r="EO27" s="391"/>
      <c r="EP27" s="391"/>
      <c r="EQ27" s="391"/>
      <c r="ER27" s="391"/>
      <c r="ES27" s="391"/>
      <c r="ET27" s="391"/>
      <c r="EU27" s="391"/>
      <c r="EV27" s="391"/>
      <c r="EW27" s="391"/>
      <c r="EX27" s="391"/>
      <c r="EY27" s="391"/>
      <c r="EZ27" s="391"/>
      <c r="FA27" s="391"/>
      <c r="FB27" s="391"/>
      <c r="FC27" s="391"/>
      <c r="FD27" s="391"/>
      <c r="FE27" s="391"/>
      <c r="FF27" s="391"/>
      <c r="FG27" s="391"/>
      <c r="FH27" s="391"/>
      <c r="FI27" s="391"/>
      <c r="FJ27" s="391"/>
      <c r="FK27" s="391"/>
      <c r="FL27" s="391"/>
      <c r="FM27" s="391"/>
      <c r="FN27" s="391"/>
      <c r="FO27" s="391"/>
      <c r="FP27" s="391"/>
      <c r="FQ27" s="391"/>
      <c r="FR27" s="391"/>
      <c r="FS27" s="391"/>
      <c r="FT27" s="391"/>
      <c r="FU27" s="391"/>
      <c r="FV27" s="391"/>
      <c r="FW27" s="391"/>
      <c r="FX27" s="391"/>
      <c r="FY27" s="391"/>
      <c r="FZ27" s="391"/>
      <c r="GA27" s="391"/>
      <c r="GB27" s="391"/>
      <c r="GC27" s="391"/>
      <c r="GD27" s="391"/>
      <c r="GE27" s="391"/>
      <c r="GF27" s="391"/>
      <c r="GG27" s="391"/>
      <c r="GH27" s="391"/>
      <c r="GI27" s="391"/>
      <c r="GJ27" s="391"/>
      <c r="GK27" s="391"/>
      <c r="GL27" s="391"/>
      <c r="GM27" s="391"/>
      <c r="GN27" s="391"/>
      <c r="GO27" s="391"/>
      <c r="GP27" s="391"/>
      <c r="GQ27" s="391"/>
      <c r="GR27" s="391"/>
      <c r="GS27" s="391"/>
      <c r="GT27" s="391"/>
      <c r="GU27" s="391"/>
      <c r="GV27" s="391"/>
      <c r="GW27" s="391"/>
      <c r="GX27" s="391"/>
      <c r="GY27" s="391"/>
      <c r="GZ27" s="391"/>
      <c r="HA27" s="391"/>
      <c r="HB27" s="391"/>
      <c r="HC27" s="391"/>
      <c r="HD27" s="391"/>
      <c r="HE27" s="391"/>
      <c r="HF27" s="391"/>
      <c r="HG27" s="391"/>
      <c r="HH27" s="391"/>
      <c r="HI27" s="391"/>
      <c r="HJ27" s="391"/>
      <c r="HK27" s="391"/>
      <c r="HL27" s="391"/>
      <c r="HM27" s="391"/>
      <c r="HN27" s="391"/>
      <c r="HO27" s="391"/>
      <c r="HP27" s="391"/>
      <c r="HQ27" s="391"/>
      <c r="HR27" s="391"/>
      <c r="HS27" s="391"/>
      <c r="HT27" s="391"/>
      <c r="HU27" s="391"/>
      <c r="HV27" s="391"/>
      <c r="HW27" s="391"/>
      <c r="HX27" s="391"/>
      <c r="HY27" s="391"/>
      <c r="HZ27" s="391"/>
      <c r="IA27" s="391"/>
      <c r="IB27" s="391"/>
      <c r="IC27" s="391"/>
      <c r="ID27" s="391"/>
      <c r="IE27" s="391"/>
      <c r="IF27" s="391"/>
      <c r="IG27" s="391"/>
      <c r="IH27" s="391"/>
      <c r="II27" s="391"/>
      <c r="IJ27" s="391"/>
      <c r="IK27" s="391"/>
      <c r="IL27" s="391"/>
      <c r="IM27" s="391"/>
      <c r="IN27" s="391"/>
      <c r="IO27" s="391"/>
      <c r="IP27" s="391"/>
      <c r="IQ27" s="391"/>
      <c r="IR27" s="391"/>
      <c r="IS27" s="391"/>
      <c r="IT27" s="391"/>
      <c r="IU27" s="391"/>
      <c r="IV27" s="391"/>
    </row>
    <row r="28" spans="1:256" s="193" customFormat="1" x14ac:dyDescent="0.25">
      <c r="A28" s="389" t="s">
        <v>22</v>
      </c>
      <c r="B28" s="390">
        <v>1</v>
      </c>
      <c r="C28" s="390">
        <v>1</v>
      </c>
      <c r="D28" s="193" t="s">
        <v>310</v>
      </c>
      <c r="E28" s="192" t="s">
        <v>322</v>
      </c>
      <c r="F28" s="212" t="s">
        <v>233</v>
      </c>
      <c r="G28" s="390">
        <v>1024</v>
      </c>
      <c r="H28" s="191" t="s">
        <v>29</v>
      </c>
      <c r="I28" s="212" t="s">
        <v>30</v>
      </c>
      <c r="J28" s="390"/>
      <c r="K28" s="212" t="s">
        <v>82</v>
      </c>
      <c r="L28" s="390">
        <v>1</v>
      </c>
      <c r="M28" s="192"/>
      <c r="N28" s="193" t="s">
        <v>329</v>
      </c>
      <c r="O28" s="192"/>
      <c r="P28" s="212"/>
      <c r="Q28" s="192"/>
      <c r="R28" s="391"/>
      <c r="S28" s="391"/>
      <c r="T28" s="391"/>
      <c r="U28" s="391"/>
      <c r="V28" s="391"/>
      <c r="W28" s="391"/>
      <c r="X28" s="391"/>
      <c r="Y28" s="391"/>
      <c r="Z28" s="391"/>
      <c r="AA28" s="391"/>
      <c r="AB28" s="391"/>
      <c r="AC28" s="391"/>
      <c r="AD28" s="391"/>
      <c r="AE28" s="391"/>
      <c r="AF28" s="391"/>
      <c r="AG28" s="391"/>
      <c r="AH28" s="391"/>
      <c r="AI28" s="391"/>
      <c r="AJ28" s="391"/>
      <c r="AK28" s="391"/>
      <c r="AL28" s="391"/>
      <c r="AM28" s="391"/>
      <c r="AN28" s="391"/>
      <c r="AO28" s="391"/>
      <c r="AP28" s="391"/>
      <c r="AQ28" s="391"/>
      <c r="AR28" s="391"/>
      <c r="AS28" s="391"/>
      <c r="AT28" s="391"/>
      <c r="AU28" s="391"/>
      <c r="AV28" s="391"/>
      <c r="AW28" s="391"/>
      <c r="AX28" s="391"/>
      <c r="AY28" s="391"/>
      <c r="AZ28" s="391"/>
      <c r="BA28" s="391"/>
      <c r="BB28" s="391"/>
      <c r="BC28" s="391"/>
      <c r="BD28" s="391"/>
      <c r="BE28" s="391"/>
      <c r="BF28" s="391"/>
      <c r="BG28" s="391"/>
      <c r="BH28" s="391"/>
      <c r="BI28" s="391"/>
      <c r="BJ28" s="391"/>
      <c r="BK28" s="391"/>
      <c r="BL28" s="391"/>
      <c r="BM28" s="391"/>
      <c r="BN28" s="391"/>
      <c r="BO28" s="391"/>
      <c r="BP28" s="391"/>
      <c r="BQ28" s="391"/>
      <c r="BR28" s="391"/>
      <c r="BS28" s="391"/>
      <c r="BT28" s="391"/>
      <c r="BU28" s="391"/>
      <c r="BV28" s="391"/>
      <c r="BW28" s="391"/>
      <c r="BX28" s="391"/>
      <c r="BY28" s="391"/>
      <c r="BZ28" s="391"/>
      <c r="CA28" s="391"/>
      <c r="CB28" s="391"/>
      <c r="CC28" s="391"/>
      <c r="CD28" s="391"/>
      <c r="CE28" s="391"/>
      <c r="CF28" s="391"/>
      <c r="CG28" s="391"/>
      <c r="CH28" s="391"/>
      <c r="CI28" s="391"/>
      <c r="CJ28" s="391"/>
      <c r="CK28" s="391"/>
      <c r="CL28" s="391"/>
      <c r="CM28" s="391"/>
      <c r="CN28" s="391"/>
      <c r="CO28" s="391"/>
      <c r="CP28" s="391"/>
      <c r="CQ28" s="391"/>
      <c r="CR28" s="391"/>
      <c r="CS28" s="391"/>
      <c r="CT28" s="391"/>
      <c r="CU28" s="391"/>
      <c r="CV28" s="391"/>
      <c r="CW28" s="391"/>
      <c r="CX28" s="391"/>
      <c r="CY28" s="391"/>
      <c r="CZ28" s="391"/>
      <c r="DA28" s="391"/>
      <c r="DB28" s="391"/>
      <c r="DC28" s="391"/>
      <c r="DD28" s="391"/>
      <c r="DE28" s="391"/>
      <c r="DF28" s="391"/>
      <c r="DG28" s="391"/>
      <c r="DH28" s="391"/>
      <c r="DI28" s="391"/>
      <c r="DJ28" s="391"/>
      <c r="DK28" s="391"/>
      <c r="DL28" s="391"/>
      <c r="DM28" s="391"/>
      <c r="DN28" s="391"/>
      <c r="DO28" s="391"/>
      <c r="DP28" s="391"/>
      <c r="DQ28" s="391"/>
      <c r="DR28" s="391"/>
      <c r="DS28" s="391"/>
      <c r="DT28" s="391"/>
      <c r="DU28" s="391"/>
      <c r="DV28" s="391"/>
      <c r="DW28" s="391"/>
      <c r="DX28" s="391"/>
      <c r="DY28" s="391"/>
      <c r="DZ28" s="391"/>
      <c r="EA28" s="391"/>
      <c r="EB28" s="391"/>
      <c r="EC28" s="391"/>
      <c r="ED28" s="391"/>
      <c r="EE28" s="391"/>
      <c r="EF28" s="391"/>
      <c r="EG28" s="391"/>
      <c r="EH28" s="391"/>
      <c r="EI28" s="391"/>
      <c r="EJ28" s="391"/>
      <c r="EK28" s="391"/>
      <c r="EL28" s="391"/>
      <c r="EM28" s="391"/>
      <c r="EN28" s="391"/>
      <c r="EO28" s="391"/>
      <c r="EP28" s="391"/>
      <c r="EQ28" s="391"/>
      <c r="ER28" s="391"/>
      <c r="ES28" s="391"/>
      <c r="ET28" s="391"/>
      <c r="EU28" s="391"/>
      <c r="EV28" s="391"/>
      <c r="EW28" s="391"/>
      <c r="EX28" s="391"/>
      <c r="EY28" s="391"/>
      <c r="EZ28" s="391"/>
      <c r="FA28" s="391"/>
      <c r="FB28" s="391"/>
      <c r="FC28" s="391"/>
      <c r="FD28" s="391"/>
      <c r="FE28" s="391"/>
      <c r="FF28" s="391"/>
      <c r="FG28" s="391"/>
      <c r="FH28" s="391"/>
      <c r="FI28" s="391"/>
      <c r="FJ28" s="391"/>
      <c r="FK28" s="391"/>
      <c r="FL28" s="391"/>
      <c r="FM28" s="391"/>
      <c r="FN28" s="391"/>
      <c r="FO28" s="391"/>
      <c r="FP28" s="391"/>
      <c r="FQ28" s="391"/>
      <c r="FR28" s="391"/>
      <c r="FS28" s="391"/>
      <c r="FT28" s="391"/>
      <c r="FU28" s="391"/>
      <c r="FV28" s="391"/>
      <c r="FW28" s="391"/>
      <c r="FX28" s="391"/>
      <c r="FY28" s="391"/>
      <c r="FZ28" s="391"/>
      <c r="GA28" s="391"/>
      <c r="GB28" s="391"/>
      <c r="GC28" s="391"/>
      <c r="GD28" s="391"/>
      <c r="GE28" s="391"/>
      <c r="GF28" s="391"/>
      <c r="GG28" s="391"/>
      <c r="GH28" s="391"/>
      <c r="GI28" s="391"/>
      <c r="GJ28" s="391"/>
      <c r="GK28" s="391"/>
      <c r="GL28" s="391"/>
      <c r="GM28" s="391"/>
      <c r="GN28" s="391"/>
      <c r="GO28" s="391"/>
      <c r="GP28" s="391"/>
      <c r="GQ28" s="391"/>
      <c r="GR28" s="391"/>
      <c r="GS28" s="391"/>
      <c r="GT28" s="391"/>
      <c r="GU28" s="391"/>
      <c r="GV28" s="391"/>
      <c r="GW28" s="391"/>
      <c r="GX28" s="391"/>
      <c r="GY28" s="391"/>
      <c r="GZ28" s="391"/>
      <c r="HA28" s="391"/>
      <c r="HB28" s="391"/>
      <c r="HC28" s="391"/>
      <c r="HD28" s="391"/>
      <c r="HE28" s="391"/>
      <c r="HF28" s="391"/>
      <c r="HG28" s="391"/>
      <c r="HH28" s="391"/>
      <c r="HI28" s="391"/>
      <c r="HJ28" s="391"/>
      <c r="HK28" s="391"/>
      <c r="HL28" s="391"/>
      <c r="HM28" s="391"/>
      <c r="HN28" s="391"/>
      <c r="HO28" s="391"/>
      <c r="HP28" s="391"/>
      <c r="HQ28" s="391"/>
      <c r="HR28" s="391"/>
      <c r="HS28" s="391"/>
      <c r="HT28" s="391"/>
      <c r="HU28" s="391"/>
      <c r="HV28" s="391"/>
      <c r="HW28" s="391"/>
      <c r="HX28" s="391"/>
      <c r="HY28" s="391"/>
      <c r="HZ28" s="391"/>
      <c r="IA28" s="391"/>
      <c r="IB28" s="391"/>
      <c r="IC28" s="391"/>
      <c r="ID28" s="391"/>
      <c r="IE28" s="391"/>
      <c r="IF28" s="391"/>
      <c r="IG28" s="391"/>
      <c r="IH28" s="391"/>
      <c r="II28" s="391"/>
      <c r="IJ28" s="391"/>
      <c r="IK28" s="391"/>
      <c r="IL28" s="391"/>
      <c r="IM28" s="391"/>
      <c r="IN28" s="391"/>
      <c r="IO28" s="391"/>
      <c r="IP28" s="391"/>
      <c r="IQ28" s="391"/>
      <c r="IR28" s="391"/>
      <c r="IS28" s="391"/>
      <c r="IT28" s="391"/>
      <c r="IU28" s="391"/>
      <c r="IV28" s="391"/>
    </row>
    <row r="29" spans="1:256" s="193" customFormat="1" x14ac:dyDescent="0.25">
      <c r="A29" s="389" t="s">
        <v>22</v>
      </c>
      <c r="B29" s="390">
        <v>1</v>
      </c>
      <c r="C29" s="390">
        <v>1</v>
      </c>
      <c r="D29" s="192" t="s">
        <v>311</v>
      </c>
      <c r="E29" s="192" t="s">
        <v>323</v>
      </c>
      <c r="F29" s="212" t="s">
        <v>233</v>
      </c>
      <c r="G29" s="390">
        <v>1024</v>
      </c>
      <c r="H29" s="191" t="s">
        <v>29</v>
      </c>
      <c r="I29" s="212" t="s">
        <v>30</v>
      </c>
      <c r="J29" s="390"/>
      <c r="K29" s="212" t="s">
        <v>82</v>
      </c>
      <c r="L29" s="390">
        <v>1</v>
      </c>
      <c r="M29" s="192"/>
      <c r="N29" s="192" t="s">
        <v>330</v>
      </c>
      <c r="O29" s="192"/>
      <c r="P29" s="212"/>
      <c r="Q29" s="192"/>
      <c r="R29" s="391"/>
      <c r="S29" s="391"/>
      <c r="T29" s="391"/>
      <c r="U29" s="391"/>
      <c r="V29" s="391"/>
      <c r="W29" s="391"/>
      <c r="X29" s="391"/>
      <c r="Y29" s="391"/>
      <c r="Z29" s="391"/>
      <c r="AA29" s="391"/>
      <c r="AB29" s="391"/>
      <c r="AC29" s="391"/>
      <c r="AD29" s="391"/>
      <c r="AE29" s="391"/>
      <c r="AF29" s="391"/>
      <c r="AG29" s="391"/>
      <c r="AH29" s="391"/>
      <c r="AI29" s="391"/>
      <c r="AJ29" s="391"/>
      <c r="AK29" s="391"/>
      <c r="AL29" s="391"/>
      <c r="AM29" s="391"/>
      <c r="AN29" s="391"/>
      <c r="AO29" s="391"/>
      <c r="AP29" s="391"/>
      <c r="AQ29" s="391"/>
      <c r="AR29" s="391"/>
      <c r="AS29" s="391"/>
      <c r="AT29" s="391"/>
      <c r="AU29" s="391"/>
      <c r="AV29" s="391"/>
      <c r="AW29" s="391"/>
      <c r="AX29" s="391"/>
      <c r="AY29" s="391"/>
      <c r="AZ29" s="391"/>
      <c r="BA29" s="391"/>
      <c r="BB29" s="391"/>
      <c r="BC29" s="391"/>
      <c r="BD29" s="391"/>
      <c r="BE29" s="391"/>
      <c r="BF29" s="391"/>
      <c r="BG29" s="391"/>
      <c r="BH29" s="391"/>
      <c r="BI29" s="391"/>
      <c r="BJ29" s="391"/>
      <c r="BK29" s="391"/>
      <c r="BL29" s="391"/>
      <c r="BM29" s="391"/>
      <c r="BN29" s="391"/>
      <c r="BO29" s="391"/>
      <c r="BP29" s="391"/>
      <c r="BQ29" s="391"/>
      <c r="BR29" s="391"/>
      <c r="BS29" s="391"/>
      <c r="BT29" s="391"/>
      <c r="BU29" s="391"/>
      <c r="BV29" s="391"/>
      <c r="BW29" s="391"/>
      <c r="BX29" s="391"/>
      <c r="BY29" s="391"/>
      <c r="BZ29" s="391"/>
      <c r="CA29" s="391"/>
      <c r="CB29" s="391"/>
      <c r="CC29" s="391"/>
      <c r="CD29" s="391"/>
      <c r="CE29" s="391"/>
      <c r="CF29" s="391"/>
      <c r="CG29" s="391"/>
      <c r="CH29" s="391"/>
      <c r="CI29" s="391"/>
      <c r="CJ29" s="391"/>
      <c r="CK29" s="391"/>
      <c r="CL29" s="391"/>
      <c r="CM29" s="391"/>
      <c r="CN29" s="391"/>
      <c r="CO29" s="391"/>
      <c r="CP29" s="391"/>
      <c r="CQ29" s="391"/>
      <c r="CR29" s="391"/>
      <c r="CS29" s="391"/>
      <c r="CT29" s="391"/>
      <c r="CU29" s="391"/>
      <c r="CV29" s="391"/>
      <c r="CW29" s="391"/>
      <c r="CX29" s="391"/>
      <c r="CY29" s="391"/>
      <c r="CZ29" s="391"/>
      <c r="DA29" s="391"/>
      <c r="DB29" s="391"/>
      <c r="DC29" s="391"/>
      <c r="DD29" s="391"/>
      <c r="DE29" s="391"/>
      <c r="DF29" s="391"/>
      <c r="DG29" s="391"/>
      <c r="DH29" s="391"/>
      <c r="DI29" s="391"/>
      <c r="DJ29" s="391"/>
      <c r="DK29" s="391"/>
      <c r="DL29" s="391"/>
      <c r="DM29" s="391"/>
      <c r="DN29" s="391"/>
      <c r="DO29" s="391"/>
      <c r="DP29" s="391"/>
      <c r="DQ29" s="391"/>
      <c r="DR29" s="391"/>
      <c r="DS29" s="391"/>
      <c r="DT29" s="391"/>
      <c r="DU29" s="391"/>
      <c r="DV29" s="391"/>
      <c r="DW29" s="391"/>
      <c r="DX29" s="391"/>
      <c r="DY29" s="391"/>
      <c r="DZ29" s="391"/>
      <c r="EA29" s="391"/>
      <c r="EB29" s="391"/>
      <c r="EC29" s="391"/>
      <c r="ED29" s="391"/>
      <c r="EE29" s="391"/>
      <c r="EF29" s="391"/>
      <c r="EG29" s="391"/>
      <c r="EH29" s="391"/>
      <c r="EI29" s="391"/>
      <c r="EJ29" s="391"/>
      <c r="EK29" s="391"/>
      <c r="EL29" s="391"/>
      <c r="EM29" s="391"/>
      <c r="EN29" s="391"/>
      <c r="EO29" s="391"/>
      <c r="EP29" s="391"/>
      <c r="EQ29" s="391"/>
      <c r="ER29" s="391"/>
      <c r="ES29" s="391"/>
      <c r="ET29" s="391"/>
      <c r="EU29" s="391"/>
      <c r="EV29" s="391"/>
      <c r="EW29" s="391"/>
      <c r="EX29" s="391"/>
      <c r="EY29" s="391"/>
      <c r="EZ29" s="391"/>
      <c r="FA29" s="391"/>
      <c r="FB29" s="391"/>
      <c r="FC29" s="391"/>
      <c r="FD29" s="391"/>
      <c r="FE29" s="391"/>
      <c r="FF29" s="391"/>
      <c r="FG29" s="391"/>
      <c r="FH29" s="391"/>
      <c r="FI29" s="391"/>
      <c r="FJ29" s="391"/>
      <c r="FK29" s="391"/>
      <c r="FL29" s="391"/>
      <c r="FM29" s="391"/>
      <c r="FN29" s="391"/>
      <c r="FO29" s="391"/>
      <c r="FP29" s="391"/>
      <c r="FQ29" s="391"/>
      <c r="FR29" s="391"/>
      <c r="FS29" s="391"/>
      <c r="FT29" s="391"/>
      <c r="FU29" s="391"/>
      <c r="FV29" s="391"/>
      <c r="FW29" s="391"/>
      <c r="FX29" s="391"/>
      <c r="FY29" s="391"/>
      <c r="FZ29" s="391"/>
      <c r="GA29" s="391"/>
      <c r="GB29" s="391"/>
      <c r="GC29" s="391"/>
      <c r="GD29" s="391"/>
      <c r="GE29" s="391"/>
      <c r="GF29" s="391"/>
      <c r="GG29" s="391"/>
      <c r="GH29" s="391"/>
      <c r="GI29" s="391"/>
      <c r="GJ29" s="391"/>
      <c r="GK29" s="391"/>
      <c r="GL29" s="391"/>
      <c r="GM29" s="391"/>
      <c r="GN29" s="391"/>
      <c r="GO29" s="391"/>
      <c r="GP29" s="391"/>
      <c r="GQ29" s="391"/>
      <c r="GR29" s="391"/>
      <c r="GS29" s="391"/>
      <c r="GT29" s="391"/>
      <c r="GU29" s="391"/>
      <c r="GV29" s="391"/>
      <c r="GW29" s="391"/>
      <c r="GX29" s="391"/>
      <c r="GY29" s="391"/>
      <c r="GZ29" s="391"/>
      <c r="HA29" s="391"/>
      <c r="HB29" s="391"/>
      <c r="HC29" s="391"/>
      <c r="HD29" s="391"/>
      <c r="HE29" s="391"/>
      <c r="HF29" s="391"/>
      <c r="HG29" s="391"/>
      <c r="HH29" s="391"/>
      <c r="HI29" s="391"/>
      <c r="HJ29" s="391"/>
      <c r="HK29" s="391"/>
      <c r="HL29" s="391"/>
      <c r="HM29" s="391"/>
      <c r="HN29" s="391"/>
      <c r="HO29" s="391"/>
      <c r="HP29" s="391"/>
      <c r="HQ29" s="391"/>
      <c r="HR29" s="391"/>
      <c r="HS29" s="391"/>
      <c r="HT29" s="391"/>
      <c r="HU29" s="391"/>
      <c r="HV29" s="391"/>
      <c r="HW29" s="391"/>
      <c r="HX29" s="391"/>
      <c r="HY29" s="391"/>
      <c r="HZ29" s="391"/>
      <c r="IA29" s="391"/>
      <c r="IB29" s="391"/>
      <c r="IC29" s="391"/>
      <c r="ID29" s="391"/>
      <c r="IE29" s="391"/>
      <c r="IF29" s="391"/>
      <c r="IG29" s="391"/>
      <c r="IH29" s="391"/>
      <c r="II29" s="391"/>
      <c r="IJ29" s="391"/>
      <c r="IK29" s="391"/>
      <c r="IL29" s="391"/>
      <c r="IM29" s="391"/>
      <c r="IN29" s="391"/>
      <c r="IO29" s="391"/>
      <c r="IP29" s="391"/>
      <c r="IQ29" s="391"/>
      <c r="IR29" s="391"/>
      <c r="IS29" s="391"/>
      <c r="IT29" s="391"/>
      <c r="IU29" s="391"/>
      <c r="IV29" s="391"/>
    </row>
    <row r="30" spans="1:256" s="193" customFormat="1" x14ac:dyDescent="0.25">
      <c r="A30" s="389" t="s">
        <v>22</v>
      </c>
      <c r="B30" s="390">
        <v>1</v>
      </c>
      <c r="C30" s="390">
        <v>1</v>
      </c>
      <c r="D30" s="192" t="s">
        <v>312</v>
      </c>
      <c r="E30" s="192" t="s">
        <v>324</v>
      </c>
      <c r="F30" s="212" t="s">
        <v>233</v>
      </c>
      <c r="G30" s="390">
        <v>1024</v>
      </c>
      <c r="H30" s="191" t="s">
        <v>29</v>
      </c>
      <c r="I30" s="212" t="s">
        <v>30</v>
      </c>
      <c r="J30" s="390"/>
      <c r="K30" s="212" t="s">
        <v>82</v>
      </c>
      <c r="L30" s="390">
        <v>1</v>
      </c>
      <c r="M30" s="192"/>
      <c r="N30" s="192" t="s">
        <v>332</v>
      </c>
      <c r="O30" s="192"/>
      <c r="P30" s="212"/>
      <c r="Q30" s="192"/>
      <c r="R30" s="391"/>
      <c r="S30" s="391"/>
      <c r="T30" s="391"/>
      <c r="U30" s="391"/>
      <c r="V30" s="391"/>
      <c r="W30" s="391"/>
      <c r="X30" s="391"/>
      <c r="Y30" s="391"/>
      <c r="Z30" s="391"/>
      <c r="AA30" s="391"/>
      <c r="AB30" s="391"/>
      <c r="AC30" s="391"/>
      <c r="AD30" s="391"/>
      <c r="AE30" s="391"/>
      <c r="AF30" s="391"/>
      <c r="AG30" s="391"/>
      <c r="AH30" s="391"/>
      <c r="AI30" s="391"/>
      <c r="AJ30" s="391"/>
      <c r="AK30" s="391"/>
      <c r="AL30" s="391"/>
      <c r="AM30" s="391"/>
      <c r="AN30" s="391"/>
      <c r="AO30" s="391"/>
      <c r="AP30" s="391"/>
      <c r="AQ30" s="391"/>
      <c r="AR30" s="391"/>
      <c r="AS30" s="391"/>
      <c r="AT30" s="391"/>
      <c r="AU30" s="391"/>
      <c r="AV30" s="391"/>
      <c r="AW30" s="391"/>
      <c r="AX30" s="391"/>
      <c r="AY30" s="391"/>
      <c r="AZ30" s="391"/>
      <c r="BA30" s="391"/>
      <c r="BB30" s="391"/>
      <c r="BC30" s="391"/>
      <c r="BD30" s="391"/>
      <c r="BE30" s="391"/>
      <c r="BF30" s="391"/>
      <c r="BG30" s="391"/>
      <c r="BH30" s="391"/>
      <c r="BI30" s="391"/>
      <c r="BJ30" s="391"/>
      <c r="BK30" s="391"/>
      <c r="BL30" s="391"/>
      <c r="BM30" s="391"/>
      <c r="BN30" s="391"/>
      <c r="BO30" s="391"/>
      <c r="BP30" s="391"/>
      <c r="BQ30" s="391"/>
      <c r="BR30" s="391"/>
      <c r="BS30" s="391"/>
      <c r="BT30" s="391"/>
      <c r="BU30" s="391"/>
      <c r="BV30" s="391"/>
      <c r="BW30" s="391"/>
      <c r="BX30" s="391"/>
      <c r="BY30" s="391"/>
      <c r="BZ30" s="391"/>
      <c r="CA30" s="391"/>
      <c r="CB30" s="391"/>
      <c r="CC30" s="391"/>
      <c r="CD30" s="391"/>
      <c r="CE30" s="391"/>
      <c r="CF30" s="391"/>
      <c r="CG30" s="391"/>
      <c r="CH30" s="391"/>
      <c r="CI30" s="391"/>
      <c r="CJ30" s="391"/>
      <c r="CK30" s="391"/>
      <c r="CL30" s="391"/>
      <c r="CM30" s="391"/>
      <c r="CN30" s="391"/>
      <c r="CO30" s="391"/>
      <c r="CP30" s="391"/>
      <c r="CQ30" s="391"/>
      <c r="CR30" s="391"/>
      <c r="CS30" s="391"/>
      <c r="CT30" s="391"/>
      <c r="CU30" s="391"/>
      <c r="CV30" s="391"/>
      <c r="CW30" s="391"/>
      <c r="CX30" s="391"/>
      <c r="CY30" s="391"/>
      <c r="CZ30" s="391"/>
      <c r="DA30" s="391"/>
      <c r="DB30" s="391"/>
      <c r="DC30" s="391"/>
      <c r="DD30" s="391"/>
      <c r="DE30" s="391"/>
      <c r="DF30" s="391"/>
      <c r="DG30" s="391"/>
      <c r="DH30" s="391"/>
      <c r="DI30" s="391"/>
      <c r="DJ30" s="391"/>
      <c r="DK30" s="391"/>
      <c r="DL30" s="391"/>
      <c r="DM30" s="391"/>
      <c r="DN30" s="391"/>
      <c r="DO30" s="391"/>
      <c r="DP30" s="391"/>
      <c r="DQ30" s="391"/>
      <c r="DR30" s="391"/>
      <c r="DS30" s="391"/>
      <c r="DT30" s="391"/>
      <c r="DU30" s="391"/>
      <c r="DV30" s="391"/>
      <c r="DW30" s="391"/>
      <c r="DX30" s="391"/>
      <c r="DY30" s="391"/>
      <c r="DZ30" s="391"/>
      <c r="EA30" s="391"/>
      <c r="EB30" s="391"/>
      <c r="EC30" s="391"/>
      <c r="ED30" s="391"/>
      <c r="EE30" s="391"/>
      <c r="EF30" s="391"/>
      <c r="EG30" s="391"/>
      <c r="EH30" s="391"/>
      <c r="EI30" s="391"/>
      <c r="EJ30" s="391"/>
      <c r="EK30" s="391"/>
      <c r="EL30" s="391"/>
      <c r="EM30" s="391"/>
      <c r="EN30" s="391"/>
      <c r="EO30" s="391"/>
      <c r="EP30" s="391"/>
      <c r="EQ30" s="391"/>
      <c r="ER30" s="391"/>
      <c r="ES30" s="391"/>
      <c r="ET30" s="391"/>
      <c r="EU30" s="391"/>
      <c r="EV30" s="391"/>
      <c r="EW30" s="391"/>
      <c r="EX30" s="391"/>
      <c r="EY30" s="391"/>
      <c r="EZ30" s="391"/>
      <c r="FA30" s="391"/>
      <c r="FB30" s="391"/>
      <c r="FC30" s="391"/>
      <c r="FD30" s="391"/>
      <c r="FE30" s="391"/>
      <c r="FF30" s="391"/>
      <c r="FG30" s="391"/>
      <c r="FH30" s="391"/>
      <c r="FI30" s="391"/>
      <c r="FJ30" s="391"/>
      <c r="FK30" s="391"/>
      <c r="FL30" s="391"/>
      <c r="FM30" s="391"/>
      <c r="FN30" s="391"/>
      <c r="FO30" s="391"/>
      <c r="FP30" s="391"/>
      <c r="FQ30" s="391"/>
      <c r="FR30" s="391"/>
      <c r="FS30" s="391"/>
      <c r="FT30" s="391"/>
      <c r="FU30" s="391"/>
      <c r="FV30" s="391"/>
      <c r="FW30" s="391"/>
      <c r="FX30" s="391"/>
      <c r="FY30" s="391"/>
      <c r="FZ30" s="391"/>
      <c r="GA30" s="391"/>
      <c r="GB30" s="391"/>
      <c r="GC30" s="391"/>
      <c r="GD30" s="391"/>
      <c r="GE30" s="391"/>
      <c r="GF30" s="391"/>
      <c r="GG30" s="391"/>
      <c r="GH30" s="391"/>
      <c r="GI30" s="391"/>
      <c r="GJ30" s="391"/>
      <c r="GK30" s="391"/>
      <c r="GL30" s="391"/>
      <c r="GM30" s="391"/>
      <c r="GN30" s="391"/>
      <c r="GO30" s="391"/>
      <c r="GP30" s="391"/>
      <c r="GQ30" s="391"/>
      <c r="GR30" s="391"/>
      <c r="GS30" s="391"/>
      <c r="GT30" s="391"/>
      <c r="GU30" s="391"/>
      <c r="GV30" s="391"/>
      <c r="GW30" s="391"/>
      <c r="GX30" s="391"/>
      <c r="GY30" s="391"/>
      <c r="GZ30" s="391"/>
      <c r="HA30" s="391"/>
      <c r="HB30" s="391"/>
      <c r="HC30" s="391"/>
      <c r="HD30" s="391"/>
      <c r="HE30" s="391"/>
      <c r="HF30" s="391"/>
      <c r="HG30" s="391"/>
      <c r="HH30" s="391"/>
      <c r="HI30" s="391"/>
      <c r="HJ30" s="391"/>
      <c r="HK30" s="391"/>
      <c r="HL30" s="391"/>
      <c r="HM30" s="391"/>
      <c r="HN30" s="391"/>
      <c r="HO30" s="391"/>
      <c r="HP30" s="391"/>
      <c r="HQ30" s="391"/>
      <c r="HR30" s="391"/>
      <c r="HS30" s="391"/>
      <c r="HT30" s="391"/>
      <c r="HU30" s="391"/>
      <c r="HV30" s="391"/>
      <c r="HW30" s="391"/>
      <c r="HX30" s="391"/>
      <c r="HY30" s="391"/>
      <c r="HZ30" s="391"/>
      <c r="IA30" s="391"/>
      <c r="IB30" s="391"/>
      <c r="IC30" s="391"/>
      <c r="ID30" s="391"/>
      <c r="IE30" s="391"/>
      <c r="IF30" s="391"/>
      <c r="IG30" s="391"/>
      <c r="IH30" s="391"/>
      <c r="II30" s="391"/>
      <c r="IJ30" s="391"/>
      <c r="IK30" s="391"/>
      <c r="IL30" s="391"/>
      <c r="IM30" s="391"/>
      <c r="IN30" s="391"/>
      <c r="IO30" s="391"/>
      <c r="IP30" s="391"/>
      <c r="IQ30" s="391"/>
      <c r="IR30" s="391"/>
      <c r="IS30" s="391"/>
      <c r="IT30" s="391"/>
      <c r="IU30" s="391"/>
      <c r="IV30" s="391"/>
    </row>
    <row r="31" spans="1:256" s="193" customFormat="1" x14ac:dyDescent="0.25">
      <c r="A31" s="389" t="s">
        <v>22</v>
      </c>
      <c r="B31" s="390">
        <v>1</v>
      </c>
      <c r="C31" s="390">
        <v>1</v>
      </c>
      <c r="D31" s="193" t="s">
        <v>471</v>
      </c>
      <c r="E31" s="192" t="s">
        <v>325</v>
      </c>
      <c r="F31" s="212" t="s">
        <v>233</v>
      </c>
      <c r="G31" s="390">
        <v>1024</v>
      </c>
      <c r="H31" s="191" t="s">
        <v>29</v>
      </c>
      <c r="I31" s="212" t="s">
        <v>30</v>
      </c>
      <c r="J31" s="390"/>
      <c r="K31" s="212" t="s">
        <v>18</v>
      </c>
      <c r="L31" s="390">
        <v>0</v>
      </c>
      <c r="M31" s="192"/>
      <c r="N31" s="192" t="s">
        <v>477</v>
      </c>
      <c r="O31" s="192"/>
      <c r="P31" s="212"/>
      <c r="Q31" s="192"/>
      <c r="R31" s="391"/>
      <c r="S31" s="391"/>
      <c r="T31" s="391"/>
      <c r="U31" s="391"/>
      <c r="V31" s="391"/>
      <c r="W31" s="391"/>
      <c r="X31" s="391"/>
      <c r="Y31" s="391"/>
      <c r="Z31" s="391"/>
      <c r="AA31" s="391"/>
      <c r="AB31" s="391"/>
      <c r="AC31" s="391"/>
      <c r="AD31" s="391"/>
      <c r="AE31" s="391"/>
      <c r="AF31" s="391"/>
      <c r="AG31" s="391"/>
      <c r="AH31" s="391"/>
      <c r="AI31" s="391"/>
      <c r="AJ31" s="391"/>
      <c r="AK31" s="391"/>
      <c r="AL31" s="391"/>
      <c r="AM31" s="391"/>
      <c r="AN31" s="391"/>
      <c r="AO31" s="391"/>
      <c r="AP31" s="391"/>
      <c r="AQ31" s="391"/>
      <c r="AR31" s="391"/>
      <c r="AS31" s="391"/>
      <c r="AT31" s="391"/>
      <c r="AU31" s="391"/>
      <c r="AV31" s="391"/>
      <c r="AW31" s="391"/>
      <c r="AX31" s="391"/>
      <c r="AY31" s="391"/>
      <c r="AZ31" s="391"/>
      <c r="BA31" s="391"/>
      <c r="BB31" s="391"/>
      <c r="BC31" s="391"/>
      <c r="BD31" s="391"/>
      <c r="BE31" s="391"/>
      <c r="BF31" s="391"/>
      <c r="BG31" s="391"/>
      <c r="BH31" s="391"/>
      <c r="BI31" s="391"/>
      <c r="BJ31" s="391"/>
      <c r="BK31" s="391"/>
      <c r="BL31" s="391"/>
      <c r="BM31" s="391"/>
      <c r="BN31" s="391"/>
      <c r="BO31" s="391"/>
      <c r="BP31" s="391"/>
      <c r="BQ31" s="391"/>
      <c r="BR31" s="391"/>
      <c r="BS31" s="391"/>
      <c r="BT31" s="391"/>
      <c r="BU31" s="391"/>
      <c r="BV31" s="391"/>
      <c r="BW31" s="391"/>
      <c r="BX31" s="391"/>
      <c r="BY31" s="391"/>
      <c r="BZ31" s="391"/>
      <c r="CA31" s="391"/>
      <c r="CB31" s="391"/>
      <c r="CC31" s="391"/>
      <c r="CD31" s="391"/>
      <c r="CE31" s="391"/>
      <c r="CF31" s="391"/>
      <c r="CG31" s="391"/>
      <c r="CH31" s="391"/>
      <c r="CI31" s="391"/>
      <c r="CJ31" s="391"/>
      <c r="CK31" s="391"/>
      <c r="CL31" s="391"/>
      <c r="CM31" s="391"/>
      <c r="CN31" s="391"/>
      <c r="CO31" s="391"/>
      <c r="CP31" s="391"/>
      <c r="CQ31" s="391"/>
      <c r="CR31" s="391"/>
      <c r="CS31" s="391"/>
      <c r="CT31" s="391"/>
      <c r="CU31" s="391"/>
      <c r="CV31" s="391"/>
      <c r="CW31" s="391"/>
      <c r="CX31" s="391"/>
      <c r="CY31" s="391"/>
      <c r="CZ31" s="391"/>
      <c r="DA31" s="391"/>
      <c r="DB31" s="391"/>
      <c r="DC31" s="391"/>
      <c r="DD31" s="391"/>
      <c r="DE31" s="391"/>
      <c r="DF31" s="391"/>
      <c r="DG31" s="391"/>
      <c r="DH31" s="391"/>
      <c r="DI31" s="391"/>
      <c r="DJ31" s="391"/>
      <c r="DK31" s="391"/>
      <c r="DL31" s="391"/>
      <c r="DM31" s="391"/>
      <c r="DN31" s="391"/>
      <c r="DO31" s="391"/>
      <c r="DP31" s="391"/>
      <c r="DQ31" s="391"/>
      <c r="DR31" s="391"/>
      <c r="DS31" s="391"/>
      <c r="DT31" s="391"/>
      <c r="DU31" s="391"/>
      <c r="DV31" s="391"/>
      <c r="DW31" s="391"/>
      <c r="DX31" s="391"/>
      <c r="DY31" s="391"/>
      <c r="DZ31" s="391"/>
      <c r="EA31" s="391"/>
      <c r="EB31" s="391"/>
      <c r="EC31" s="391"/>
      <c r="ED31" s="391"/>
      <c r="EE31" s="391"/>
      <c r="EF31" s="391"/>
      <c r="EG31" s="391"/>
      <c r="EH31" s="391"/>
      <c r="EI31" s="391"/>
      <c r="EJ31" s="391"/>
      <c r="EK31" s="391"/>
      <c r="EL31" s="391"/>
      <c r="EM31" s="391"/>
      <c r="EN31" s="391"/>
      <c r="EO31" s="391"/>
      <c r="EP31" s="391"/>
      <c r="EQ31" s="391"/>
      <c r="ER31" s="391"/>
      <c r="ES31" s="391"/>
      <c r="ET31" s="391"/>
      <c r="EU31" s="391"/>
      <c r="EV31" s="391"/>
      <c r="EW31" s="391"/>
      <c r="EX31" s="391"/>
      <c r="EY31" s="391"/>
      <c r="EZ31" s="391"/>
      <c r="FA31" s="391"/>
      <c r="FB31" s="391"/>
      <c r="FC31" s="391"/>
      <c r="FD31" s="391"/>
      <c r="FE31" s="391"/>
      <c r="FF31" s="391"/>
      <c r="FG31" s="391"/>
      <c r="FH31" s="391"/>
      <c r="FI31" s="391"/>
      <c r="FJ31" s="391"/>
      <c r="FK31" s="391"/>
      <c r="FL31" s="391"/>
      <c r="FM31" s="391"/>
      <c r="FN31" s="391"/>
      <c r="FO31" s="391"/>
      <c r="FP31" s="391"/>
      <c r="FQ31" s="391"/>
      <c r="FR31" s="391"/>
      <c r="FS31" s="391"/>
      <c r="FT31" s="391"/>
      <c r="FU31" s="391"/>
      <c r="FV31" s="391"/>
      <c r="FW31" s="391"/>
      <c r="FX31" s="391"/>
      <c r="FY31" s="391"/>
      <c r="FZ31" s="391"/>
      <c r="GA31" s="391"/>
      <c r="GB31" s="391"/>
      <c r="GC31" s="391"/>
      <c r="GD31" s="391"/>
      <c r="GE31" s="391"/>
      <c r="GF31" s="391"/>
      <c r="GG31" s="391"/>
      <c r="GH31" s="391"/>
      <c r="GI31" s="391"/>
      <c r="GJ31" s="391"/>
      <c r="GK31" s="391"/>
      <c r="GL31" s="391"/>
      <c r="GM31" s="391"/>
      <c r="GN31" s="391"/>
      <c r="GO31" s="391"/>
      <c r="GP31" s="391"/>
      <c r="GQ31" s="391"/>
      <c r="GR31" s="391"/>
      <c r="GS31" s="391"/>
      <c r="GT31" s="391"/>
      <c r="GU31" s="391"/>
      <c r="GV31" s="391"/>
      <c r="GW31" s="391"/>
      <c r="GX31" s="391"/>
      <c r="GY31" s="391"/>
      <c r="GZ31" s="391"/>
      <c r="HA31" s="391"/>
      <c r="HB31" s="391"/>
      <c r="HC31" s="391"/>
      <c r="HD31" s="391"/>
      <c r="HE31" s="391"/>
      <c r="HF31" s="391"/>
      <c r="HG31" s="391"/>
      <c r="HH31" s="391"/>
      <c r="HI31" s="391"/>
      <c r="HJ31" s="391"/>
      <c r="HK31" s="391"/>
      <c r="HL31" s="391"/>
      <c r="HM31" s="391"/>
      <c r="HN31" s="391"/>
      <c r="HO31" s="391"/>
      <c r="HP31" s="391"/>
      <c r="HQ31" s="391"/>
      <c r="HR31" s="391"/>
      <c r="HS31" s="391"/>
      <c r="HT31" s="391"/>
      <c r="HU31" s="391"/>
      <c r="HV31" s="391"/>
      <c r="HW31" s="391"/>
      <c r="HX31" s="391"/>
      <c r="HY31" s="391"/>
      <c r="HZ31" s="391"/>
      <c r="IA31" s="391"/>
      <c r="IB31" s="391"/>
      <c r="IC31" s="391"/>
      <c r="ID31" s="391"/>
      <c r="IE31" s="391"/>
      <c r="IF31" s="391"/>
      <c r="IG31" s="391"/>
      <c r="IH31" s="391"/>
      <c r="II31" s="391"/>
      <c r="IJ31" s="391"/>
      <c r="IK31" s="391"/>
      <c r="IL31" s="391"/>
      <c r="IM31" s="391"/>
      <c r="IN31" s="391"/>
      <c r="IO31" s="391"/>
      <c r="IP31" s="391"/>
      <c r="IQ31" s="391"/>
      <c r="IR31" s="391"/>
      <c r="IS31" s="391"/>
      <c r="IT31" s="391"/>
      <c r="IU31" s="391"/>
      <c r="IV31" s="391"/>
    </row>
    <row r="32" spans="1:256" s="516" customFormat="1" x14ac:dyDescent="0.25">
      <c r="A32" s="295" t="s">
        <v>22</v>
      </c>
      <c r="B32" s="292">
        <v>1</v>
      </c>
      <c r="C32" s="292">
        <v>1</v>
      </c>
      <c r="D32" s="516" t="s">
        <v>818</v>
      </c>
      <c r="E32" s="515" t="s">
        <v>819</v>
      </c>
      <c r="F32" s="513" t="s">
        <v>233</v>
      </c>
      <c r="G32" s="292">
        <v>1024</v>
      </c>
      <c r="H32" s="514" t="s">
        <v>29</v>
      </c>
      <c r="I32" s="513" t="s">
        <v>30</v>
      </c>
      <c r="J32" s="292"/>
      <c r="K32" s="513" t="s">
        <v>18</v>
      </c>
      <c r="L32" s="292">
        <v>0</v>
      </c>
      <c r="M32" s="515"/>
      <c r="N32" s="516" t="s">
        <v>820</v>
      </c>
      <c r="O32" s="515"/>
      <c r="P32" s="513"/>
      <c r="Q32" s="515"/>
      <c r="R32" s="297"/>
      <c r="S32" s="297"/>
      <c r="T32" s="297"/>
      <c r="U32" s="297"/>
      <c r="V32" s="297"/>
      <c r="W32" s="297"/>
      <c r="X32" s="297"/>
      <c r="Y32" s="297"/>
      <c r="Z32" s="297"/>
      <c r="AA32" s="297"/>
      <c r="AB32" s="297"/>
      <c r="AC32" s="297"/>
      <c r="AD32" s="297"/>
      <c r="AE32" s="297"/>
      <c r="AF32" s="297"/>
      <c r="AG32" s="297"/>
      <c r="AH32" s="297"/>
      <c r="AI32" s="297"/>
      <c r="AJ32" s="297"/>
      <c r="AK32" s="297"/>
      <c r="AL32" s="297"/>
      <c r="AM32" s="297"/>
      <c r="AN32" s="297"/>
      <c r="AO32" s="297"/>
      <c r="AP32" s="297"/>
      <c r="AQ32" s="297"/>
      <c r="AR32" s="297"/>
      <c r="AS32" s="297"/>
      <c r="AT32" s="297"/>
      <c r="AU32" s="297"/>
      <c r="AV32" s="297"/>
      <c r="AW32" s="297"/>
      <c r="AX32" s="297"/>
      <c r="AY32" s="297"/>
      <c r="AZ32" s="297"/>
      <c r="BA32" s="297"/>
      <c r="BB32" s="297"/>
      <c r="BC32" s="297"/>
      <c r="BD32" s="297"/>
      <c r="BE32" s="297"/>
      <c r="BF32" s="297"/>
      <c r="BG32" s="297"/>
      <c r="BH32" s="297"/>
      <c r="BI32" s="297"/>
      <c r="BJ32" s="297"/>
      <c r="BK32" s="297"/>
      <c r="BL32" s="297"/>
      <c r="BM32" s="297"/>
      <c r="BN32" s="297"/>
      <c r="BO32" s="297"/>
      <c r="BP32" s="297"/>
      <c r="BQ32" s="297"/>
      <c r="BR32" s="297"/>
      <c r="BS32" s="297"/>
      <c r="BT32" s="297"/>
      <c r="BU32" s="297"/>
      <c r="BV32" s="297"/>
      <c r="BW32" s="297"/>
      <c r="BX32" s="297"/>
      <c r="BY32" s="297"/>
      <c r="BZ32" s="297"/>
      <c r="CA32" s="297"/>
      <c r="CB32" s="297"/>
      <c r="CC32" s="297"/>
      <c r="CD32" s="297"/>
      <c r="CE32" s="297"/>
      <c r="CF32" s="297"/>
      <c r="CG32" s="297"/>
      <c r="CH32" s="297"/>
      <c r="CI32" s="297"/>
      <c r="CJ32" s="297"/>
      <c r="CK32" s="297"/>
      <c r="CL32" s="297"/>
      <c r="CM32" s="297"/>
      <c r="CN32" s="297"/>
      <c r="CO32" s="297"/>
      <c r="CP32" s="297"/>
      <c r="CQ32" s="297"/>
      <c r="CR32" s="297"/>
      <c r="CS32" s="297"/>
      <c r="CT32" s="297"/>
      <c r="CU32" s="297"/>
      <c r="CV32" s="297"/>
      <c r="CW32" s="297"/>
      <c r="CX32" s="297"/>
      <c r="CY32" s="297"/>
      <c r="CZ32" s="297"/>
      <c r="DA32" s="297"/>
      <c r="DB32" s="297"/>
      <c r="DC32" s="297"/>
      <c r="DD32" s="297"/>
      <c r="DE32" s="297"/>
      <c r="DF32" s="297"/>
      <c r="DG32" s="297"/>
      <c r="DH32" s="297"/>
      <c r="DI32" s="297"/>
      <c r="DJ32" s="297"/>
      <c r="DK32" s="297"/>
      <c r="DL32" s="297"/>
      <c r="DM32" s="297"/>
      <c r="DN32" s="297"/>
      <c r="DO32" s="297"/>
      <c r="DP32" s="297"/>
      <c r="DQ32" s="297"/>
      <c r="DR32" s="297"/>
      <c r="DS32" s="297"/>
      <c r="DT32" s="297"/>
      <c r="DU32" s="297"/>
      <c r="DV32" s="297"/>
      <c r="DW32" s="297"/>
      <c r="DX32" s="297"/>
      <c r="DY32" s="297"/>
      <c r="DZ32" s="297"/>
      <c r="EA32" s="297"/>
      <c r="EB32" s="297"/>
      <c r="EC32" s="297"/>
      <c r="ED32" s="297"/>
      <c r="EE32" s="297"/>
      <c r="EF32" s="297"/>
      <c r="EG32" s="297"/>
      <c r="EH32" s="297"/>
      <c r="EI32" s="297"/>
      <c r="EJ32" s="297"/>
      <c r="EK32" s="297"/>
      <c r="EL32" s="297"/>
      <c r="EM32" s="297"/>
      <c r="EN32" s="297"/>
      <c r="EO32" s="297"/>
      <c r="EP32" s="297"/>
      <c r="EQ32" s="297"/>
      <c r="ER32" s="297"/>
      <c r="ES32" s="297"/>
      <c r="ET32" s="297"/>
      <c r="EU32" s="297"/>
      <c r="EV32" s="297"/>
      <c r="EW32" s="297"/>
      <c r="EX32" s="297"/>
      <c r="EY32" s="297"/>
      <c r="EZ32" s="297"/>
      <c r="FA32" s="297"/>
      <c r="FB32" s="297"/>
      <c r="FC32" s="297"/>
      <c r="FD32" s="297"/>
      <c r="FE32" s="297"/>
      <c r="FF32" s="297"/>
      <c r="FG32" s="297"/>
      <c r="FH32" s="297"/>
      <c r="FI32" s="297"/>
      <c r="FJ32" s="297"/>
      <c r="FK32" s="297"/>
      <c r="FL32" s="297"/>
      <c r="FM32" s="297"/>
      <c r="FN32" s="297"/>
      <c r="FO32" s="297"/>
      <c r="FP32" s="297"/>
      <c r="FQ32" s="297"/>
      <c r="FR32" s="297"/>
      <c r="FS32" s="297"/>
      <c r="FT32" s="297"/>
      <c r="FU32" s="297"/>
      <c r="FV32" s="297"/>
      <c r="FW32" s="297"/>
      <c r="FX32" s="297"/>
      <c r="FY32" s="297"/>
      <c r="FZ32" s="297"/>
      <c r="GA32" s="297"/>
      <c r="GB32" s="297"/>
      <c r="GC32" s="297"/>
      <c r="GD32" s="297"/>
      <c r="GE32" s="297"/>
      <c r="GF32" s="297"/>
      <c r="GG32" s="297"/>
      <c r="GH32" s="297"/>
      <c r="GI32" s="297"/>
      <c r="GJ32" s="297"/>
      <c r="GK32" s="297"/>
      <c r="GL32" s="297"/>
      <c r="GM32" s="297"/>
      <c r="GN32" s="297"/>
      <c r="GO32" s="297"/>
      <c r="GP32" s="297"/>
      <c r="GQ32" s="297"/>
      <c r="GR32" s="297"/>
      <c r="GS32" s="297"/>
      <c r="GT32" s="297"/>
      <c r="GU32" s="297"/>
      <c r="GV32" s="297"/>
      <c r="GW32" s="297"/>
      <c r="GX32" s="297"/>
      <c r="GY32" s="297"/>
      <c r="GZ32" s="297"/>
      <c r="HA32" s="297"/>
      <c r="HB32" s="297"/>
      <c r="HC32" s="297"/>
      <c r="HD32" s="297"/>
      <c r="HE32" s="297"/>
      <c r="HF32" s="297"/>
      <c r="HG32" s="297"/>
      <c r="HH32" s="297"/>
      <c r="HI32" s="297"/>
      <c r="HJ32" s="297"/>
      <c r="HK32" s="297"/>
      <c r="HL32" s="297"/>
      <c r="HM32" s="297"/>
      <c r="HN32" s="297"/>
      <c r="HO32" s="297"/>
      <c r="HP32" s="297"/>
      <c r="HQ32" s="297"/>
      <c r="HR32" s="297"/>
      <c r="HS32" s="297"/>
      <c r="HT32" s="297"/>
      <c r="HU32" s="297"/>
      <c r="HV32" s="297"/>
      <c r="HW32" s="297"/>
      <c r="HX32" s="297"/>
      <c r="HY32" s="297"/>
      <c r="HZ32" s="297"/>
      <c r="IA32" s="297"/>
      <c r="IB32" s="297"/>
      <c r="IC32" s="297"/>
      <c r="ID32" s="297"/>
      <c r="IE32" s="297"/>
      <c r="IF32" s="297"/>
      <c r="IG32" s="297"/>
      <c r="IH32" s="297"/>
      <c r="II32" s="297"/>
      <c r="IJ32" s="297"/>
      <c r="IK32" s="297"/>
      <c r="IL32" s="297"/>
      <c r="IM32" s="297"/>
      <c r="IN32" s="297"/>
      <c r="IO32" s="297"/>
      <c r="IP32" s="297"/>
      <c r="IQ32" s="297"/>
      <c r="IR32" s="297"/>
      <c r="IS32" s="297"/>
      <c r="IT32" s="297"/>
      <c r="IU32" s="297"/>
      <c r="IV32" s="297"/>
    </row>
    <row r="33" spans="1:256" s="542" customFormat="1" x14ac:dyDescent="0.25">
      <c r="A33" s="540" t="s">
        <v>22</v>
      </c>
      <c r="B33" s="541">
        <v>1</v>
      </c>
      <c r="C33" s="541">
        <v>1</v>
      </c>
      <c r="D33" s="542" t="s">
        <v>783</v>
      </c>
      <c r="E33" s="543" t="s">
        <v>786</v>
      </c>
      <c r="F33" s="544" t="s">
        <v>596</v>
      </c>
      <c r="G33" s="541">
        <v>1024</v>
      </c>
      <c r="H33" s="545" t="s">
        <v>29</v>
      </c>
      <c r="I33" s="544" t="s">
        <v>30</v>
      </c>
      <c r="J33" s="541"/>
      <c r="K33" s="544" t="s">
        <v>82</v>
      </c>
      <c r="L33" s="541">
        <v>0</v>
      </c>
      <c r="M33" s="543"/>
      <c r="N33" s="542" t="s">
        <v>790</v>
      </c>
      <c r="O33" s="543"/>
      <c r="P33" s="544"/>
      <c r="Q33" s="543"/>
      <c r="R33" s="546"/>
      <c r="S33" s="546"/>
      <c r="T33" s="546"/>
      <c r="U33" s="546"/>
      <c r="V33" s="546"/>
      <c r="W33" s="546"/>
      <c r="X33" s="546"/>
      <c r="Y33" s="546"/>
      <c r="Z33" s="546"/>
      <c r="AA33" s="546"/>
      <c r="AB33" s="546"/>
      <c r="AC33" s="546"/>
      <c r="AD33" s="546"/>
      <c r="AE33" s="546"/>
      <c r="AF33" s="546"/>
      <c r="AG33" s="546"/>
      <c r="AH33" s="546"/>
      <c r="AI33" s="546"/>
      <c r="AJ33" s="546"/>
      <c r="AK33" s="546"/>
      <c r="AL33" s="546"/>
      <c r="AM33" s="546"/>
      <c r="AN33" s="546"/>
      <c r="AO33" s="546"/>
      <c r="AP33" s="546"/>
      <c r="AQ33" s="546"/>
      <c r="AR33" s="546"/>
      <c r="AS33" s="546"/>
      <c r="AT33" s="546"/>
      <c r="AU33" s="546"/>
      <c r="AV33" s="546"/>
      <c r="AW33" s="546"/>
      <c r="AX33" s="546"/>
      <c r="AY33" s="546"/>
      <c r="AZ33" s="546"/>
      <c r="BA33" s="546"/>
      <c r="BB33" s="546"/>
      <c r="BC33" s="546"/>
      <c r="BD33" s="546"/>
      <c r="BE33" s="546"/>
      <c r="BF33" s="546"/>
      <c r="BG33" s="546"/>
      <c r="BH33" s="546"/>
      <c r="BI33" s="546"/>
      <c r="BJ33" s="546"/>
      <c r="BK33" s="546"/>
      <c r="BL33" s="546"/>
      <c r="BM33" s="546"/>
      <c r="BN33" s="546"/>
      <c r="BO33" s="546"/>
      <c r="BP33" s="546"/>
      <c r="BQ33" s="546"/>
      <c r="BR33" s="546"/>
      <c r="BS33" s="546"/>
      <c r="BT33" s="546"/>
      <c r="BU33" s="546"/>
      <c r="BV33" s="546"/>
      <c r="BW33" s="546"/>
      <c r="BX33" s="546"/>
      <c r="BY33" s="546"/>
      <c r="BZ33" s="546"/>
      <c r="CA33" s="546"/>
      <c r="CB33" s="546"/>
      <c r="CC33" s="546"/>
      <c r="CD33" s="546"/>
      <c r="CE33" s="546"/>
      <c r="CF33" s="546"/>
      <c r="CG33" s="546"/>
      <c r="CH33" s="546"/>
      <c r="CI33" s="546"/>
      <c r="CJ33" s="546"/>
      <c r="CK33" s="546"/>
      <c r="CL33" s="546"/>
      <c r="CM33" s="546"/>
      <c r="CN33" s="546"/>
      <c r="CO33" s="546"/>
      <c r="CP33" s="546"/>
      <c r="CQ33" s="546"/>
      <c r="CR33" s="546"/>
      <c r="CS33" s="546"/>
      <c r="CT33" s="546"/>
      <c r="CU33" s="546"/>
      <c r="CV33" s="546"/>
      <c r="CW33" s="546"/>
      <c r="CX33" s="546"/>
      <c r="CY33" s="546"/>
      <c r="CZ33" s="546"/>
      <c r="DA33" s="546"/>
      <c r="DB33" s="546"/>
      <c r="DC33" s="546"/>
      <c r="DD33" s="546"/>
      <c r="DE33" s="546"/>
      <c r="DF33" s="546"/>
      <c r="DG33" s="546"/>
      <c r="DH33" s="546"/>
      <c r="DI33" s="546"/>
      <c r="DJ33" s="546"/>
      <c r="DK33" s="546"/>
      <c r="DL33" s="546"/>
      <c r="DM33" s="546"/>
      <c r="DN33" s="546"/>
      <c r="DO33" s="546"/>
      <c r="DP33" s="546"/>
      <c r="DQ33" s="546"/>
      <c r="DR33" s="546"/>
      <c r="DS33" s="546"/>
      <c r="DT33" s="546"/>
      <c r="DU33" s="546"/>
      <c r="DV33" s="546"/>
      <c r="DW33" s="546"/>
      <c r="DX33" s="546"/>
      <c r="DY33" s="546"/>
      <c r="DZ33" s="546"/>
      <c r="EA33" s="546"/>
      <c r="EB33" s="546"/>
      <c r="EC33" s="546"/>
      <c r="ED33" s="546"/>
      <c r="EE33" s="546"/>
      <c r="EF33" s="546"/>
      <c r="EG33" s="546"/>
      <c r="EH33" s="546"/>
      <c r="EI33" s="546"/>
      <c r="EJ33" s="546"/>
      <c r="EK33" s="546"/>
      <c r="EL33" s="546"/>
      <c r="EM33" s="546"/>
      <c r="EN33" s="546"/>
      <c r="EO33" s="546"/>
      <c r="EP33" s="546"/>
      <c r="EQ33" s="546"/>
      <c r="ER33" s="546"/>
      <c r="ES33" s="546"/>
      <c r="ET33" s="546"/>
      <c r="EU33" s="546"/>
      <c r="EV33" s="546"/>
      <c r="EW33" s="546"/>
      <c r="EX33" s="546"/>
      <c r="EY33" s="546"/>
      <c r="EZ33" s="546"/>
      <c r="FA33" s="546"/>
      <c r="FB33" s="546"/>
      <c r="FC33" s="546"/>
      <c r="FD33" s="546"/>
      <c r="FE33" s="546"/>
      <c r="FF33" s="546"/>
      <c r="FG33" s="546"/>
      <c r="FH33" s="546"/>
      <c r="FI33" s="546"/>
      <c r="FJ33" s="546"/>
      <c r="FK33" s="546"/>
      <c r="FL33" s="546"/>
      <c r="FM33" s="546"/>
      <c r="FN33" s="546"/>
      <c r="FO33" s="546"/>
      <c r="FP33" s="546"/>
      <c r="FQ33" s="546"/>
      <c r="FR33" s="546"/>
      <c r="FS33" s="546"/>
      <c r="FT33" s="546"/>
      <c r="FU33" s="546"/>
      <c r="FV33" s="546"/>
      <c r="FW33" s="546"/>
      <c r="FX33" s="546"/>
      <c r="FY33" s="546"/>
      <c r="FZ33" s="546"/>
      <c r="GA33" s="546"/>
      <c r="GB33" s="546"/>
      <c r="GC33" s="546"/>
      <c r="GD33" s="546"/>
      <c r="GE33" s="546"/>
      <c r="GF33" s="546"/>
      <c r="GG33" s="546"/>
      <c r="GH33" s="546"/>
      <c r="GI33" s="546"/>
      <c r="GJ33" s="546"/>
      <c r="GK33" s="546"/>
      <c r="GL33" s="546"/>
      <c r="GM33" s="546"/>
      <c r="GN33" s="546"/>
      <c r="GO33" s="546"/>
      <c r="GP33" s="546"/>
      <c r="GQ33" s="546"/>
      <c r="GR33" s="546"/>
      <c r="GS33" s="546"/>
      <c r="GT33" s="546"/>
      <c r="GU33" s="546"/>
      <c r="GV33" s="546"/>
      <c r="GW33" s="546"/>
      <c r="GX33" s="546"/>
      <c r="GY33" s="546"/>
      <c r="GZ33" s="546"/>
      <c r="HA33" s="546"/>
      <c r="HB33" s="546"/>
      <c r="HC33" s="546"/>
      <c r="HD33" s="546"/>
      <c r="HE33" s="546"/>
      <c r="HF33" s="546"/>
      <c r="HG33" s="546"/>
      <c r="HH33" s="546"/>
      <c r="HI33" s="546"/>
      <c r="HJ33" s="546"/>
      <c r="HK33" s="546"/>
      <c r="HL33" s="546"/>
      <c r="HM33" s="546"/>
      <c r="HN33" s="546"/>
      <c r="HO33" s="546"/>
      <c r="HP33" s="546"/>
      <c r="HQ33" s="546"/>
      <c r="HR33" s="546"/>
      <c r="HS33" s="546"/>
      <c r="HT33" s="546"/>
      <c r="HU33" s="546"/>
      <c r="HV33" s="546"/>
      <c r="HW33" s="546"/>
      <c r="HX33" s="546"/>
      <c r="HY33" s="546"/>
      <c r="HZ33" s="546"/>
      <c r="IA33" s="546"/>
      <c r="IB33" s="546"/>
      <c r="IC33" s="546"/>
      <c r="ID33" s="546"/>
      <c r="IE33" s="546"/>
      <c r="IF33" s="546"/>
      <c r="IG33" s="546"/>
      <c r="IH33" s="546"/>
      <c r="II33" s="546"/>
      <c r="IJ33" s="546"/>
      <c r="IK33" s="546"/>
      <c r="IL33" s="546"/>
      <c r="IM33" s="546"/>
      <c r="IN33" s="546"/>
      <c r="IO33" s="546"/>
      <c r="IP33" s="546"/>
      <c r="IQ33" s="546"/>
      <c r="IR33" s="546"/>
      <c r="IS33" s="546"/>
      <c r="IT33" s="546"/>
      <c r="IU33" s="546"/>
      <c r="IV33" s="546"/>
    </row>
    <row r="34" spans="1:256" s="542" customFormat="1" x14ac:dyDescent="0.25">
      <c r="A34" s="540" t="s">
        <v>22</v>
      </c>
      <c r="B34" s="541">
        <v>1</v>
      </c>
      <c r="C34" s="541">
        <v>1</v>
      </c>
      <c r="D34" s="542" t="s">
        <v>782</v>
      </c>
      <c r="E34" s="542" t="s">
        <v>787</v>
      </c>
      <c r="F34" s="544" t="s">
        <v>596</v>
      </c>
      <c r="G34" s="541">
        <v>1024</v>
      </c>
      <c r="H34" s="545" t="s">
        <v>29</v>
      </c>
      <c r="I34" s="544" t="s">
        <v>26</v>
      </c>
      <c r="J34" s="541">
        <v>31</v>
      </c>
      <c r="K34" s="544" t="s">
        <v>82</v>
      </c>
      <c r="L34" s="541" t="s">
        <v>134</v>
      </c>
      <c r="M34" s="543"/>
      <c r="N34" s="542" t="s">
        <v>791</v>
      </c>
      <c r="O34" s="543"/>
      <c r="P34" s="544"/>
      <c r="Q34" s="543"/>
      <c r="R34" s="546"/>
      <c r="S34" s="546"/>
      <c r="T34" s="546"/>
      <c r="U34" s="546"/>
      <c r="V34" s="546"/>
      <c r="W34" s="546"/>
      <c r="X34" s="546"/>
      <c r="Y34" s="546"/>
      <c r="Z34" s="546"/>
      <c r="AA34" s="546"/>
      <c r="AB34" s="546"/>
      <c r="AC34" s="546"/>
      <c r="AD34" s="546"/>
      <c r="AE34" s="546"/>
      <c r="AF34" s="546"/>
      <c r="AG34" s="546"/>
      <c r="AH34" s="546"/>
      <c r="AI34" s="546"/>
      <c r="AJ34" s="546"/>
      <c r="AK34" s="546"/>
      <c r="AL34" s="546"/>
      <c r="AM34" s="546"/>
      <c r="AN34" s="546"/>
      <c r="AO34" s="546"/>
      <c r="AP34" s="546"/>
      <c r="AQ34" s="546"/>
      <c r="AR34" s="546"/>
      <c r="AS34" s="546"/>
      <c r="AT34" s="546"/>
      <c r="AU34" s="546"/>
      <c r="AV34" s="546"/>
      <c r="AW34" s="546"/>
      <c r="AX34" s="546"/>
      <c r="AY34" s="546"/>
      <c r="AZ34" s="546"/>
      <c r="BA34" s="546"/>
      <c r="BB34" s="546"/>
      <c r="BC34" s="546"/>
      <c r="BD34" s="546"/>
      <c r="BE34" s="546"/>
      <c r="BF34" s="546"/>
      <c r="BG34" s="546"/>
      <c r="BH34" s="546"/>
      <c r="BI34" s="546"/>
      <c r="BJ34" s="546"/>
      <c r="BK34" s="546"/>
      <c r="BL34" s="546"/>
      <c r="BM34" s="546"/>
      <c r="BN34" s="546"/>
      <c r="BO34" s="546"/>
      <c r="BP34" s="546"/>
      <c r="BQ34" s="546"/>
      <c r="BR34" s="546"/>
      <c r="BS34" s="546"/>
      <c r="BT34" s="546"/>
      <c r="BU34" s="546"/>
      <c r="BV34" s="546"/>
      <c r="BW34" s="546"/>
      <c r="BX34" s="546"/>
      <c r="BY34" s="546"/>
      <c r="BZ34" s="546"/>
      <c r="CA34" s="546"/>
      <c r="CB34" s="546"/>
      <c r="CC34" s="546"/>
      <c r="CD34" s="546"/>
      <c r="CE34" s="546"/>
      <c r="CF34" s="546"/>
      <c r="CG34" s="546"/>
      <c r="CH34" s="546"/>
      <c r="CI34" s="546"/>
      <c r="CJ34" s="546"/>
      <c r="CK34" s="546"/>
      <c r="CL34" s="546"/>
      <c r="CM34" s="546"/>
      <c r="CN34" s="546"/>
      <c r="CO34" s="546"/>
      <c r="CP34" s="546"/>
      <c r="CQ34" s="546"/>
      <c r="CR34" s="546"/>
      <c r="CS34" s="546"/>
      <c r="CT34" s="546"/>
      <c r="CU34" s="546"/>
      <c r="CV34" s="546"/>
      <c r="CW34" s="546"/>
      <c r="CX34" s="546"/>
      <c r="CY34" s="546"/>
      <c r="CZ34" s="546"/>
      <c r="DA34" s="546"/>
      <c r="DB34" s="546"/>
      <c r="DC34" s="546"/>
      <c r="DD34" s="546"/>
      <c r="DE34" s="546"/>
      <c r="DF34" s="546"/>
      <c r="DG34" s="546"/>
      <c r="DH34" s="546"/>
      <c r="DI34" s="546"/>
      <c r="DJ34" s="546"/>
      <c r="DK34" s="546"/>
      <c r="DL34" s="546"/>
      <c r="DM34" s="546"/>
      <c r="DN34" s="546"/>
      <c r="DO34" s="546"/>
      <c r="DP34" s="546"/>
      <c r="DQ34" s="546"/>
      <c r="DR34" s="546"/>
      <c r="DS34" s="546"/>
      <c r="DT34" s="546"/>
      <c r="DU34" s="546"/>
      <c r="DV34" s="546"/>
      <c r="DW34" s="546"/>
      <c r="DX34" s="546"/>
      <c r="DY34" s="546"/>
      <c r="DZ34" s="546"/>
      <c r="EA34" s="546"/>
      <c r="EB34" s="546"/>
      <c r="EC34" s="546"/>
      <c r="ED34" s="546"/>
      <c r="EE34" s="546"/>
      <c r="EF34" s="546"/>
      <c r="EG34" s="546"/>
      <c r="EH34" s="546"/>
      <c r="EI34" s="546"/>
      <c r="EJ34" s="546"/>
      <c r="EK34" s="546"/>
      <c r="EL34" s="546"/>
      <c r="EM34" s="546"/>
      <c r="EN34" s="546"/>
      <c r="EO34" s="546"/>
      <c r="EP34" s="546"/>
      <c r="EQ34" s="546"/>
      <c r="ER34" s="546"/>
      <c r="ES34" s="546"/>
      <c r="ET34" s="546"/>
      <c r="EU34" s="546"/>
      <c r="EV34" s="546"/>
      <c r="EW34" s="546"/>
      <c r="EX34" s="546"/>
      <c r="EY34" s="546"/>
      <c r="EZ34" s="546"/>
      <c r="FA34" s="546"/>
      <c r="FB34" s="546"/>
      <c r="FC34" s="546"/>
      <c r="FD34" s="546"/>
      <c r="FE34" s="546"/>
      <c r="FF34" s="546"/>
      <c r="FG34" s="546"/>
      <c r="FH34" s="546"/>
      <c r="FI34" s="546"/>
      <c r="FJ34" s="546"/>
      <c r="FK34" s="546"/>
      <c r="FL34" s="546"/>
      <c r="FM34" s="546"/>
      <c r="FN34" s="546"/>
      <c r="FO34" s="546"/>
      <c r="FP34" s="546"/>
      <c r="FQ34" s="546"/>
      <c r="FR34" s="546"/>
      <c r="FS34" s="546"/>
      <c r="FT34" s="546"/>
      <c r="FU34" s="546"/>
      <c r="FV34" s="546"/>
      <c r="FW34" s="546"/>
      <c r="FX34" s="546"/>
      <c r="FY34" s="546"/>
      <c r="FZ34" s="546"/>
      <c r="GA34" s="546"/>
      <c r="GB34" s="546"/>
      <c r="GC34" s="546"/>
      <c r="GD34" s="546"/>
      <c r="GE34" s="546"/>
      <c r="GF34" s="546"/>
      <c r="GG34" s="546"/>
      <c r="GH34" s="546"/>
      <c r="GI34" s="546"/>
      <c r="GJ34" s="546"/>
      <c r="GK34" s="546"/>
      <c r="GL34" s="546"/>
      <c r="GM34" s="546"/>
      <c r="GN34" s="546"/>
      <c r="GO34" s="546"/>
      <c r="GP34" s="546"/>
      <c r="GQ34" s="546"/>
      <c r="GR34" s="546"/>
      <c r="GS34" s="546"/>
      <c r="GT34" s="546"/>
      <c r="GU34" s="546"/>
      <c r="GV34" s="546"/>
      <c r="GW34" s="546"/>
      <c r="GX34" s="546"/>
      <c r="GY34" s="546"/>
      <c r="GZ34" s="546"/>
      <c r="HA34" s="546"/>
      <c r="HB34" s="546"/>
      <c r="HC34" s="546"/>
      <c r="HD34" s="546"/>
      <c r="HE34" s="546"/>
      <c r="HF34" s="546"/>
      <c r="HG34" s="546"/>
      <c r="HH34" s="546"/>
      <c r="HI34" s="546"/>
      <c r="HJ34" s="546"/>
      <c r="HK34" s="546"/>
      <c r="HL34" s="546"/>
      <c r="HM34" s="546"/>
      <c r="HN34" s="546"/>
      <c r="HO34" s="546"/>
      <c r="HP34" s="546"/>
      <c r="HQ34" s="546"/>
      <c r="HR34" s="546"/>
      <c r="HS34" s="546"/>
      <c r="HT34" s="546"/>
      <c r="HU34" s="546"/>
      <c r="HV34" s="546"/>
      <c r="HW34" s="546"/>
      <c r="HX34" s="546"/>
      <c r="HY34" s="546"/>
      <c r="HZ34" s="546"/>
      <c r="IA34" s="546"/>
      <c r="IB34" s="546"/>
      <c r="IC34" s="546"/>
      <c r="ID34" s="546"/>
      <c r="IE34" s="546"/>
      <c r="IF34" s="546"/>
      <c r="IG34" s="546"/>
      <c r="IH34" s="546"/>
      <c r="II34" s="546"/>
      <c r="IJ34" s="546"/>
      <c r="IK34" s="546"/>
      <c r="IL34" s="546"/>
      <c r="IM34" s="546"/>
      <c r="IN34" s="546"/>
      <c r="IO34" s="546"/>
      <c r="IP34" s="546"/>
      <c r="IQ34" s="546"/>
      <c r="IR34" s="546"/>
      <c r="IS34" s="546"/>
      <c r="IT34" s="546"/>
      <c r="IU34" s="546"/>
      <c r="IV34" s="546"/>
    </row>
    <row r="35" spans="1:256" s="542" customFormat="1" x14ac:dyDescent="0.25">
      <c r="A35" s="540" t="s">
        <v>22</v>
      </c>
      <c r="B35" s="541">
        <v>1</v>
      </c>
      <c r="C35" s="541">
        <v>1</v>
      </c>
      <c r="D35" s="542" t="s">
        <v>809</v>
      </c>
      <c r="E35" s="542" t="s">
        <v>810</v>
      </c>
      <c r="F35" s="544" t="s">
        <v>596</v>
      </c>
      <c r="G35" s="541">
        <v>1024</v>
      </c>
      <c r="H35" s="545" t="s">
        <v>29</v>
      </c>
      <c r="I35" s="544" t="s">
        <v>26</v>
      </c>
      <c r="J35" s="541">
        <v>31</v>
      </c>
      <c r="K35" s="544" t="s">
        <v>82</v>
      </c>
      <c r="L35" s="541" t="s">
        <v>134</v>
      </c>
      <c r="M35" s="543"/>
      <c r="N35" s="542" t="s">
        <v>811</v>
      </c>
      <c r="O35" s="543"/>
      <c r="P35" s="544"/>
      <c r="Q35" s="543"/>
      <c r="R35" s="546"/>
      <c r="S35" s="546"/>
      <c r="T35" s="546"/>
      <c r="U35" s="546"/>
      <c r="V35" s="546"/>
      <c r="W35" s="546"/>
      <c r="X35" s="546"/>
      <c r="Y35" s="546"/>
      <c r="Z35" s="546"/>
      <c r="AA35" s="546"/>
      <c r="AB35" s="546"/>
      <c r="AC35" s="546"/>
      <c r="AD35" s="546"/>
      <c r="AE35" s="546"/>
      <c r="AF35" s="546"/>
      <c r="AG35" s="546"/>
      <c r="AH35" s="546"/>
      <c r="AI35" s="546"/>
      <c r="AJ35" s="546"/>
      <c r="AK35" s="546"/>
      <c r="AL35" s="546"/>
      <c r="AM35" s="546"/>
      <c r="AN35" s="546"/>
      <c r="AO35" s="546"/>
      <c r="AP35" s="546"/>
      <c r="AQ35" s="546"/>
      <c r="AR35" s="546"/>
      <c r="AS35" s="546"/>
      <c r="AT35" s="546"/>
      <c r="AU35" s="546"/>
      <c r="AV35" s="546"/>
      <c r="AW35" s="546"/>
      <c r="AX35" s="546"/>
      <c r="AY35" s="546"/>
      <c r="AZ35" s="546"/>
      <c r="BA35" s="546"/>
      <c r="BB35" s="546"/>
      <c r="BC35" s="546"/>
      <c r="BD35" s="546"/>
      <c r="BE35" s="546"/>
      <c r="BF35" s="546"/>
      <c r="BG35" s="546"/>
      <c r="BH35" s="546"/>
      <c r="BI35" s="546"/>
      <c r="BJ35" s="546"/>
      <c r="BK35" s="546"/>
      <c r="BL35" s="546"/>
      <c r="BM35" s="546"/>
      <c r="BN35" s="546"/>
      <c r="BO35" s="546"/>
      <c r="BP35" s="546"/>
      <c r="BQ35" s="546"/>
      <c r="BR35" s="546"/>
      <c r="BS35" s="546"/>
      <c r="BT35" s="546"/>
      <c r="BU35" s="546"/>
      <c r="BV35" s="546"/>
      <c r="BW35" s="546"/>
      <c r="BX35" s="546"/>
      <c r="BY35" s="546"/>
      <c r="BZ35" s="546"/>
      <c r="CA35" s="546"/>
      <c r="CB35" s="546"/>
      <c r="CC35" s="546"/>
      <c r="CD35" s="546"/>
      <c r="CE35" s="546"/>
      <c r="CF35" s="546"/>
      <c r="CG35" s="546"/>
      <c r="CH35" s="546"/>
      <c r="CI35" s="546"/>
      <c r="CJ35" s="546"/>
      <c r="CK35" s="546"/>
      <c r="CL35" s="546"/>
      <c r="CM35" s="546"/>
      <c r="CN35" s="546"/>
      <c r="CO35" s="546"/>
      <c r="CP35" s="546"/>
      <c r="CQ35" s="546"/>
      <c r="CR35" s="546"/>
      <c r="CS35" s="546"/>
      <c r="CT35" s="546"/>
      <c r="CU35" s="546"/>
      <c r="CV35" s="546"/>
      <c r="CW35" s="546"/>
      <c r="CX35" s="546"/>
      <c r="CY35" s="546"/>
      <c r="CZ35" s="546"/>
      <c r="DA35" s="546"/>
      <c r="DB35" s="546"/>
      <c r="DC35" s="546"/>
      <c r="DD35" s="546"/>
      <c r="DE35" s="546"/>
      <c r="DF35" s="546"/>
      <c r="DG35" s="546"/>
      <c r="DH35" s="546"/>
      <c r="DI35" s="546"/>
      <c r="DJ35" s="546"/>
      <c r="DK35" s="546"/>
      <c r="DL35" s="546"/>
      <c r="DM35" s="546"/>
      <c r="DN35" s="546"/>
      <c r="DO35" s="546"/>
      <c r="DP35" s="546"/>
      <c r="DQ35" s="546"/>
      <c r="DR35" s="546"/>
      <c r="DS35" s="546"/>
      <c r="DT35" s="546"/>
      <c r="DU35" s="546"/>
      <c r="DV35" s="546"/>
      <c r="DW35" s="546"/>
      <c r="DX35" s="546"/>
      <c r="DY35" s="546"/>
      <c r="DZ35" s="546"/>
      <c r="EA35" s="546"/>
      <c r="EB35" s="546"/>
      <c r="EC35" s="546"/>
      <c r="ED35" s="546"/>
      <c r="EE35" s="546"/>
      <c r="EF35" s="546"/>
      <c r="EG35" s="546"/>
      <c r="EH35" s="546"/>
      <c r="EI35" s="546"/>
      <c r="EJ35" s="546"/>
      <c r="EK35" s="546"/>
      <c r="EL35" s="546"/>
      <c r="EM35" s="546"/>
      <c r="EN35" s="546"/>
      <c r="EO35" s="546"/>
      <c r="EP35" s="546"/>
      <c r="EQ35" s="546"/>
      <c r="ER35" s="546"/>
      <c r="ES35" s="546"/>
      <c r="ET35" s="546"/>
      <c r="EU35" s="546"/>
      <c r="EV35" s="546"/>
      <c r="EW35" s="546"/>
      <c r="EX35" s="546"/>
      <c r="EY35" s="546"/>
      <c r="EZ35" s="546"/>
      <c r="FA35" s="546"/>
      <c r="FB35" s="546"/>
      <c r="FC35" s="546"/>
      <c r="FD35" s="546"/>
      <c r="FE35" s="546"/>
      <c r="FF35" s="546"/>
      <c r="FG35" s="546"/>
      <c r="FH35" s="546"/>
      <c r="FI35" s="546"/>
      <c r="FJ35" s="546"/>
      <c r="FK35" s="546"/>
      <c r="FL35" s="546"/>
      <c r="FM35" s="546"/>
      <c r="FN35" s="546"/>
      <c r="FO35" s="546"/>
      <c r="FP35" s="546"/>
      <c r="FQ35" s="546"/>
      <c r="FR35" s="546"/>
      <c r="FS35" s="546"/>
      <c r="FT35" s="546"/>
      <c r="FU35" s="546"/>
      <c r="FV35" s="546"/>
      <c r="FW35" s="546"/>
      <c r="FX35" s="546"/>
      <c r="FY35" s="546"/>
      <c r="FZ35" s="546"/>
      <c r="GA35" s="546"/>
      <c r="GB35" s="546"/>
      <c r="GC35" s="546"/>
      <c r="GD35" s="546"/>
      <c r="GE35" s="546"/>
      <c r="GF35" s="546"/>
      <c r="GG35" s="546"/>
      <c r="GH35" s="546"/>
      <c r="GI35" s="546"/>
      <c r="GJ35" s="546"/>
      <c r="GK35" s="546"/>
      <c r="GL35" s="546"/>
      <c r="GM35" s="546"/>
      <c r="GN35" s="546"/>
      <c r="GO35" s="546"/>
      <c r="GP35" s="546"/>
      <c r="GQ35" s="546"/>
      <c r="GR35" s="546"/>
      <c r="GS35" s="546"/>
      <c r="GT35" s="546"/>
      <c r="GU35" s="546"/>
      <c r="GV35" s="546"/>
      <c r="GW35" s="546"/>
      <c r="GX35" s="546"/>
      <c r="GY35" s="546"/>
      <c r="GZ35" s="546"/>
      <c r="HA35" s="546"/>
      <c r="HB35" s="546"/>
      <c r="HC35" s="546"/>
      <c r="HD35" s="546"/>
      <c r="HE35" s="546"/>
      <c r="HF35" s="546"/>
      <c r="HG35" s="546"/>
      <c r="HH35" s="546"/>
      <c r="HI35" s="546"/>
      <c r="HJ35" s="546"/>
      <c r="HK35" s="546"/>
      <c r="HL35" s="546"/>
      <c r="HM35" s="546"/>
      <c r="HN35" s="546"/>
      <c r="HO35" s="546"/>
      <c r="HP35" s="546"/>
      <c r="HQ35" s="546"/>
      <c r="HR35" s="546"/>
      <c r="HS35" s="546"/>
      <c r="HT35" s="546"/>
      <c r="HU35" s="546"/>
      <c r="HV35" s="546"/>
      <c r="HW35" s="546"/>
      <c r="HX35" s="546"/>
      <c r="HY35" s="546"/>
      <c r="HZ35" s="546"/>
      <c r="IA35" s="546"/>
      <c r="IB35" s="546"/>
      <c r="IC35" s="546"/>
      <c r="ID35" s="546"/>
      <c r="IE35" s="546"/>
      <c r="IF35" s="546"/>
      <c r="IG35" s="546"/>
      <c r="IH35" s="546"/>
      <c r="II35" s="546"/>
      <c r="IJ35" s="546"/>
      <c r="IK35" s="546"/>
      <c r="IL35" s="546"/>
      <c r="IM35" s="546"/>
      <c r="IN35" s="546"/>
      <c r="IO35" s="546"/>
      <c r="IP35" s="546"/>
      <c r="IQ35" s="546"/>
      <c r="IR35" s="546"/>
      <c r="IS35" s="546"/>
      <c r="IT35" s="546"/>
      <c r="IU35" s="546"/>
      <c r="IV35" s="546"/>
    </row>
    <row r="36" spans="1:256" s="542" customFormat="1" x14ac:dyDescent="0.25">
      <c r="A36" s="540" t="s">
        <v>22</v>
      </c>
      <c r="B36" s="541">
        <v>1</v>
      </c>
      <c r="C36" s="541">
        <v>1</v>
      </c>
      <c r="D36" s="542" t="s">
        <v>784</v>
      </c>
      <c r="E36" s="543" t="s">
        <v>788</v>
      </c>
      <c r="F36" s="544" t="s">
        <v>596</v>
      </c>
      <c r="G36" s="541">
        <v>1024</v>
      </c>
      <c r="H36" s="545" t="s">
        <v>29</v>
      </c>
      <c r="I36" s="544" t="s">
        <v>26</v>
      </c>
      <c r="J36" s="541">
        <v>31</v>
      </c>
      <c r="K36" s="544" t="s">
        <v>82</v>
      </c>
      <c r="L36" s="541" t="s">
        <v>134</v>
      </c>
      <c r="M36" s="543"/>
      <c r="N36" s="542" t="s">
        <v>792</v>
      </c>
      <c r="O36" s="543"/>
      <c r="P36" s="544"/>
      <c r="Q36" s="543"/>
      <c r="R36" s="546"/>
      <c r="S36" s="546"/>
      <c r="T36" s="546"/>
      <c r="U36" s="546"/>
      <c r="V36" s="546"/>
      <c r="W36" s="546"/>
      <c r="X36" s="546"/>
      <c r="Y36" s="546"/>
      <c r="Z36" s="546"/>
      <c r="AA36" s="546"/>
      <c r="AB36" s="546"/>
      <c r="AC36" s="546"/>
      <c r="AD36" s="546"/>
      <c r="AE36" s="546"/>
      <c r="AF36" s="546"/>
      <c r="AG36" s="546"/>
      <c r="AH36" s="546"/>
      <c r="AI36" s="546"/>
      <c r="AJ36" s="546"/>
      <c r="AK36" s="546"/>
      <c r="AL36" s="546"/>
      <c r="AM36" s="546"/>
      <c r="AN36" s="546"/>
      <c r="AO36" s="546"/>
      <c r="AP36" s="546"/>
      <c r="AQ36" s="546"/>
      <c r="AR36" s="546"/>
      <c r="AS36" s="546"/>
      <c r="AT36" s="546"/>
      <c r="AU36" s="546"/>
      <c r="AV36" s="546"/>
      <c r="AW36" s="546"/>
      <c r="AX36" s="546"/>
      <c r="AY36" s="546"/>
      <c r="AZ36" s="546"/>
      <c r="BA36" s="546"/>
      <c r="BB36" s="546"/>
      <c r="BC36" s="546"/>
      <c r="BD36" s="546"/>
      <c r="BE36" s="546"/>
      <c r="BF36" s="546"/>
      <c r="BG36" s="546"/>
      <c r="BH36" s="546"/>
      <c r="BI36" s="546"/>
      <c r="BJ36" s="546"/>
      <c r="BK36" s="546"/>
      <c r="BL36" s="546"/>
      <c r="BM36" s="546"/>
      <c r="BN36" s="546"/>
      <c r="BO36" s="546"/>
      <c r="BP36" s="546"/>
      <c r="BQ36" s="546"/>
      <c r="BR36" s="546"/>
      <c r="BS36" s="546"/>
      <c r="BT36" s="546"/>
      <c r="BU36" s="546"/>
      <c r="BV36" s="546"/>
      <c r="BW36" s="546"/>
      <c r="BX36" s="546"/>
      <c r="BY36" s="546"/>
      <c r="BZ36" s="546"/>
      <c r="CA36" s="546"/>
      <c r="CB36" s="546"/>
      <c r="CC36" s="546"/>
      <c r="CD36" s="546"/>
      <c r="CE36" s="546"/>
      <c r="CF36" s="546"/>
      <c r="CG36" s="546"/>
      <c r="CH36" s="546"/>
      <c r="CI36" s="546"/>
      <c r="CJ36" s="546"/>
      <c r="CK36" s="546"/>
      <c r="CL36" s="546"/>
      <c r="CM36" s="546"/>
      <c r="CN36" s="546"/>
      <c r="CO36" s="546"/>
      <c r="CP36" s="546"/>
      <c r="CQ36" s="546"/>
      <c r="CR36" s="546"/>
      <c r="CS36" s="546"/>
      <c r="CT36" s="546"/>
      <c r="CU36" s="546"/>
      <c r="CV36" s="546"/>
      <c r="CW36" s="546"/>
      <c r="CX36" s="546"/>
      <c r="CY36" s="546"/>
      <c r="CZ36" s="546"/>
      <c r="DA36" s="546"/>
      <c r="DB36" s="546"/>
      <c r="DC36" s="546"/>
      <c r="DD36" s="546"/>
      <c r="DE36" s="546"/>
      <c r="DF36" s="546"/>
      <c r="DG36" s="546"/>
      <c r="DH36" s="546"/>
      <c r="DI36" s="546"/>
      <c r="DJ36" s="546"/>
      <c r="DK36" s="546"/>
      <c r="DL36" s="546"/>
      <c r="DM36" s="546"/>
      <c r="DN36" s="546"/>
      <c r="DO36" s="546"/>
      <c r="DP36" s="546"/>
      <c r="DQ36" s="546"/>
      <c r="DR36" s="546"/>
      <c r="DS36" s="546"/>
      <c r="DT36" s="546"/>
      <c r="DU36" s="546"/>
      <c r="DV36" s="546"/>
      <c r="DW36" s="546"/>
      <c r="DX36" s="546"/>
      <c r="DY36" s="546"/>
      <c r="DZ36" s="546"/>
      <c r="EA36" s="546"/>
      <c r="EB36" s="546"/>
      <c r="EC36" s="546"/>
      <c r="ED36" s="546"/>
      <c r="EE36" s="546"/>
      <c r="EF36" s="546"/>
      <c r="EG36" s="546"/>
      <c r="EH36" s="546"/>
      <c r="EI36" s="546"/>
      <c r="EJ36" s="546"/>
      <c r="EK36" s="546"/>
      <c r="EL36" s="546"/>
      <c r="EM36" s="546"/>
      <c r="EN36" s="546"/>
      <c r="EO36" s="546"/>
      <c r="EP36" s="546"/>
      <c r="EQ36" s="546"/>
      <c r="ER36" s="546"/>
      <c r="ES36" s="546"/>
      <c r="ET36" s="546"/>
      <c r="EU36" s="546"/>
      <c r="EV36" s="546"/>
      <c r="EW36" s="546"/>
      <c r="EX36" s="546"/>
      <c r="EY36" s="546"/>
      <c r="EZ36" s="546"/>
      <c r="FA36" s="546"/>
      <c r="FB36" s="546"/>
      <c r="FC36" s="546"/>
      <c r="FD36" s="546"/>
      <c r="FE36" s="546"/>
      <c r="FF36" s="546"/>
      <c r="FG36" s="546"/>
      <c r="FH36" s="546"/>
      <c r="FI36" s="546"/>
      <c r="FJ36" s="546"/>
      <c r="FK36" s="546"/>
      <c r="FL36" s="546"/>
      <c r="FM36" s="546"/>
      <c r="FN36" s="546"/>
      <c r="FO36" s="546"/>
      <c r="FP36" s="546"/>
      <c r="FQ36" s="546"/>
      <c r="FR36" s="546"/>
      <c r="FS36" s="546"/>
      <c r="FT36" s="546"/>
      <c r="FU36" s="546"/>
      <c r="FV36" s="546"/>
      <c r="FW36" s="546"/>
      <c r="FX36" s="546"/>
      <c r="FY36" s="546"/>
      <c r="FZ36" s="546"/>
      <c r="GA36" s="546"/>
      <c r="GB36" s="546"/>
      <c r="GC36" s="546"/>
      <c r="GD36" s="546"/>
      <c r="GE36" s="546"/>
      <c r="GF36" s="546"/>
      <c r="GG36" s="546"/>
      <c r="GH36" s="546"/>
      <c r="GI36" s="546"/>
      <c r="GJ36" s="546"/>
      <c r="GK36" s="546"/>
      <c r="GL36" s="546"/>
      <c r="GM36" s="546"/>
      <c r="GN36" s="546"/>
      <c r="GO36" s="546"/>
      <c r="GP36" s="546"/>
      <c r="GQ36" s="546"/>
      <c r="GR36" s="546"/>
      <c r="GS36" s="546"/>
      <c r="GT36" s="546"/>
      <c r="GU36" s="546"/>
      <c r="GV36" s="546"/>
      <c r="GW36" s="546"/>
      <c r="GX36" s="546"/>
      <c r="GY36" s="546"/>
      <c r="GZ36" s="546"/>
      <c r="HA36" s="546"/>
      <c r="HB36" s="546"/>
      <c r="HC36" s="546"/>
      <c r="HD36" s="546"/>
      <c r="HE36" s="546"/>
      <c r="HF36" s="546"/>
      <c r="HG36" s="546"/>
      <c r="HH36" s="546"/>
      <c r="HI36" s="546"/>
      <c r="HJ36" s="546"/>
      <c r="HK36" s="546"/>
      <c r="HL36" s="546"/>
      <c r="HM36" s="546"/>
      <c r="HN36" s="546"/>
      <c r="HO36" s="546"/>
      <c r="HP36" s="546"/>
      <c r="HQ36" s="546"/>
      <c r="HR36" s="546"/>
      <c r="HS36" s="546"/>
      <c r="HT36" s="546"/>
      <c r="HU36" s="546"/>
      <c r="HV36" s="546"/>
      <c r="HW36" s="546"/>
      <c r="HX36" s="546"/>
      <c r="HY36" s="546"/>
      <c r="HZ36" s="546"/>
      <c r="IA36" s="546"/>
      <c r="IB36" s="546"/>
      <c r="IC36" s="546"/>
      <c r="ID36" s="546"/>
      <c r="IE36" s="546"/>
      <c r="IF36" s="546"/>
      <c r="IG36" s="546"/>
      <c r="IH36" s="546"/>
      <c r="II36" s="546"/>
      <c r="IJ36" s="546"/>
      <c r="IK36" s="546"/>
      <c r="IL36" s="546"/>
      <c r="IM36" s="546"/>
      <c r="IN36" s="546"/>
      <c r="IO36" s="546"/>
      <c r="IP36" s="546"/>
      <c r="IQ36" s="546"/>
      <c r="IR36" s="546"/>
      <c r="IS36" s="546"/>
      <c r="IT36" s="546"/>
      <c r="IU36" s="546"/>
      <c r="IV36" s="546"/>
    </row>
    <row r="37" spans="1:256" s="542" customFormat="1" x14ac:dyDescent="0.25">
      <c r="A37" s="540" t="s">
        <v>22</v>
      </c>
      <c r="B37" s="541">
        <v>1</v>
      </c>
      <c r="C37" s="541">
        <v>1</v>
      </c>
      <c r="D37" s="542" t="s">
        <v>804</v>
      </c>
      <c r="E37" s="543" t="s">
        <v>805</v>
      </c>
      <c r="F37" s="544" t="s">
        <v>596</v>
      </c>
      <c r="G37" s="541">
        <v>1024</v>
      </c>
      <c r="H37" s="545" t="s">
        <v>29</v>
      </c>
      <c r="I37" s="544" t="s">
        <v>26</v>
      </c>
      <c r="J37" s="541">
        <v>31</v>
      </c>
      <c r="K37" s="544" t="s">
        <v>82</v>
      </c>
      <c r="L37" s="541" t="s">
        <v>134</v>
      </c>
      <c r="M37" s="543"/>
      <c r="N37" s="542" t="s">
        <v>806</v>
      </c>
      <c r="O37" s="543"/>
      <c r="P37" s="544"/>
      <c r="Q37" s="543"/>
      <c r="R37" s="546"/>
      <c r="S37" s="546"/>
      <c r="T37" s="546"/>
      <c r="U37" s="546"/>
      <c r="V37" s="546"/>
      <c r="W37" s="546"/>
      <c r="X37" s="546"/>
      <c r="Y37" s="546"/>
      <c r="Z37" s="546"/>
      <c r="AA37" s="546"/>
      <c r="AB37" s="546"/>
      <c r="AC37" s="546"/>
      <c r="AD37" s="546"/>
      <c r="AE37" s="546"/>
      <c r="AF37" s="546"/>
      <c r="AG37" s="546"/>
      <c r="AH37" s="546"/>
      <c r="AI37" s="546"/>
      <c r="AJ37" s="546"/>
      <c r="AK37" s="546"/>
      <c r="AL37" s="546"/>
      <c r="AM37" s="546"/>
      <c r="AN37" s="546"/>
      <c r="AO37" s="546"/>
      <c r="AP37" s="546"/>
      <c r="AQ37" s="546"/>
      <c r="AR37" s="546"/>
      <c r="AS37" s="546"/>
      <c r="AT37" s="546"/>
      <c r="AU37" s="546"/>
      <c r="AV37" s="546"/>
      <c r="AW37" s="546"/>
      <c r="AX37" s="546"/>
      <c r="AY37" s="546"/>
      <c r="AZ37" s="546"/>
      <c r="BA37" s="546"/>
      <c r="BB37" s="546"/>
      <c r="BC37" s="546"/>
      <c r="BD37" s="546"/>
      <c r="BE37" s="546"/>
      <c r="BF37" s="546"/>
      <c r="BG37" s="546"/>
      <c r="BH37" s="546"/>
      <c r="BI37" s="546"/>
      <c r="BJ37" s="546"/>
      <c r="BK37" s="546"/>
      <c r="BL37" s="546"/>
      <c r="BM37" s="546"/>
      <c r="BN37" s="546"/>
      <c r="BO37" s="546"/>
      <c r="BP37" s="546"/>
      <c r="BQ37" s="546"/>
      <c r="BR37" s="546"/>
      <c r="BS37" s="546"/>
      <c r="BT37" s="546"/>
      <c r="BU37" s="546"/>
      <c r="BV37" s="546"/>
      <c r="BW37" s="546"/>
      <c r="BX37" s="546"/>
      <c r="BY37" s="546"/>
      <c r="BZ37" s="546"/>
      <c r="CA37" s="546"/>
      <c r="CB37" s="546"/>
      <c r="CC37" s="546"/>
      <c r="CD37" s="546"/>
      <c r="CE37" s="546"/>
      <c r="CF37" s="546"/>
      <c r="CG37" s="546"/>
      <c r="CH37" s="546"/>
      <c r="CI37" s="546"/>
      <c r="CJ37" s="546"/>
      <c r="CK37" s="546"/>
      <c r="CL37" s="546"/>
      <c r="CM37" s="546"/>
      <c r="CN37" s="546"/>
      <c r="CO37" s="546"/>
      <c r="CP37" s="546"/>
      <c r="CQ37" s="546"/>
      <c r="CR37" s="546"/>
      <c r="CS37" s="546"/>
      <c r="CT37" s="546"/>
      <c r="CU37" s="546"/>
      <c r="CV37" s="546"/>
      <c r="CW37" s="546"/>
      <c r="CX37" s="546"/>
      <c r="CY37" s="546"/>
      <c r="CZ37" s="546"/>
      <c r="DA37" s="546"/>
      <c r="DB37" s="546"/>
      <c r="DC37" s="546"/>
      <c r="DD37" s="546"/>
      <c r="DE37" s="546"/>
      <c r="DF37" s="546"/>
      <c r="DG37" s="546"/>
      <c r="DH37" s="546"/>
      <c r="DI37" s="546"/>
      <c r="DJ37" s="546"/>
      <c r="DK37" s="546"/>
      <c r="DL37" s="546"/>
      <c r="DM37" s="546"/>
      <c r="DN37" s="546"/>
      <c r="DO37" s="546"/>
      <c r="DP37" s="546"/>
      <c r="DQ37" s="546"/>
      <c r="DR37" s="546"/>
      <c r="DS37" s="546"/>
      <c r="DT37" s="546"/>
      <c r="DU37" s="546"/>
      <c r="DV37" s="546"/>
      <c r="DW37" s="546"/>
      <c r="DX37" s="546"/>
      <c r="DY37" s="546"/>
      <c r="DZ37" s="546"/>
      <c r="EA37" s="546"/>
      <c r="EB37" s="546"/>
      <c r="EC37" s="546"/>
      <c r="ED37" s="546"/>
      <c r="EE37" s="546"/>
      <c r="EF37" s="546"/>
      <c r="EG37" s="546"/>
      <c r="EH37" s="546"/>
      <c r="EI37" s="546"/>
      <c r="EJ37" s="546"/>
      <c r="EK37" s="546"/>
      <c r="EL37" s="546"/>
      <c r="EM37" s="546"/>
      <c r="EN37" s="546"/>
      <c r="EO37" s="546"/>
      <c r="EP37" s="546"/>
      <c r="EQ37" s="546"/>
      <c r="ER37" s="546"/>
      <c r="ES37" s="546"/>
      <c r="ET37" s="546"/>
      <c r="EU37" s="546"/>
      <c r="EV37" s="546"/>
      <c r="EW37" s="546"/>
      <c r="EX37" s="546"/>
      <c r="EY37" s="546"/>
      <c r="EZ37" s="546"/>
      <c r="FA37" s="546"/>
      <c r="FB37" s="546"/>
      <c r="FC37" s="546"/>
      <c r="FD37" s="546"/>
      <c r="FE37" s="546"/>
      <c r="FF37" s="546"/>
      <c r="FG37" s="546"/>
      <c r="FH37" s="546"/>
      <c r="FI37" s="546"/>
      <c r="FJ37" s="546"/>
      <c r="FK37" s="546"/>
      <c r="FL37" s="546"/>
      <c r="FM37" s="546"/>
      <c r="FN37" s="546"/>
      <c r="FO37" s="546"/>
      <c r="FP37" s="546"/>
      <c r="FQ37" s="546"/>
      <c r="FR37" s="546"/>
      <c r="FS37" s="546"/>
      <c r="FT37" s="546"/>
      <c r="FU37" s="546"/>
      <c r="FV37" s="546"/>
      <c r="FW37" s="546"/>
      <c r="FX37" s="546"/>
      <c r="FY37" s="546"/>
      <c r="FZ37" s="546"/>
      <c r="GA37" s="546"/>
      <c r="GB37" s="546"/>
      <c r="GC37" s="546"/>
      <c r="GD37" s="546"/>
      <c r="GE37" s="546"/>
      <c r="GF37" s="546"/>
      <c r="GG37" s="546"/>
      <c r="GH37" s="546"/>
      <c r="GI37" s="546"/>
      <c r="GJ37" s="546"/>
      <c r="GK37" s="546"/>
      <c r="GL37" s="546"/>
      <c r="GM37" s="546"/>
      <c r="GN37" s="546"/>
      <c r="GO37" s="546"/>
      <c r="GP37" s="546"/>
      <c r="GQ37" s="546"/>
      <c r="GR37" s="546"/>
      <c r="GS37" s="546"/>
      <c r="GT37" s="546"/>
      <c r="GU37" s="546"/>
      <c r="GV37" s="546"/>
      <c r="GW37" s="546"/>
      <c r="GX37" s="546"/>
      <c r="GY37" s="546"/>
      <c r="GZ37" s="546"/>
      <c r="HA37" s="546"/>
      <c r="HB37" s="546"/>
      <c r="HC37" s="546"/>
      <c r="HD37" s="546"/>
      <c r="HE37" s="546"/>
      <c r="HF37" s="546"/>
      <c r="HG37" s="546"/>
      <c r="HH37" s="546"/>
      <c r="HI37" s="546"/>
      <c r="HJ37" s="546"/>
      <c r="HK37" s="546"/>
      <c r="HL37" s="546"/>
      <c r="HM37" s="546"/>
      <c r="HN37" s="546"/>
      <c r="HO37" s="546"/>
      <c r="HP37" s="546"/>
      <c r="HQ37" s="546"/>
      <c r="HR37" s="546"/>
      <c r="HS37" s="546"/>
      <c r="HT37" s="546"/>
      <c r="HU37" s="546"/>
      <c r="HV37" s="546"/>
      <c r="HW37" s="546"/>
      <c r="HX37" s="546"/>
      <c r="HY37" s="546"/>
      <c r="HZ37" s="546"/>
      <c r="IA37" s="546"/>
      <c r="IB37" s="546"/>
      <c r="IC37" s="546"/>
      <c r="ID37" s="546"/>
      <c r="IE37" s="546"/>
      <c r="IF37" s="546"/>
      <c r="IG37" s="546"/>
      <c r="IH37" s="546"/>
      <c r="II37" s="546"/>
      <c r="IJ37" s="546"/>
      <c r="IK37" s="546"/>
      <c r="IL37" s="546"/>
      <c r="IM37" s="546"/>
      <c r="IN37" s="546"/>
      <c r="IO37" s="546"/>
      <c r="IP37" s="546"/>
      <c r="IQ37" s="546"/>
      <c r="IR37" s="546"/>
      <c r="IS37" s="546"/>
      <c r="IT37" s="546"/>
      <c r="IU37" s="546"/>
      <c r="IV37" s="546"/>
    </row>
    <row r="38" spans="1:256" s="542" customFormat="1" x14ac:dyDescent="0.25">
      <c r="A38" s="540" t="s">
        <v>22</v>
      </c>
      <c r="B38" s="541">
        <v>1</v>
      </c>
      <c r="C38" s="541">
        <v>1</v>
      </c>
      <c r="D38" s="542" t="s">
        <v>785</v>
      </c>
      <c r="E38" s="543" t="s">
        <v>789</v>
      </c>
      <c r="F38" s="544" t="s">
        <v>596</v>
      </c>
      <c r="G38" s="541">
        <v>1024</v>
      </c>
      <c r="H38" s="545" t="s">
        <v>29</v>
      </c>
      <c r="I38" s="544" t="s">
        <v>30</v>
      </c>
      <c r="J38" s="541"/>
      <c r="K38" s="544" t="s">
        <v>18</v>
      </c>
      <c r="L38" s="541">
        <v>0</v>
      </c>
      <c r="M38" s="543"/>
      <c r="N38" s="542" t="s">
        <v>793</v>
      </c>
      <c r="O38" s="543"/>
      <c r="P38" s="544"/>
      <c r="Q38" s="543"/>
      <c r="R38" s="546"/>
      <c r="S38" s="546"/>
      <c r="T38" s="546"/>
      <c r="U38" s="546"/>
      <c r="V38" s="546"/>
      <c r="W38" s="546"/>
      <c r="X38" s="546"/>
      <c r="Y38" s="546"/>
      <c r="Z38" s="546"/>
      <c r="AA38" s="546"/>
      <c r="AB38" s="546"/>
      <c r="AC38" s="546"/>
      <c r="AD38" s="546"/>
      <c r="AE38" s="546"/>
      <c r="AF38" s="546"/>
      <c r="AG38" s="546"/>
      <c r="AH38" s="546"/>
      <c r="AI38" s="546"/>
      <c r="AJ38" s="546"/>
      <c r="AK38" s="546"/>
      <c r="AL38" s="546"/>
      <c r="AM38" s="546"/>
      <c r="AN38" s="546"/>
      <c r="AO38" s="546"/>
      <c r="AP38" s="546"/>
      <c r="AQ38" s="546"/>
      <c r="AR38" s="546"/>
      <c r="AS38" s="546"/>
      <c r="AT38" s="546"/>
      <c r="AU38" s="546"/>
      <c r="AV38" s="546"/>
      <c r="AW38" s="546"/>
      <c r="AX38" s="546"/>
      <c r="AY38" s="546"/>
      <c r="AZ38" s="546"/>
      <c r="BA38" s="546"/>
      <c r="BB38" s="546"/>
      <c r="BC38" s="546"/>
      <c r="BD38" s="546"/>
      <c r="BE38" s="546"/>
      <c r="BF38" s="546"/>
      <c r="BG38" s="546"/>
      <c r="BH38" s="546"/>
      <c r="BI38" s="546"/>
      <c r="BJ38" s="546"/>
      <c r="BK38" s="546"/>
      <c r="BL38" s="546"/>
      <c r="BM38" s="546"/>
      <c r="BN38" s="546"/>
      <c r="BO38" s="546"/>
      <c r="BP38" s="546"/>
      <c r="BQ38" s="546"/>
      <c r="BR38" s="546"/>
      <c r="BS38" s="546"/>
      <c r="BT38" s="546"/>
      <c r="BU38" s="546"/>
      <c r="BV38" s="546"/>
      <c r="BW38" s="546"/>
      <c r="BX38" s="546"/>
      <c r="BY38" s="546"/>
      <c r="BZ38" s="546"/>
      <c r="CA38" s="546"/>
      <c r="CB38" s="546"/>
      <c r="CC38" s="546"/>
      <c r="CD38" s="546"/>
      <c r="CE38" s="546"/>
      <c r="CF38" s="546"/>
      <c r="CG38" s="546"/>
      <c r="CH38" s="546"/>
      <c r="CI38" s="546"/>
      <c r="CJ38" s="546"/>
      <c r="CK38" s="546"/>
      <c r="CL38" s="546"/>
      <c r="CM38" s="546"/>
      <c r="CN38" s="546"/>
      <c r="CO38" s="546"/>
      <c r="CP38" s="546"/>
      <c r="CQ38" s="546"/>
      <c r="CR38" s="546"/>
      <c r="CS38" s="546"/>
      <c r="CT38" s="546"/>
      <c r="CU38" s="546"/>
      <c r="CV38" s="546"/>
      <c r="CW38" s="546"/>
      <c r="CX38" s="546"/>
      <c r="CY38" s="546"/>
      <c r="CZ38" s="546"/>
      <c r="DA38" s="546"/>
      <c r="DB38" s="546"/>
      <c r="DC38" s="546"/>
      <c r="DD38" s="546"/>
      <c r="DE38" s="546"/>
      <c r="DF38" s="546"/>
      <c r="DG38" s="546"/>
      <c r="DH38" s="546"/>
      <c r="DI38" s="546"/>
      <c r="DJ38" s="546"/>
      <c r="DK38" s="546"/>
      <c r="DL38" s="546"/>
      <c r="DM38" s="546"/>
      <c r="DN38" s="546"/>
      <c r="DO38" s="546"/>
      <c r="DP38" s="546"/>
      <c r="DQ38" s="546"/>
      <c r="DR38" s="546"/>
      <c r="DS38" s="546"/>
      <c r="DT38" s="546"/>
      <c r="DU38" s="546"/>
      <c r="DV38" s="546"/>
      <c r="DW38" s="546"/>
      <c r="DX38" s="546"/>
      <c r="DY38" s="546"/>
      <c r="DZ38" s="546"/>
      <c r="EA38" s="546"/>
      <c r="EB38" s="546"/>
      <c r="EC38" s="546"/>
      <c r="ED38" s="546"/>
      <c r="EE38" s="546"/>
      <c r="EF38" s="546"/>
      <c r="EG38" s="546"/>
      <c r="EH38" s="546"/>
      <c r="EI38" s="546"/>
      <c r="EJ38" s="546"/>
      <c r="EK38" s="546"/>
      <c r="EL38" s="546"/>
      <c r="EM38" s="546"/>
      <c r="EN38" s="546"/>
      <c r="EO38" s="546"/>
      <c r="EP38" s="546"/>
      <c r="EQ38" s="546"/>
      <c r="ER38" s="546"/>
      <c r="ES38" s="546"/>
      <c r="ET38" s="546"/>
      <c r="EU38" s="546"/>
      <c r="EV38" s="546"/>
      <c r="EW38" s="546"/>
      <c r="EX38" s="546"/>
      <c r="EY38" s="546"/>
      <c r="EZ38" s="546"/>
      <c r="FA38" s="546"/>
      <c r="FB38" s="546"/>
      <c r="FC38" s="546"/>
      <c r="FD38" s="546"/>
      <c r="FE38" s="546"/>
      <c r="FF38" s="546"/>
      <c r="FG38" s="546"/>
      <c r="FH38" s="546"/>
      <c r="FI38" s="546"/>
      <c r="FJ38" s="546"/>
      <c r="FK38" s="546"/>
      <c r="FL38" s="546"/>
      <c r="FM38" s="546"/>
      <c r="FN38" s="546"/>
      <c r="FO38" s="546"/>
      <c r="FP38" s="546"/>
      <c r="FQ38" s="546"/>
      <c r="FR38" s="546"/>
      <c r="FS38" s="546"/>
      <c r="FT38" s="546"/>
      <c r="FU38" s="546"/>
      <c r="FV38" s="546"/>
      <c r="FW38" s="546"/>
      <c r="FX38" s="546"/>
      <c r="FY38" s="546"/>
      <c r="FZ38" s="546"/>
      <c r="GA38" s="546"/>
      <c r="GB38" s="546"/>
      <c r="GC38" s="546"/>
      <c r="GD38" s="546"/>
      <c r="GE38" s="546"/>
      <c r="GF38" s="546"/>
      <c r="GG38" s="546"/>
      <c r="GH38" s="546"/>
      <c r="GI38" s="546"/>
      <c r="GJ38" s="546"/>
      <c r="GK38" s="546"/>
      <c r="GL38" s="546"/>
      <c r="GM38" s="546"/>
      <c r="GN38" s="546"/>
      <c r="GO38" s="546"/>
      <c r="GP38" s="546"/>
      <c r="GQ38" s="546"/>
      <c r="GR38" s="546"/>
      <c r="GS38" s="546"/>
      <c r="GT38" s="546"/>
      <c r="GU38" s="546"/>
      <c r="GV38" s="546"/>
      <c r="GW38" s="546"/>
      <c r="GX38" s="546"/>
      <c r="GY38" s="546"/>
      <c r="GZ38" s="546"/>
      <c r="HA38" s="546"/>
      <c r="HB38" s="546"/>
      <c r="HC38" s="546"/>
      <c r="HD38" s="546"/>
      <c r="HE38" s="546"/>
      <c r="HF38" s="546"/>
      <c r="HG38" s="546"/>
      <c r="HH38" s="546"/>
      <c r="HI38" s="546"/>
      <c r="HJ38" s="546"/>
      <c r="HK38" s="546"/>
      <c r="HL38" s="546"/>
      <c r="HM38" s="546"/>
      <c r="HN38" s="546"/>
      <c r="HO38" s="546"/>
      <c r="HP38" s="546"/>
      <c r="HQ38" s="546"/>
      <c r="HR38" s="546"/>
      <c r="HS38" s="546"/>
      <c r="HT38" s="546"/>
      <c r="HU38" s="546"/>
      <c r="HV38" s="546"/>
      <c r="HW38" s="546"/>
      <c r="HX38" s="546"/>
      <c r="HY38" s="546"/>
      <c r="HZ38" s="546"/>
      <c r="IA38" s="546"/>
      <c r="IB38" s="546"/>
      <c r="IC38" s="546"/>
      <c r="ID38" s="546"/>
      <c r="IE38" s="546"/>
      <c r="IF38" s="546"/>
      <c r="IG38" s="546"/>
      <c r="IH38" s="546"/>
      <c r="II38" s="546"/>
      <c r="IJ38" s="546"/>
      <c r="IK38" s="546"/>
      <c r="IL38" s="546"/>
      <c r="IM38" s="546"/>
      <c r="IN38" s="546"/>
      <c r="IO38" s="546"/>
      <c r="IP38" s="546"/>
      <c r="IQ38" s="546"/>
      <c r="IR38" s="546"/>
      <c r="IS38" s="546"/>
      <c r="IT38" s="546"/>
      <c r="IU38" s="546"/>
      <c r="IV38" s="546"/>
    </row>
    <row r="39" spans="1:256" s="204" customFormat="1" x14ac:dyDescent="0.25">
      <c r="A39" s="236" t="s">
        <v>22</v>
      </c>
      <c r="B39" s="231">
        <v>13</v>
      </c>
      <c r="C39" s="231">
        <v>1</v>
      </c>
      <c r="D39" s="204" t="s">
        <v>472</v>
      </c>
      <c r="E39" s="203" t="s">
        <v>339</v>
      </c>
      <c r="F39" s="214" t="s">
        <v>89</v>
      </c>
      <c r="G39" s="231" t="s">
        <v>21</v>
      </c>
      <c r="H39" s="202" t="s">
        <v>29</v>
      </c>
      <c r="I39" s="214" t="s">
        <v>30</v>
      </c>
      <c r="J39" s="231"/>
      <c r="K39" s="214" t="s">
        <v>350</v>
      </c>
      <c r="L39" s="231">
        <v>2</v>
      </c>
      <c r="M39" s="203"/>
      <c r="N39" s="203" t="s">
        <v>478</v>
      </c>
      <c r="O39" s="203"/>
      <c r="P39" s="214"/>
      <c r="Q39" s="203"/>
      <c r="R39" s="392"/>
      <c r="S39" s="392"/>
      <c r="T39" s="392"/>
      <c r="U39" s="392"/>
      <c r="V39" s="392"/>
      <c r="W39" s="392"/>
      <c r="X39" s="392"/>
      <c r="Y39" s="392"/>
      <c r="Z39" s="392"/>
      <c r="AA39" s="392"/>
      <c r="AB39" s="392"/>
      <c r="AC39" s="392"/>
      <c r="AD39" s="392"/>
      <c r="AE39" s="392"/>
      <c r="AF39" s="392"/>
      <c r="AG39" s="392"/>
      <c r="AH39" s="392"/>
      <c r="AI39" s="392"/>
      <c r="AJ39" s="392"/>
      <c r="AK39" s="392"/>
      <c r="AL39" s="392"/>
      <c r="AM39" s="392"/>
      <c r="AN39" s="392"/>
      <c r="AO39" s="392"/>
      <c r="AP39" s="392"/>
      <c r="AQ39" s="392"/>
      <c r="AR39" s="392"/>
      <c r="AS39" s="392"/>
      <c r="AT39" s="392"/>
      <c r="AU39" s="392"/>
      <c r="AV39" s="392"/>
      <c r="AW39" s="392"/>
      <c r="AX39" s="392"/>
      <c r="AY39" s="392"/>
      <c r="AZ39" s="392"/>
      <c r="BA39" s="392"/>
      <c r="BB39" s="392"/>
      <c r="BC39" s="392"/>
      <c r="BD39" s="392"/>
      <c r="BE39" s="392"/>
      <c r="BF39" s="392"/>
      <c r="BG39" s="392"/>
      <c r="BH39" s="392"/>
      <c r="BI39" s="392"/>
      <c r="BJ39" s="392"/>
      <c r="BK39" s="392"/>
      <c r="BL39" s="392"/>
      <c r="BM39" s="392"/>
      <c r="BN39" s="392"/>
      <c r="BO39" s="392"/>
      <c r="BP39" s="392"/>
      <c r="BQ39" s="392"/>
      <c r="BR39" s="392"/>
      <c r="BS39" s="392"/>
      <c r="BT39" s="392"/>
      <c r="BU39" s="392"/>
      <c r="BV39" s="392"/>
      <c r="BW39" s="392"/>
      <c r="BX39" s="392"/>
      <c r="BY39" s="392"/>
      <c r="BZ39" s="392"/>
      <c r="CA39" s="392"/>
      <c r="CB39" s="392"/>
      <c r="CC39" s="392"/>
      <c r="CD39" s="392"/>
      <c r="CE39" s="392"/>
      <c r="CF39" s="392"/>
      <c r="CG39" s="392"/>
      <c r="CH39" s="392"/>
      <c r="CI39" s="392"/>
      <c r="CJ39" s="392"/>
      <c r="CK39" s="392"/>
      <c r="CL39" s="392"/>
      <c r="CM39" s="392"/>
      <c r="CN39" s="392"/>
      <c r="CO39" s="392"/>
      <c r="CP39" s="392"/>
      <c r="CQ39" s="392"/>
      <c r="CR39" s="392"/>
      <c r="CS39" s="392"/>
      <c r="CT39" s="392"/>
      <c r="CU39" s="392"/>
      <c r="CV39" s="392"/>
      <c r="CW39" s="392"/>
      <c r="CX39" s="392"/>
      <c r="CY39" s="392"/>
      <c r="CZ39" s="392"/>
      <c r="DA39" s="392"/>
      <c r="DB39" s="392"/>
      <c r="DC39" s="392"/>
      <c r="DD39" s="392"/>
      <c r="DE39" s="392"/>
      <c r="DF39" s="392"/>
      <c r="DG39" s="392"/>
      <c r="DH39" s="392"/>
      <c r="DI39" s="392"/>
      <c r="DJ39" s="392"/>
      <c r="DK39" s="392"/>
      <c r="DL39" s="392"/>
      <c r="DM39" s="392"/>
      <c r="DN39" s="392"/>
      <c r="DO39" s="392"/>
      <c r="DP39" s="392"/>
      <c r="DQ39" s="392"/>
      <c r="DR39" s="392"/>
      <c r="DS39" s="392"/>
      <c r="DT39" s="392"/>
      <c r="DU39" s="392"/>
      <c r="DV39" s="392"/>
      <c r="DW39" s="392"/>
      <c r="DX39" s="392"/>
      <c r="DY39" s="392"/>
      <c r="DZ39" s="392"/>
      <c r="EA39" s="392"/>
      <c r="EB39" s="392"/>
      <c r="EC39" s="392"/>
      <c r="ED39" s="392"/>
      <c r="EE39" s="392"/>
      <c r="EF39" s="392"/>
      <c r="EG39" s="392"/>
      <c r="EH39" s="392"/>
      <c r="EI39" s="392"/>
      <c r="EJ39" s="392"/>
      <c r="EK39" s="392"/>
      <c r="EL39" s="392"/>
      <c r="EM39" s="392"/>
      <c r="EN39" s="392"/>
      <c r="EO39" s="392"/>
      <c r="EP39" s="392"/>
      <c r="EQ39" s="392"/>
      <c r="ER39" s="392"/>
      <c r="ES39" s="392"/>
      <c r="ET39" s="392"/>
      <c r="EU39" s="392"/>
      <c r="EV39" s="392"/>
      <c r="EW39" s="392"/>
      <c r="EX39" s="392"/>
      <c r="EY39" s="392"/>
      <c r="EZ39" s="392"/>
      <c r="FA39" s="392"/>
      <c r="FB39" s="392"/>
      <c r="FC39" s="392"/>
      <c r="FD39" s="392"/>
      <c r="FE39" s="392"/>
      <c r="FF39" s="392"/>
      <c r="FG39" s="392"/>
      <c r="FH39" s="392"/>
      <c r="FI39" s="392"/>
      <c r="FJ39" s="392"/>
      <c r="FK39" s="392"/>
      <c r="FL39" s="392"/>
      <c r="FM39" s="392"/>
      <c r="FN39" s="392"/>
      <c r="FO39" s="392"/>
      <c r="FP39" s="392"/>
      <c r="FQ39" s="392"/>
      <c r="FR39" s="392"/>
      <c r="FS39" s="392"/>
      <c r="FT39" s="392"/>
      <c r="FU39" s="392"/>
      <c r="FV39" s="392"/>
      <c r="FW39" s="392"/>
      <c r="FX39" s="392"/>
      <c r="FY39" s="392"/>
      <c r="FZ39" s="392"/>
      <c r="GA39" s="392"/>
      <c r="GB39" s="392"/>
      <c r="GC39" s="392"/>
      <c r="GD39" s="392"/>
      <c r="GE39" s="392"/>
      <c r="GF39" s="392"/>
      <c r="GG39" s="392"/>
      <c r="GH39" s="392"/>
      <c r="GI39" s="392"/>
      <c r="GJ39" s="392"/>
      <c r="GK39" s="392"/>
      <c r="GL39" s="392"/>
      <c r="GM39" s="392"/>
      <c r="GN39" s="392"/>
      <c r="GO39" s="392"/>
      <c r="GP39" s="392"/>
      <c r="GQ39" s="392"/>
      <c r="GR39" s="392"/>
      <c r="GS39" s="392"/>
      <c r="GT39" s="392"/>
      <c r="GU39" s="392"/>
      <c r="GV39" s="392"/>
      <c r="GW39" s="392"/>
      <c r="GX39" s="392"/>
      <c r="GY39" s="392"/>
      <c r="GZ39" s="392"/>
      <c r="HA39" s="392"/>
      <c r="HB39" s="392"/>
      <c r="HC39" s="392"/>
      <c r="HD39" s="392"/>
      <c r="HE39" s="392"/>
      <c r="HF39" s="392"/>
      <c r="HG39" s="392"/>
      <c r="HH39" s="392"/>
      <c r="HI39" s="392"/>
      <c r="HJ39" s="392"/>
      <c r="HK39" s="392"/>
      <c r="HL39" s="392"/>
      <c r="HM39" s="392"/>
      <c r="HN39" s="392"/>
      <c r="HO39" s="392"/>
      <c r="HP39" s="392"/>
      <c r="HQ39" s="392"/>
      <c r="HR39" s="392"/>
      <c r="HS39" s="392"/>
      <c r="HT39" s="392"/>
      <c r="HU39" s="392"/>
      <c r="HV39" s="392"/>
      <c r="HW39" s="392"/>
      <c r="HX39" s="392"/>
      <c r="HY39" s="392"/>
      <c r="HZ39" s="392"/>
      <c r="IA39" s="392"/>
      <c r="IB39" s="392"/>
      <c r="IC39" s="392"/>
      <c r="ID39" s="392"/>
      <c r="IE39" s="392"/>
      <c r="IF39" s="392"/>
      <c r="IG39" s="392"/>
      <c r="IH39" s="392"/>
      <c r="II39" s="392"/>
      <c r="IJ39" s="392"/>
      <c r="IK39" s="392"/>
      <c r="IL39" s="392"/>
      <c r="IM39" s="392"/>
      <c r="IN39" s="392"/>
      <c r="IO39" s="392"/>
      <c r="IP39" s="392"/>
      <c r="IQ39" s="392"/>
      <c r="IR39" s="392"/>
      <c r="IS39" s="392"/>
      <c r="IT39" s="392"/>
      <c r="IU39" s="392"/>
      <c r="IV39" s="392"/>
    </row>
    <row r="40" spans="1:256" s="340" customFormat="1" x14ac:dyDescent="0.25">
      <c r="A40" s="338" t="s">
        <v>22</v>
      </c>
      <c r="B40" s="276">
        <v>1</v>
      </c>
      <c r="C40" s="276">
        <v>1</v>
      </c>
      <c r="D40" s="371" t="s">
        <v>752</v>
      </c>
      <c r="E40" s="265" t="s">
        <v>757</v>
      </c>
      <c r="F40" s="264" t="s">
        <v>233</v>
      </c>
      <c r="G40" s="276">
        <v>1024</v>
      </c>
      <c r="H40" s="275" t="s">
        <v>29</v>
      </c>
      <c r="I40" s="264" t="s">
        <v>26</v>
      </c>
      <c r="J40" s="276">
        <v>32</v>
      </c>
      <c r="K40" s="264" t="s">
        <v>82</v>
      </c>
      <c r="L40" s="276" t="s">
        <v>762</v>
      </c>
      <c r="M40" s="265"/>
      <c r="N40" s="371" t="s">
        <v>763</v>
      </c>
      <c r="O40" s="265"/>
      <c r="P40" s="264"/>
      <c r="Q40" s="265"/>
      <c r="R40" s="339"/>
      <c r="S40" s="339"/>
      <c r="T40" s="339"/>
      <c r="U40" s="339"/>
      <c r="V40" s="339"/>
      <c r="W40" s="339"/>
      <c r="X40" s="339"/>
      <c r="Y40" s="339"/>
      <c r="Z40" s="339"/>
      <c r="AA40" s="339"/>
      <c r="AB40" s="339"/>
      <c r="AC40" s="339"/>
      <c r="AD40" s="339"/>
      <c r="AE40" s="339"/>
      <c r="AF40" s="339"/>
      <c r="AG40" s="339"/>
      <c r="AH40" s="339"/>
      <c r="AI40" s="339"/>
      <c r="AJ40" s="339"/>
      <c r="AK40" s="339"/>
      <c r="AL40" s="339"/>
      <c r="AM40" s="339"/>
      <c r="AN40" s="339"/>
      <c r="AO40" s="339"/>
      <c r="AP40" s="339"/>
      <c r="AQ40" s="339"/>
      <c r="AR40" s="339"/>
      <c r="AS40" s="339"/>
      <c r="AT40" s="339"/>
      <c r="AU40" s="339"/>
      <c r="AV40" s="339"/>
      <c r="AW40" s="339"/>
      <c r="AX40" s="339"/>
      <c r="AY40" s="339"/>
      <c r="AZ40" s="339"/>
      <c r="BA40" s="339"/>
      <c r="BB40" s="339"/>
      <c r="BC40" s="339"/>
      <c r="BD40" s="339"/>
      <c r="BE40" s="339"/>
      <c r="BF40" s="339"/>
      <c r="BG40" s="339"/>
      <c r="BH40" s="339"/>
      <c r="BI40" s="339"/>
      <c r="BJ40" s="339"/>
      <c r="BK40" s="339"/>
      <c r="BL40" s="339"/>
      <c r="BM40" s="339"/>
      <c r="BN40" s="339"/>
      <c r="BO40" s="339"/>
      <c r="BP40" s="339"/>
      <c r="BQ40" s="339"/>
      <c r="BR40" s="339"/>
      <c r="BS40" s="339"/>
      <c r="BT40" s="339"/>
      <c r="BU40" s="339"/>
      <c r="BV40" s="339"/>
      <c r="BW40" s="339"/>
      <c r="BX40" s="339"/>
      <c r="BY40" s="339"/>
      <c r="BZ40" s="339"/>
      <c r="CA40" s="339"/>
      <c r="CB40" s="339"/>
      <c r="CC40" s="339"/>
      <c r="CD40" s="339"/>
      <c r="CE40" s="339"/>
      <c r="CF40" s="339"/>
      <c r="CG40" s="339"/>
      <c r="CH40" s="339"/>
      <c r="CI40" s="339"/>
      <c r="CJ40" s="339"/>
      <c r="CK40" s="339"/>
      <c r="CL40" s="339"/>
      <c r="CM40" s="339"/>
      <c r="CN40" s="339"/>
      <c r="CO40" s="339"/>
      <c r="CP40" s="339"/>
      <c r="CQ40" s="339"/>
      <c r="CR40" s="339"/>
      <c r="CS40" s="339"/>
      <c r="CT40" s="339"/>
      <c r="CU40" s="339"/>
      <c r="CV40" s="339"/>
      <c r="CW40" s="339"/>
      <c r="CX40" s="339"/>
      <c r="CY40" s="339"/>
      <c r="CZ40" s="339"/>
      <c r="DA40" s="339"/>
      <c r="DB40" s="339"/>
      <c r="DC40" s="339"/>
      <c r="DD40" s="339"/>
      <c r="DE40" s="339"/>
      <c r="DF40" s="339"/>
      <c r="DG40" s="339"/>
      <c r="DH40" s="339"/>
      <c r="DI40" s="339"/>
      <c r="DJ40" s="339"/>
      <c r="DK40" s="339"/>
      <c r="DL40" s="339"/>
      <c r="DM40" s="339"/>
      <c r="DN40" s="339"/>
      <c r="DO40" s="339"/>
      <c r="DP40" s="339"/>
      <c r="DQ40" s="339"/>
      <c r="DR40" s="339"/>
      <c r="DS40" s="339"/>
      <c r="DT40" s="339"/>
      <c r="DU40" s="339"/>
      <c r="DV40" s="339"/>
      <c r="DW40" s="339"/>
      <c r="DX40" s="339"/>
      <c r="DY40" s="339"/>
      <c r="DZ40" s="339"/>
      <c r="EA40" s="339"/>
      <c r="EB40" s="339"/>
      <c r="EC40" s="339"/>
      <c r="ED40" s="339"/>
      <c r="EE40" s="339"/>
      <c r="EF40" s="339"/>
      <c r="EG40" s="339"/>
      <c r="EH40" s="339"/>
      <c r="EI40" s="339"/>
      <c r="EJ40" s="339"/>
      <c r="EK40" s="339"/>
      <c r="EL40" s="339"/>
      <c r="EM40" s="339"/>
      <c r="EN40" s="339"/>
      <c r="EO40" s="339"/>
      <c r="EP40" s="339"/>
      <c r="EQ40" s="339"/>
      <c r="ER40" s="339"/>
      <c r="ES40" s="339"/>
      <c r="ET40" s="339"/>
      <c r="EU40" s="339"/>
      <c r="EV40" s="339"/>
      <c r="EW40" s="339"/>
      <c r="EX40" s="339"/>
      <c r="EY40" s="339"/>
      <c r="EZ40" s="339"/>
      <c r="FA40" s="339"/>
      <c r="FB40" s="339"/>
      <c r="FC40" s="339"/>
      <c r="FD40" s="339"/>
      <c r="FE40" s="339"/>
      <c r="FF40" s="339"/>
      <c r="FG40" s="339"/>
      <c r="FH40" s="339"/>
      <c r="FI40" s="339"/>
      <c r="FJ40" s="339"/>
      <c r="FK40" s="339"/>
      <c r="FL40" s="339"/>
      <c r="FM40" s="339"/>
      <c r="FN40" s="339"/>
      <c r="FO40" s="339"/>
      <c r="FP40" s="339"/>
      <c r="FQ40" s="339"/>
      <c r="FR40" s="339"/>
      <c r="FS40" s="339"/>
      <c r="FT40" s="339"/>
      <c r="FU40" s="339"/>
      <c r="FV40" s="339"/>
      <c r="FW40" s="339"/>
      <c r="FX40" s="339"/>
      <c r="FY40" s="339"/>
      <c r="FZ40" s="339"/>
      <c r="GA40" s="339"/>
      <c r="GB40" s="339"/>
      <c r="GC40" s="339"/>
      <c r="GD40" s="339"/>
      <c r="GE40" s="339"/>
      <c r="GF40" s="339"/>
      <c r="GG40" s="339"/>
      <c r="GH40" s="339"/>
      <c r="GI40" s="339"/>
      <c r="GJ40" s="339"/>
      <c r="GK40" s="339"/>
      <c r="GL40" s="339"/>
      <c r="GM40" s="339"/>
      <c r="GN40" s="339"/>
      <c r="GO40" s="339"/>
      <c r="GP40" s="339"/>
      <c r="GQ40" s="339"/>
      <c r="GR40" s="339"/>
      <c r="GS40" s="339"/>
      <c r="GT40" s="339"/>
      <c r="GU40" s="339"/>
      <c r="GV40" s="339"/>
      <c r="GW40" s="339"/>
      <c r="GX40" s="339"/>
      <c r="GY40" s="339"/>
      <c r="GZ40" s="339"/>
      <c r="HA40" s="339"/>
      <c r="HB40" s="339"/>
      <c r="HC40" s="339"/>
      <c r="HD40" s="339"/>
      <c r="HE40" s="339"/>
      <c r="HF40" s="339"/>
      <c r="HG40" s="339"/>
      <c r="HH40" s="339"/>
      <c r="HI40" s="339"/>
      <c r="HJ40" s="339"/>
      <c r="HK40" s="339"/>
      <c r="HL40" s="339"/>
      <c r="HM40" s="339"/>
      <c r="HN40" s="339"/>
      <c r="HO40" s="339"/>
      <c r="HP40" s="339"/>
      <c r="HQ40" s="339"/>
      <c r="HR40" s="339"/>
      <c r="HS40" s="339"/>
      <c r="HT40" s="339"/>
      <c r="HU40" s="339"/>
      <c r="HV40" s="339"/>
      <c r="HW40" s="339"/>
      <c r="HX40" s="339"/>
      <c r="HY40" s="339"/>
      <c r="HZ40" s="339"/>
      <c r="IA40" s="339"/>
      <c r="IB40" s="339"/>
      <c r="IC40" s="339"/>
      <c r="ID40" s="339"/>
      <c r="IE40" s="339"/>
      <c r="IF40" s="339"/>
      <c r="IG40" s="339"/>
      <c r="IH40" s="339"/>
      <c r="II40" s="339"/>
      <c r="IJ40" s="339"/>
      <c r="IK40" s="339"/>
      <c r="IL40" s="339"/>
      <c r="IM40" s="339"/>
      <c r="IN40" s="339"/>
      <c r="IO40" s="339"/>
      <c r="IP40" s="339"/>
      <c r="IQ40" s="339"/>
      <c r="IR40" s="339"/>
      <c r="IS40" s="339"/>
      <c r="IT40" s="339"/>
      <c r="IU40" s="339"/>
      <c r="IV40" s="339"/>
    </row>
    <row r="41" spans="1:256" s="340" customFormat="1" x14ac:dyDescent="0.25">
      <c r="A41" s="338" t="s">
        <v>22</v>
      </c>
      <c r="B41" s="276">
        <v>1</v>
      </c>
      <c r="C41" s="276">
        <v>1</v>
      </c>
      <c r="D41" s="371" t="s">
        <v>753</v>
      </c>
      <c r="E41" s="265" t="s">
        <v>758</v>
      </c>
      <c r="F41" s="264" t="s">
        <v>233</v>
      </c>
      <c r="G41" s="276">
        <v>1024</v>
      </c>
      <c r="H41" s="275" t="s">
        <v>29</v>
      </c>
      <c r="I41" s="264" t="s">
        <v>26</v>
      </c>
      <c r="J41" s="276">
        <v>32</v>
      </c>
      <c r="K41" s="264" t="s">
        <v>82</v>
      </c>
      <c r="L41" s="276" t="s">
        <v>134</v>
      </c>
      <c r="M41" s="265"/>
      <c r="N41" s="371" t="s">
        <v>764</v>
      </c>
      <c r="O41" s="265"/>
      <c r="P41" s="264"/>
      <c r="Q41" s="265"/>
      <c r="R41" s="339"/>
      <c r="S41" s="339"/>
      <c r="T41" s="339"/>
      <c r="U41" s="339"/>
      <c r="V41" s="339"/>
      <c r="W41" s="339"/>
      <c r="X41" s="339"/>
      <c r="Y41" s="339"/>
      <c r="Z41" s="339"/>
      <c r="AA41" s="339"/>
      <c r="AB41" s="339"/>
      <c r="AC41" s="339"/>
      <c r="AD41" s="339"/>
      <c r="AE41" s="339"/>
      <c r="AF41" s="339"/>
      <c r="AG41" s="339"/>
      <c r="AH41" s="339"/>
      <c r="AI41" s="339"/>
      <c r="AJ41" s="339"/>
      <c r="AK41" s="339"/>
      <c r="AL41" s="339"/>
      <c r="AM41" s="339"/>
      <c r="AN41" s="339"/>
      <c r="AO41" s="339"/>
      <c r="AP41" s="339"/>
      <c r="AQ41" s="339"/>
      <c r="AR41" s="339"/>
      <c r="AS41" s="339"/>
      <c r="AT41" s="339"/>
      <c r="AU41" s="339"/>
      <c r="AV41" s="339"/>
      <c r="AW41" s="339"/>
      <c r="AX41" s="339"/>
      <c r="AY41" s="339"/>
      <c r="AZ41" s="339"/>
      <c r="BA41" s="339"/>
      <c r="BB41" s="339"/>
      <c r="BC41" s="339"/>
      <c r="BD41" s="339"/>
      <c r="BE41" s="339"/>
      <c r="BF41" s="339"/>
      <c r="BG41" s="339"/>
      <c r="BH41" s="339"/>
      <c r="BI41" s="339"/>
      <c r="BJ41" s="339"/>
      <c r="BK41" s="339"/>
      <c r="BL41" s="339"/>
      <c r="BM41" s="339"/>
      <c r="BN41" s="339"/>
      <c r="BO41" s="339"/>
      <c r="BP41" s="339"/>
      <c r="BQ41" s="339"/>
      <c r="BR41" s="339"/>
      <c r="BS41" s="339"/>
      <c r="BT41" s="339"/>
      <c r="BU41" s="339"/>
      <c r="BV41" s="339"/>
      <c r="BW41" s="339"/>
      <c r="BX41" s="339"/>
      <c r="BY41" s="339"/>
      <c r="BZ41" s="339"/>
      <c r="CA41" s="339"/>
      <c r="CB41" s="339"/>
      <c r="CC41" s="339"/>
      <c r="CD41" s="339"/>
      <c r="CE41" s="339"/>
      <c r="CF41" s="339"/>
      <c r="CG41" s="339"/>
      <c r="CH41" s="339"/>
      <c r="CI41" s="339"/>
      <c r="CJ41" s="339"/>
      <c r="CK41" s="339"/>
      <c r="CL41" s="339"/>
      <c r="CM41" s="339"/>
      <c r="CN41" s="339"/>
      <c r="CO41" s="339"/>
      <c r="CP41" s="339"/>
      <c r="CQ41" s="339"/>
      <c r="CR41" s="339"/>
      <c r="CS41" s="339"/>
      <c r="CT41" s="339"/>
      <c r="CU41" s="339"/>
      <c r="CV41" s="339"/>
      <c r="CW41" s="339"/>
      <c r="CX41" s="339"/>
      <c r="CY41" s="339"/>
      <c r="CZ41" s="339"/>
      <c r="DA41" s="339"/>
      <c r="DB41" s="339"/>
      <c r="DC41" s="339"/>
      <c r="DD41" s="339"/>
      <c r="DE41" s="339"/>
      <c r="DF41" s="339"/>
      <c r="DG41" s="339"/>
      <c r="DH41" s="339"/>
      <c r="DI41" s="339"/>
      <c r="DJ41" s="339"/>
      <c r="DK41" s="339"/>
      <c r="DL41" s="339"/>
      <c r="DM41" s="339"/>
      <c r="DN41" s="339"/>
      <c r="DO41" s="339"/>
      <c r="DP41" s="339"/>
      <c r="DQ41" s="339"/>
      <c r="DR41" s="339"/>
      <c r="DS41" s="339"/>
      <c r="DT41" s="339"/>
      <c r="DU41" s="339"/>
      <c r="DV41" s="339"/>
      <c r="DW41" s="339"/>
      <c r="DX41" s="339"/>
      <c r="DY41" s="339"/>
      <c r="DZ41" s="339"/>
      <c r="EA41" s="339"/>
      <c r="EB41" s="339"/>
      <c r="EC41" s="339"/>
      <c r="ED41" s="339"/>
      <c r="EE41" s="339"/>
      <c r="EF41" s="339"/>
      <c r="EG41" s="339"/>
      <c r="EH41" s="339"/>
      <c r="EI41" s="339"/>
      <c r="EJ41" s="339"/>
      <c r="EK41" s="339"/>
      <c r="EL41" s="339"/>
      <c r="EM41" s="339"/>
      <c r="EN41" s="339"/>
      <c r="EO41" s="339"/>
      <c r="EP41" s="339"/>
      <c r="EQ41" s="339"/>
      <c r="ER41" s="339"/>
      <c r="ES41" s="339"/>
      <c r="ET41" s="339"/>
      <c r="EU41" s="339"/>
      <c r="EV41" s="339"/>
      <c r="EW41" s="339"/>
      <c r="EX41" s="339"/>
      <c r="EY41" s="339"/>
      <c r="EZ41" s="339"/>
      <c r="FA41" s="339"/>
      <c r="FB41" s="339"/>
      <c r="FC41" s="339"/>
      <c r="FD41" s="339"/>
      <c r="FE41" s="339"/>
      <c r="FF41" s="339"/>
      <c r="FG41" s="339"/>
      <c r="FH41" s="339"/>
      <c r="FI41" s="339"/>
      <c r="FJ41" s="339"/>
      <c r="FK41" s="339"/>
      <c r="FL41" s="339"/>
      <c r="FM41" s="339"/>
      <c r="FN41" s="339"/>
      <c r="FO41" s="339"/>
      <c r="FP41" s="339"/>
      <c r="FQ41" s="339"/>
      <c r="FR41" s="339"/>
      <c r="FS41" s="339"/>
      <c r="FT41" s="339"/>
      <c r="FU41" s="339"/>
      <c r="FV41" s="339"/>
      <c r="FW41" s="339"/>
      <c r="FX41" s="339"/>
      <c r="FY41" s="339"/>
      <c r="FZ41" s="339"/>
      <c r="GA41" s="339"/>
      <c r="GB41" s="339"/>
      <c r="GC41" s="339"/>
      <c r="GD41" s="339"/>
      <c r="GE41" s="339"/>
      <c r="GF41" s="339"/>
      <c r="GG41" s="339"/>
      <c r="GH41" s="339"/>
      <c r="GI41" s="339"/>
      <c r="GJ41" s="339"/>
      <c r="GK41" s="339"/>
      <c r="GL41" s="339"/>
      <c r="GM41" s="339"/>
      <c r="GN41" s="339"/>
      <c r="GO41" s="339"/>
      <c r="GP41" s="339"/>
      <c r="GQ41" s="339"/>
      <c r="GR41" s="339"/>
      <c r="GS41" s="339"/>
      <c r="GT41" s="339"/>
      <c r="GU41" s="339"/>
      <c r="GV41" s="339"/>
      <c r="GW41" s="339"/>
      <c r="GX41" s="339"/>
      <c r="GY41" s="339"/>
      <c r="GZ41" s="339"/>
      <c r="HA41" s="339"/>
      <c r="HB41" s="339"/>
      <c r="HC41" s="339"/>
      <c r="HD41" s="339"/>
      <c r="HE41" s="339"/>
      <c r="HF41" s="339"/>
      <c r="HG41" s="339"/>
      <c r="HH41" s="339"/>
      <c r="HI41" s="339"/>
      <c r="HJ41" s="339"/>
      <c r="HK41" s="339"/>
      <c r="HL41" s="339"/>
      <c r="HM41" s="339"/>
      <c r="HN41" s="339"/>
      <c r="HO41" s="339"/>
      <c r="HP41" s="339"/>
      <c r="HQ41" s="339"/>
      <c r="HR41" s="339"/>
      <c r="HS41" s="339"/>
      <c r="HT41" s="339"/>
      <c r="HU41" s="339"/>
      <c r="HV41" s="339"/>
      <c r="HW41" s="339"/>
      <c r="HX41" s="339"/>
      <c r="HY41" s="339"/>
      <c r="HZ41" s="339"/>
      <c r="IA41" s="339"/>
      <c r="IB41" s="339"/>
      <c r="IC41" s="339"/>
      <c r="ID41" s="339"/>
      <c r="IE41" s="339"/>
      <c r="IF41" s="339"/>
      <c r="IG41" s="339"/>
      <c r="IH41" s="339"/>
      <c r="II41" s="339"/>
      <c r="IJ41" s="339"/>
      <c r="IK41" s="339"/>
      <c r="IL41" s="339"/>
      <c r="IM41" s="339"/>
      <c r="IN41" s="339"/>
      <c r="IO41" s="339"/>
      <c r="IP41" s="339"/>
      <c r="IQ41" s="339"/>
      <c r="IR41" s="339"/>
      <c r="IS41" s="339"/>
      <c r="IT41" s="339"/>
      <c r="IU41" s="339"/>
      <c r="IV41" s="339"/>
    </row>
    <row r="42" spans="1:256" s="340" customFormat="1" x14ac:dyDescent="0.25">
      <c r="A42" s="338" t="s">
        <v>22</v>
      </c>
      <c r="B42" s="276">
        <v>1</v>
      </c>
      <c r="C42" s="276">
        <v>1</v>
      </c>
      <c r="D42" s="478" t="s">
        <v>754</v>
      </c>
      <c r="E42" s="265" t="s">
        <v>759</v>
      </c>
      <c r="F42" s="264" t="s">
        <v>233</v>
      </c>
      <c r="G42" s="276">
        <v>1024</v>
      </c>
      <c r="H42" s="275" t="s">
        <v>29</v>
      </c>
      <c r="I42" s="264" t="s">
        <v>38</v>
      </c>
      <c r="J42" s="276"/>
      <c r="K42" s="264" t="s">
        <v>82</v>
      </c>
      <c r="L42" s="276">
        <v>200</v>
      </c>
      <c r="M42" s="265"/>
      <c r="N42" s="478" t="s">
        <v>765</v>
      </c>
      <c r="O42" s="265"/>
      <c r="P42" s="264"/>
      <c r="Q42" s="265"/>
      <c r="R42" s="339"/>
      <c r="S42" s="339"/>
      <c r="T42" s="339"/>
      <c r="U42" s="339"/>
      <c r="V42" s="339"/>
      <c r="W42" s="339"/>
      <c r="X42" s="339"/>
      <c r="Y42" s="339"/>
      <c r="Z42" s="339"/>
      <c r="AA42" s="339"/>
      <c r="AB42" s="339"/>
      <c r="AC42" s="339"/>
      <c r="AD42" s="339"/>
      <c r="AE42" s="339"/>
      <c r="AF42" s="339"/>
      <c r="AG42" s="339"/>
      <c r="AH42" s="339"/>
      <c r="AI42" s="339"/>
      <c r="AJ42" s="339"/>
      <c r="AK42" s="339"/>
      <c r="AL42" s="339"/>
      <c r="AM42" s="339"/>
      <c r="AN42" s="339"/>
      <c r="AO42" s="339"/>
      <c r="AP42" s="339"/>
      <c r="AQ42" s="339"/>
      <c r="AR42" s="339"/>
      <c r="AS42" s="339"/>
      <c r="AT42" s="339"/>
      <c r="AU42" s="339"/>
      <c r="AV42" s="339"/>
      <c r="AW42" s="339"/>
      <c r="AX42" s="339"/>
      <c r="AY42" s="339"/>
      <c r="AZ42" s="339"/>
      <c r="BA42" s="339"/>
      <c r="BB42" s="339"/>
      <c r="BC42" s="339"/>
      <c r="BD42" s="339"/>
      <c r="BE42" s="339"/>
      <c r="BF42" s="339"/>
      <c r="BG42" s="339"/>
      <c r="BH42" s="339"/>
      <c r="BI42" s="339"/>
      <c r="BJ42" s="339"/>
      <c r="BK42" s="339"/>
      <c r="BL42" s="339"/>
      <c r="BM42" s="339"/>
      <c r="BN42" s="339"/>
      <c r="BO42" s="339"/>
      <c r="BP42" s="339"/>
      <c r="BQ42" s="339"/>
      <c r="BR42" s="339"/>
      <c r="BS42" s="339"/>
      <c r="BT42" s="339"/>
      <c r="BU42" s="339"/>
      <c r="BV42" s="339"/>
      <c r="BW42" s="339"/>
      <c r="BX42" s="339"/>
      <c r="BY42" s="339"/>
      <c r="BZ42" s="339"/>
      <c r="CA42" s="339"/>
      <c r="CB42" s="339"/>
      <c r="CC42" s="339"/>
      <c r="CD42" s="339"/>
      <c r="CE42" s="339"/>
      <c r="CF42" s="339"/>
      <c r="CG42" s="339"/>
      <c r="CH42" s="339"/>
      <c r="CI42" s="339"/>
      <c r="CJ42" s="339"/>
      <c r="CK42" s="339"/>
      <c r="CL42" s="339"/>
      <c r="CM42" s="339"/>
      <c r="CN42" s="339"/>
      <c r="CO42" s="339"/>
      <c r="CP42" s="339"/>
      <c r="CQ42" s="339"/>
      <c r="CR42" s="339"/>
      <c r="CS42" s="339"/>
      <c r="CT42" s="339"/>
      <c r="CU42" s="339"/>
      <c r="CV42" s="339"/>
      <c r="CW42" s="339"/>
      <c r="CX42" s="339"/>
      <c r="CY42" s="339"/>
      <c r="CZ42" s="339"/>
      <c r="DA42" s="339"/>
      <c r="DB42" s="339"/>
      <c r="DC42" s="339"/>
      <c r="DD42" s="339"/>
      <c r="DE42" s="339"/>
      <c r="DF42" s="339"/>
      <c r="DG42" s="339"/>
      <c r="DH42" s="339"/>
      <c r="DI42" s="339"/>
      <c r="DJ42" s="339"/>
      <c r="DK42" s="339"/>
      <c r="DL42" s="339"/>
      <c r="DM42" s="339"/>
      <c r="DN42" s="339"/>
      <c r="DO42" s="339"/>
      <c r="DP42" s="339"/>
      <c r="DQ42" s="339"/>
      <c r="DR42" s="339"/>
      <c r="DS42" s="339"/>
      <c r="DT42" s="339"/>
      <c r="DU42" s="339"/>
      <c r="DV42" s="339"/>
      <c r="DW42" s="339"/>
      <c r="DX42" s="339"/>
      <c r="DY42" s="339"/>
      <c r="DZ42" s="339"/>
      <c r="EA42" s="339"/>
      <c r="EB42" s="339"/>
      <c r="EC42" s="339"/>
      <c r="ED42" s="339"/>
      <c r="EE42" s="339"/>
      <c r="EF42" s="339"/>
      <c r="EG42" s="339"/>
      <c r="EH42" s="339"/>
      <c r="EI42" s="339"/>
      <c r="EJ42" s="339"/>
      <c r="EK42" s="339"/>
      <c r="EL42" s="339"/>
      <c r="EM42" s="339"/>
      <c r="EN42" s="339"/>
      <c r="EO42" s="339"/>
      <c r="EP42" s="339"/>
      <c r="EQ42" s="339"/>
      <c r="ER42" s="339"/>
      <c r="ES42" s="339"/>
      <c r="ET42" s="339"/>
      <c r="EU42" s="339"/>
      <c r="EV42" s="339"/>
      <c r="EW42" s="339"/>
      <c r="EX42" s="339"/>
      <c r="EY42" s="339"/>
      <c r="EZ42" s="339"/>
      <c r="FA42" s="339"/>
      <c r="FB42" s="339"/>
      <c r="FC42" s="339"/>
      <c r="FD42" s="339"/>
      <c r="FE42" s="339"/>
      <c r="FF42" s="339"/>
      <c r="FG42" s="339"/>
      <c r="FH42" s="339"/>
      <c r="FI42" s="339"/>
      <c r="FJ42" s="339"/>
      <c r="FK42" s="339"/>
      <c r="FL42" s="339"/>
      <c r="FM42" s="339"/>
      <c r="FN42" s="339"/>
      <c r="FO42" s="339"/>
      <c r="FP42" s="339"/>
      <c r="FQ42" s="339"/>
      <c r="FR42" s="339"/>
      <c r="FS42" s="339"/>
      <c r="FT42" s="339"/>
      <c r="FU42" s="339"/>
      <c r="FV42" s="339"/>
      <c r="FW42" s="339"/>
      <c r="FX42" s="339"/>
      <c r="FY42" s="339"/>
      <c r="FZ42" s="339"/>
      <c r="GA42" s="339"/>
      <c r="GB42" s="339"/>
      <c r="GC42" s="339"/>
      <c r="GD42" s="339"/>
      <c r="GE42" s="339"/>
      <c r="GF42" s="339"/>
      <c r="GG42" s="339"/>
      <c r="GH42" s="339"/>
      <c r="GI42" s="339"/>
      <c r="GJ42" s="339"/>
      <c r="GK42" s="339"/>
      <c r="GL42" s="339"/>
      <c r="GM42" s="339"/>
      <c r="GN42" s="339"/>
      <c r="GO42" s="339"/>
      <c r="GP42" s="339"/>
      <c r="GQ42" s="339"/>
      <c r="GR42" s="339"/>
      <c r="GS42" s="339"/>
      <c r="GT42" s="339"/>
      <c r="GU42" s="339"/>
      <c r="GV42" s="339"/>
      <c r="GW42" s="339"/>
      <c r="GX42" s="339"/>
      <c r="GY42" s="339"/>
      <c r="GZ42" s="339"/>
      <c r="HA42" s="339"/>
      <c r="HB42" s="339"/>
      <c r="HC42" s="339"/>
      <c r="HD42" s="339"/>
      <c r="HE42" s="339"/>
      <c r="HF42" s="339"/>
      <c r="HG42" s="339"/>
      <c r="HH42" s="339"/>
      <c r="HI42" s="339"/>
      <c r="HJ42" s="339"/>
      <c r="HK42" s="339"/>
      <c r="HL42" s="339"/>
      <c r="HM42" s="339"/>
      <c r="HN42" s="339"/>
      <c r="HO42" s="339"/>
      <c r="HP42" s="339"/>
      <c r="HQ42" s="339"/>
      <c r="HR42" s="339"/>
      <c r="HS42" s="339"/>
      <c r="HT42" s="339"/>
      <c r="HU42" s="339"/>
      <c r="HV42" s="339"/>
      <c r="HW42" s="339"/>
      <c r="HX42" s="339"/>
      <c r="HY42" s="339"/>
      <c r="HZ42" s="339"/>
      <c r="IA42" s="339"/>
      <c r="IB42" s="339"/>
      <c r="IC42" s="339"/>
      <c r="ID42" s="339"/>
      <c r="IE42" s="339"/>
      <c r="IF42" s="339"/>
      <c r="IG42" s="339"/>
      <c r="IH42" s="339"/>
      <c r="II42" s="339"/>
      <c r="IJ42" s="339"/>
      <c r="IK42" s="339"/>
      <c r="IL42" s="339"/>
      <c r="IM42" s="339"/>
      <c r="IN42" s="339"/>
      <c r="IO42" s="339"/>
      <c r="IP42" s="339"/>
      <c r="IQ42" s="339"/>
      <c r="IR42" s="339"/>
      <c r="IS42" s="339"/>
      <c r="IT42" s="339"/>
      <c r="IU42" s="339"/>
      <c r="IV42" s="339"/>
    </row>
    <row r="43" spans="1:256" s="340" customFormat="1" x14ac:dyDescent="0.25">
      <c r="A43" s="338" t="s">
        <v>22</v>
      </c>
      <c r="B43" s="276">
        <v>1</v>
      </c>
      <c r="C43" s="276">
        <v>1</v>
      </c>
      <c r="D43" s="489" t="s">
        <v>755</v>
      </c>
      <c r="E43" s="265" t="s">
        <v>760</v>
      </c>
      <c r="F43" s="264" t="s">
        <v>233</v>
      </c>
      <c r="G43" s="276">
        <v>1024</v>
      </c>
      <c r="H43" s="275" t="s">
        <v>29</v>
      </c>
      <c r="I43" s="264" t="s">
        <v>26</v>
      </c>
      <c r="J43" s="276">
        <v>32</v>
      </c>
      <c r="K43" s="264" t="s">
        <v>82</v>
      </c>
      <c r="L43" s="276" t="s">
        <v>134</v>
      </c>
      <c r="M43" s="265"/>
      <c r="N43" s="489" t="s">
        <v>766</v>
      </c>
      <c r="O43" s="265"/>
      <c r="P43" s="264"/>
      <c r="Q43" s="265"/>
      <c r="R43" s="339"/>
      <c r="S43" s="339"/>
      <c r="T43" s="339"/>
      <c r="U43" s="339"/>
      <c r="V43" s="339"/>
      <c r="W43" s="339"/>
      <c r="X43" s="339"/>
      <c r="Y43" s="339"/>
      <c r="Z43" s="339"/>
      <c r="AA43" s="339"/>
      <c r="AB43" s="339"/>
      <c r="AC43" s="339"/>
      <c r="AD43" s="339"/>
      <c r="AE43" s="339"/>
      <c r="AF43" s="339"/>
      <c r="AG43" s="339"/>
      <c r="AH43" s="339"/>
      <c r="AI43" s="339"/>
      <c r="AJ43" s="339"/>
      <c r="AK43" s="339"/>
      <c r="AL43" s="339"/>
      <c r="AM43" s="339"/>
      <c r="AN43" s="339"/>
      <c r="AO43" s="339"/>
      <c r="AP43" s="339"/>
      <c r="AQ43" s="339"/>
      <c r="AR43" s="339"/>
      <c r="AS43" s="339"/>
      <c r="AT43" s="339"/>
      <c r="AU43" s="339"/>
      <c r="AV43" s="339"/>
      <c r="AW43" s="339"/>
      <c r="AX43" s="339"/>
      <c r="AY43" s="339"/>
      <c r="AZ43" s="339"/>
      <c r="BA43" s="339"/>
      <c r="BB43" s="339"/>
      <c r="BC43" s="339"/>
      <c r="BD43" s="339"/>
      <c r="BE43" s="339"/>
      <c r="BF43" s="339"/>
      <c r="BG43" s="339"/>
      <c r="BH43" s="339"/>
      <c r="BI43" s="339"/>
      <c r="BJ43" s="339"/>
      <c r="BK43" s="339"/>
      <c r="BL43" s="339"/>
      <c r="BM43" s="339"/>
      <c r="BN43" s="339"/>
      <c r="BO43" s="339"/>
      <c r="BP43" s="339"/>
      <c r="BQ43" s="339"/>
      <c r="BR43" s="339"/>
      <c r="BS43" s="339"/>
      <c r="BT43" s="339"/>
      <c r="BU43" s="339"/>
      <c r="BV43" s="339"/>
      <c r="BW43" s="339"/>
      <c r="BX43" s="339"/>
      <c r="BY43" s="339"/>
      <c r="BZ43" s="339"/>
      <c r="CA43" s="339"/>
      <c r="CB43" s="339"/>
      <c r="CC43" s="339"/>
      <c r="CD43" s="339"/>
      <c r="CE43" s="339"/>
      <c r="CF43" s="339"/>
      <c r="CG43" s="339"/>
      <c r="CH43" s="339"/>
      <c r="CI43" s="339"/>
      <c r="CJ43" s="339"/>
      <c r="CK43" s="339"/>
      <c r="CL43" s="339"/>
      <c r="CM43" s="339"/>
      <c r="CN43" s="339"/>
      <c r="CO43" s="339"/>
      <c r="CP43" s="339"/>
      <c r="CQ43" s="339"/>
      <c r="CR43" s="339"/>
      <c r="CS43" s="339"/>
      <c r="CT43" s="339"/>
      <c r="CU43" s="339"/>
      <c r="CV43" s="339"/>
      <c r="CW43" s="339"/>
      <c r="CX43" s="339"/>
      <c r="CY43" s="339"/>
      <c r="CZ43" s="339"/>
      <c r="DA43" s="339"/>
      <c r="DB43" s="339"/>
      <c r="DC43" s="339"/>
      <c r="DD43" s="339"/>
      <c r="DE43" s="339"/>
      <c r="DF43" s="339"/>
      <c r="DG43" s="339"/>
      <c r="DH43" s="339"/>
      <c r="DI43" s="339"/>
      <c r="DJ43" s="339"/>
      <c r="DK43" s="339"/>
      <c r="DL43" s="339"/>
      <c r="DM43" s="339"/>
      <c r="DN43" s="339"/>
      <c r="DO43" s="339"/>
      <c r="DP43" s="339"/>
      <c r="DQ43" s="339"/>
      <c r="DR43" s="339"/>
      <c r="DS43" s="339"/>
      <c r="DT43" s="339"/>
      <c r="DU43" s="339"/>
      <c r="DV43" s="339"/>
      <c r="DW43" s="339"/>
      <c r="DX43" s="339"/>
      <c r="DY43" s="339"/>
      <c r="DZ43" s="339"/>
      <c r="EA43" s="339"/>
      <c r="EB43" s="339"/>
      <c r="EC43" s="339"/>
      <c r="ED43" s="339"/>
      <c r="EE43" s="339"/>
      <c r="EF43" s="339"/>
      <c r="EG43" s="339"/>
      <c r="EH43" s="339"/>
      <c r="EI43" s="339"/>
      <c r="EJ43" s="339"/>
      <c r="EK43" s="339"/>
      <c r="EL43" s="339"/>
      <c r="EM43" s="339"/>
      <c r="EN43" s="339"/>
      <c r="EO43" s="339"/>
      <c r="EP43" s="339"/>
      <c r="EQ43" s="339"/>
      <c r="ER43" s="339"/>
      <c r="ES43" s="339"/>
      <c r="ET43" s="339"/>
      <c r="EU43" s="339"/>
      <c r="EV43" s="339"/>
      <c r="EW43" s="339"/>
      <c r="EX43" s="339"/>
      <c r="EY43" s="339"/>
      <c r="EZ43" s="339"/>
      <c r="FA43" s="339"/>
      <c r="FB43" s="339"/>
      <c r="FC43" s="339"/>
      <c r="FD43" s="339"/>
      <c r="FE43" s="339"/>
      <c r="FF43" s="339"/>
      <c r="FG43" s="339"/>
      <c r="FH43" s="339"/>
      <c r="FI43" s="339"/>
      <c r="FJ43" s="339"/>
      <c r="FK43" s="339"/>
      <c r="FL43" s="339"/>
      <c r="FM43" s="339"/>
      <c r="FN43" s="339"/>
      <c r="FO43" s="339"/>
      <c r="FP43" s="339"/>
      <c r="FQ43" s="339"/>
      <c r="FR43" s="339"/>
      <c r="FS43" s="339"/>
      <c r="FT43" s="339"/>
      <c r="FU43" s="339"/>
      <c r="FV43" s="339"/>
      <c r="FW43" s="339"/>
      <c r="FX43" s="339"/>
      <c r="FY43" s="339"/>
      <c r="FZ43" s="339"/>
      <c r="GA43" s="339"/>
      <c r="GB43" s="339"/>
      <c r="GC43" s="339"/>
      <c r="GD43" s="339"/>
      <c r="GE43" s="339"/>
      <c r="GF43" s="339"/>
      <c r="GG43" s="339"/>
      <c r="GH43" s="339"/>
      <c r="GI43" s="339"/>
      <c r="GJ43" s="339"/>
      <c r="GK43" s="339"/>
      <c r="GL43" s="339"/>
      <c r="GM43" s="339"/>
      <c r="GN43" s="339"/>
      <c r="GO43" s="339"/>
      <c r="GP43" s="339"/>
      <c r="GQ43" s="339"/>
      <c r="GR43" s="339"/>
      <c r="GS43" s="339"/>
      <c r="GT43" s="339"/>
      <c r="GU43" s="339"/>
      <c r="GV43" s="339"/>
      <c r="GW43" s="339"/>
      <c r="GX43" s="339"/>
      <c r="GY43" s="339"/>
      <c r="GZ43" s="339"/>
      <c r="HA43" s="339"/>
      <c r="HB43" s="339"/>
      <c r="HC43" s="339"/>
      <c r="HD43" s="339"/>
      <c r="HE43" s="339"/>
      <c r="HF43" s="339"/>
      <c r="HG43" s="339"/>
      <c r="HH43" s="339"/>
      <c r="HI43" s="339"/>
      <c r="HJ43" s="339"/>
      <c r="HK43" s="339"/>
      <c r="HL43" s="339"/>
      <c r="HM43" s="339"/>
      <c r="HN43" s="339"/>
      <c r="HO43" s="339"/>
      <c r="HP43" s="339"/>
      <c r="HQ43" s="339"/>
      <c r="HR43" s="339"/>
      <c r="HS43" s="339"/>
      <c r="HT43" s="339"/>
      <c r="HU43" s="339"/>
      <c r="HV43" s="339"/>
      <c r="HW43" s="339"/>
      <c r="HX43" s="339"/>
      <c r="HY43" s="339"/>
      <c r="HZ43" s="339"/>
      <c r="IA43" s="339"/>
      <c r="IB43" s="339"/>
      <c r="IC43" s="339"/>
      <c r="ID43" s="339"/>
      <c r="IE43" s="339"/>
      <c r="IF43" s="339"/>
      <c r="IG43" s="339"/>
      <c r="IH43" s="339"/>
      <c r="II43" s="339"/>
      <c r="IJ43" s="339"/>
      <c r="IK43" s="339"/>
      <c r="IL43" s="339"/>
      <c r="IM43" s="339"/>
      <c r="IN43" s="339"/>
      <c r="IO43" s="339"/>
      <c r="IP43" s="339"/>
      <c r="IQ43" s="339"/>
      <c r="IR43" s="339"/>
      <c r="IS43" s="339"/>
      <c r="IT43" s="339"/>
      <c r="IU43" s="339"/>
      <c r="IV43" s="339"/>
    </row>
    <row r="44" spans="1:256" s="340" customFormat="1" x14ac:dyDescent="0.25">
      <c r="A44" s="338" t="s">
        <v>22</v>
      </c>
      <c r="B44" s="276">
        <v>1</v>
      </c>
      <c r="C44" s="276">
        <v>1</v>
      </c>
      <c r="D44" s="489" t="s">
        <v>756</v>
      </c>
      <c r="E44" s="265" t="s">
        <v>761</v>
      </c>
      <c r="F44" s="264" t="s">
        <v>233</v>
      </c>
      <c r="G44" s="276">
        <v>1024</v>
      </c>
      <c r="H44" s="275" t="s">
        <v>29</v>
      </c>
      <c r="I44" s="264" t="s">
        <v>30</v>
      </c>
      <c r="J44" s="276"/>
      <c r="K44" s="264" t="s">
        <v>18</v>
      </c>
      <c r="L44" s="276">
        <v>0</v>
      </c>
      <c r="M44" s="265"/>
      <c r="N44" s="489" t="s">
        <v>767</v>
      </c>
      <c r="O44" s="265"/>
      <c r="P44" s="264"/>
      <c r="Q44" s="265"/>
      <c r="R44" s="339"/>
      <c r="S44" s="339"/>
      <c r="T44" s="339"/>
      <c r="U44" s="339"/>
      <c r="V44" s="339"/>
      <c r="W44" s="339"/>
      <c r="X44" s="339"/>
      <c r="Y44" s="339"/>
      <c r="Z44" s="339"/>
      <c r="AA44" s="339"/>
      <c r="AB44" s="339"/>
      <c r="AC44" s="339"/>
      <c r="AD44" s="339"/>
      <c r="AE44" s="339"/>
      <c r="AF44" s="339"/>
      <c r="AG44" s="339"/>
      <c r="AH44" s="339"/>
      <c r="AI44" s="339"/>
      <c r="AJ44" s="339"/>
      <c r="AK44" s="339"/>
      <c r="AL44" s="339"/>
      <c r="AM44" s="339"/>
      <c r="AN44" s="339"/>
      <c r="AO44" s="339"/>
      <c r="AP44" s="339"/>
      <c r="AQ44" s="339"/>
      <c r="AR44" s="339"/>
      <c r="AS44" s="339"/>
      <c r="AT44" s="339"/>
      <c r="AU44" s="339"/>
      <c r="AV44" s="339"/>
      <c r="AW44" s="339"/>
      <c r="AX44" s="339"/>
      <c r="AY44" s="339"/>
      <c r="AZ44" s="339"/>
      <c r="BA44" s="339"/>
      <c r="BB44" s="339"/>
      <c r="BC44" s="339"/>
      <c r="BD44" s="339"/>
      <c r="BE44" s="339"/>
      <c r="BF44" s="339"/>
      <c r="BG44" s="339"/>
      <c r="BH44" s="339"/>
      <c r="BI44" s="339"/>
      <c r="BJ44" s="339"/>
      <c r="BK44" s="339"/>
      <c r="BL44" s="339"/>
      <c r="BM44" s="339"/>
      <c r="BN44" s="339"/>
      <c r="BO44" s="339"/>
      <c r="BP44" s="339"/>
      <c r="BQ44" s="339"/>
      <c r="BR44" s="339"/>
      <c r="BS44" s="339"/>
      <c r="BT44" s="339"/>
      <c r="BU44" s="339"/>
      <c r="BV44" s="339"/>
      <c r="BW44" s="339"/>
      <c r="BX44" s="339"/>
      <c r="BY44" s="339"/>
      <c r="BZ44" s="339"/>
      <c r="CA44" s="339"/>
      <c r="CB44" s="339"/>
      <c r="CC44" s="339"/>
      <c r="CD44" s="339"/>
      <c r="CE44" s="339"/>
      <c r="CF44" s="339"/>
      <c r="CG44" s="339"/>
      <c r="CH44" s="339"/>
      <c r="CI44" s="339"/>
      <c r="CJ44" s="339"/>
      <c r="CK44" s="339"/>
      <c r="CL44" s="339"/>
      <c r="CM44" s="339"/>
      <c r="CN44" s="339"/>
      <c r="CO44" s="339"/>
      <c r="CP44" s="339"/>
      <c r="CQ44" s="339"/>
      <c r="CR44" s="339"/>
      <c r="CS44" s="339"/>
      <c r="CT44" s="339"/>
      <c r="CU44" s="339"/>
      <c r="CV44" s="339"/>
      <c r="CW44" s="339"/>
      <c r="CX44" s="339"/>
      <c r="CY44" s="339"/>
      <c r="CZ44" s="339"/>
      <c r="DA44" s="339"/>
      <c r="DB44" s="339"/>
      <c r="DC44" s="339"/>
      <c r="DD44" s="339"/>
      <c r="DE44" s="339"/>
      <c r="DF44" s="339"/>
      <c r="DG44" s="339"/>
      <c r="DH44" s="339"/>
      <c r="DI44" s="339"/>
      <c r="DJ44" s="339"/>
      <c r="DK44" s="339"/>
      <c r="DL44" s="339"/>
      <c r="DM44" s="339"/>
      <c r="DN44" s="339"/>
      <c r="DO44" s="339"/>
      <c r="DP44" s="339"/>
      <c r="DQ44" s="339"/>
      <c r="DR44" s="339"/>
      <c r="DS44" s="339"/>
      <c r="DT44" s="339"/>
      <c r="DU44" s="339"/>
      <c r="DV44" s="339"/>
      <c r="DW44" s="339"/>
      <c r="DX44" s="339"/>
      <c r="DY44" s="339"/>
      <c r="DZ44" s="339"/>
      <c r="EA44" s="339"/>
      <c r="EB44" s="339"/>
      <c r="EC44" s="339"/>
      <c r="ED44" s="339"/>
      <c r="EE44" s="339"/>
      <c r="EF44" s="339"/>
      <c r="EG44" s="339"/>
      <c r="EH44" s="339"/>
      <c r="EI44" s="339"/>
      <c r="EJ44" s="339"/>
      <c r="EK44" s="339"/>
      <c r="EL44" s="339"/>
      <c r="EM44" s="339"/>
      <c r="EN44" s="339"/>
      <c r="EO44" s="339"/>
      <c r="EP44" s="339"/>
      <c r="EQ44" s="339"/>
      <c r="ER44" s="339"/>
      <c r="ES44" s="339"/>
      <c r="ET44" s="339"/>
      <c r="EU44" s="339"/>
      <c r="EV44" s="339"/>
      <c r="EW44" s="339"/>
      <c r="EX44" s="339"/>
      <c r="EY44" s="339"/>
      <c r="EZ44" s="339"/>
      <c r="FA44" s="339"/>
      <c r="FB44" s="339"/>
      <c r="FC44" s="339"/>
      <c r="FD44" s="339"/>
      <c r="FE44" s="339"/>
      <c r="FF44" s="339"/>
      <c r="FG44" s="339"/>
      <c r="FH44" s="339"/>
      <c r="FI44" s="339"/>
      <c r="FJ44" s="339"/>
      <c r="FK44" s="339"/>
      <c r="FL44" s="339"/>
      <c r="FM44" s="339"/>
      <c r="FN44" s="339"/>
      <c r="FO44" s="339"/>
      <c r="FP44" s="339"/>
      <c r="FQ44" s="339"/>
      <c r="FR44" s="339"/>
      <c r="FS44" s="339"/>
      <c r="FT44" s="339"/>
      <c r="FU44" s="339"/>
      <c r="FV44" s="339"/>
      <c r="FW44" s="339"/>
      <c r="FX44" s="339"/>
      <c r="FY44" s="339"/>
      <c r="FZ44" s="339"/>
      <c r="GA44" s="339"/>
      <c r="GB44" s="339"/>
      <c r="GC44" s="339"/>
      <c r="GD44" s="339"/>
      <c r="GE44" s="339"/>
      <c r="GF44" s="339"/>
      <c r="GG44" s="339"/>
      <c r="GH44" s="339"/>
      <c r="GI44" s="339"/>
      <c r="GJ44" s="339"/>
      <c r="GK44" s="339"/>
      <c r="GL44" s="339"/>
      <c r="GM44" s="339"/>
      <c r="GN44" s="339"/>
      <c r="GO44" s="339"/>
      <c r="GP44" s="339"/>
      <c r="GQ44" s="339"/>
      <c r="GR44" s="339"/>
      <c r="GS44" s="339"/>
      <c r="GT44" s="339"/>
      <c r="GU44" s="339"/>
      <c r="GV44" s="339"/>
      <c r="GW44" s="339"/>
      <c r="GX44" s="339"/>
      <c r="GY44" s="339"/>
      <c r="GZ44" s="339"/>
      <c r="HA44" s="339"/>
      <c r="HB44" s="339"/>
      <c r="HC44" s="339"/>
      <c r="HD44" s="339"/>
      <c r="HE44" s="339"/>
      <c r="HF44" s="339"/>
      <c r="HG44" s="339"/>
      <c r="HH44" s="339"/>
      <c r="HI44" s="339"/>
      <c r="HJ44" s="339"/>
      <c r="HK44" s="339"/>
      <c r="HL44" s="339"/>
      <c r="HM44" s="339"/>
      <c r="HN44" s="339"/>
      <c r="HO44" s="339"/>
      <c r="HP44" s="339"/>
      <c r="HQ44" s="339"/>
      <c r="HR44" s="339"/>
      <c r="HS44" s="339"/>
      <c r="HT44" s="339"/>
      <c r="HU44" s="339"/>
      <c r="HV44" s="339"/>
      <c r="HW44" s="339"/>
      <c r="HX44" s="339"/>
      <c r="HY44" s="339"/>
      <c r="HZ44" s="339"/>
      <c r="IA44" s="339"/>
      <c r="IB44" s="339"/>
      <c r="IC44" s="339"/>
      <c r="ID44" s="339"/>
      <c r="IE44" s="339"/>
      <c r="IF44" s="339"/>
      <c r="IG44" s="339"/>
      <c r="IH44" s="339"/>
      <c r="II44" s="339"/>
      <c r="IJ44" s="339"/>
      <c r="IK44" s="339"/>
      <c r="IL44" s="339"/>
      <c r="IM44" s="339"/>
      <c r="IN44" s="339"/>
      <c r="IO44" s="339"/>
      <c r="IP44" s="339"/>
      <c r="IQ44" s="339"/>
      <c r="IR44" s="339"/>
      <c r="IS44" s="339"/>
      <c r="IT44" s="339"/>
      <c r="IU44" s="339"/>
      <c r="IV44" s="339"/>
    </row>
    <row r="45" spans="1:256" s="340" customFormat="1" x14ac:dyDescent="0.25">
      <c r="A45" s="338" t="s">
        <v>22</v>
      </c>
      <c r="B45" s="276">
        <v>2</v>
      </c>
      <c r="C45" s="276">
        <v>1</v>
      </c>
      <c r="D45" s="489" t="s">
        <v>770</v>
      </c>
      <c r="E45" s="265" t="s">
        <v>772</v>
      </c>
      <c r="F45" s="264" t="s">
        <v>233</v>
      </c>
      <c r="G45" s="276">
        <v>1024</v>
      </c>
      <c r="H45" s="275" t="s">
        <v>29</v>
      </c>
      <c r="I45" s="264" t="s">
        <v>17</v>
      </c>
      <c r="J45" s="276"/>
      <c r="K45" s="264" t="s">
        <v>82</v>
      </c>
      <c r="L45" s="276">
        <v>1</v>
      </c>
      <c r="M45" s="265"/>
      <c r="N45" s="489" t="s">
        <v>773</v>
      </c>
      <c r="O45" s="265"/>
      <c r="P45" s="264"/>
      <c r="Q45" s="265"/>
      <c r="R45" s="339"/>
      <c r="S45" s="339"/>
      <c r="T45" s="339"/>
      <c r="U45" s="339"/>
      <c r="V45" s="339"/>
      <c r="W45" s="339"/>
      <c r="X45" s="339"/>
      <c r="Y45" s="339"/>
      <c r="Z45" s="339"/>
      <c r="AA45" s="339"/>
      <c r="AB45" s="339"/>
      <c r="AC45" s="339"/>
      <c r="AD45" s="339"/>
      <c r="AE45" s="339"/>
      <c r="AF45" s="339"/>
      <c r="AG45" s="339"/>
      <c r="AH45" s="339"/>
      <c r="AI45" s="339"/>
      <c r="AJ45" s="339"/>
      <c r="AK45" s="339"/>
      <c r="AL45" s="339"/>
      <c r="AM45" s="339"/>
      <c r="AN45" s="339"/>
      <c r="AO45" s="339"/>
      <c r="AP45" s="339"/>
      <c r="AQ45" s="339"/>
      <c r="AR45" s="339"/>
      <c r="AS45" s="339"/>
      <c r="AT45" s="339"/>
      <c r="AU45" s="339"/>
      <c r="AV45" s="339"/>
      <c r="AW45" s="339"/>
      <c r="AX45" s="339"/>
      <c r="AY45" s="339"/>
      <c r="AZ45" s="339"/>
      <c r="BA45" s="339"/>
      <c r="BB45" s="339"/>
      <c r="BC45" s="339"/>
      <c r="BD45" s="339"/>
      <c r="BE45" s="339"/>
      <c r="BF45" s="339"/>
      <c r="BG45" s="339"/>
      <c r="BH45" s="339"/>
      <c r="BI45" s="339"/>
      <c r="BJ45" s="339"/>
      <c r="BK45" s="339"/>
      <c r="BL45" s="339"/>
      <c r="BM45" s="339"/>
      <c r="BN45" s="339"/>
      <c r="BO45" s="339"/>
      <c r="BP45" s="339"/>
      <c r="BQ45" s="339"/>
      <c r="BR45" s="339"/>
      <c r="BS45" s="339"/>
      <c r="BT45" s="339"/>
      <c r="BU45" s="339"/>
      <c r="BV45" s="339"/>
      <c r="BW45" s="339"/>
      <c r="BX45" s="339"/>
      <c r="BY45" s="339"/>
      <c r="BZ45" s="339"/>
      <c r="CA45" s="339"/>
      <c r="CB45" s="339"/>
      <c r="CC45" s="339"/>
      <c r="CD45" s="339"/>
      <c r="CE45" s="339"/>
      <c r="CF45" s="339"/>
      <c r="CG45" s="339"/>
      <c r="CH45" s="339"/>
      <c r="CI45" s="339"/>
      <c r="CJ45" s="339"/>
      <c r="CK45" s="339"/>
      <c r="CL45" s="339"/>
      <c r="CM45" s="339"/>
      <c r="CN45" s="339"/>
      <c r="CO45" s="339"/>
      <c r="CP45" s="339"/>
      <c r="CQ45" s="339"/>
      <c r="CR45" s="339"/>
      <c r="CS45" s="339"/>
      <c r="CT45" s="339"/>
      <c r="CU45" s="339"/>
      <c r="CV45" s="339"/>
      <c r="CW45" s="339"/>
      <c r="CX45" s="339"/>
      <c r="CY45" s="339"/>
      <c r="CZ45" s="339"/>
      <c r="DA45" s="339"/>
      <c r="DB45" s="339"/>
      <c r="DC45" s="339"/>
      <c r="DD45" s="339"/>
      <c r="DE45" s="339"/>
      <c r="DF45" s="339"/>
      <c r="DG45" s="339"/>
      <c r="DH45" s="339"/>
      <c r="DI45" s="339"/>
      <c r="DJ45" s="339"/>
      <c r="DK45" s="339"/>
      <c r="DL45" s="339"/>
      <c r="DM45" s="339"/>
      <c r="DN45" s="339"/>
      <c r="DO45" s="339"/>
      <c r="DP45" s="339"/>
      <c r="DQ45" s="339"/>
      <c r="DR45" s="339"/>
      <c r="DS45" s="339"/>
      <c r="DT45" s="339"/>
      <c r="DU45" s="339"/>
      <c r="DV45" s="339"/>
      <c r="DW45" s="339"/>
      <c r="DX45" s="339"/>
      <c r="DY45" s="339"/>
      <c r="DZ45" s="339"/>
      <c r="EA45" s="339"/>
      <c r="EB45" s="339"/>
      <c r="EC45" s="339"/>
      <c r="ED45" s="339"/>
      <c r="EE45" s="339"/>
      <c r="EF45" s="339"/>
      <c r="EG45" s="339"/>
      <c r="EH45" s="339"/>
      <c r="EI45" s="339"/>
      <c r="EJ45" s="339"/>
      <c r="EK45" s="339"/>
      <c r="EL45" s="339"/>
      <c r="EM45" s="339"/>
      <c r="EN45" s="339"/>
      <c r="EO45" s="339"/>
      <c r="EP45" s="339"/>
      <c r="EQ45" s="339"/>
      <c r="ER45" s="339"/>
      <c r="ES45" s="339"/>
      <c r="ET45" s="339"/>
      <c r="EU45" s="339"/>
      <c r="EV45" s="339"/>
      <c r="EW45" s="339"/>
      <c r="EX45" s="339"/>
      <c r="EY45" s="339"/>
      <c r="EZ45" s="339"/>
      <c r="FA45" s="339"/>
      <c r="FB45" s="339"/>
      <c r="FC45" s="339"/>
      <c r="FD45" s="339"/>
      <c r="FE45" s="339"/>
      <c r="FF45" s="339"/>
      <c r="FG45" s="339"/>
      <c r="FH45" s="339"/>
      <c r="FI45" s="339"/>
      <c r="FJ45" s="339"/>
      <c r="FK45" s="339"/>
      <c r="FL45" s="339"/>
      <c r="FM45" s="339"/>
      <c r="FN45" s="339"/>
      <c r="FO45" s="339"/>
      <c r="FP45" s="339"/>
      <c r="FQ45" s="339"/>
      <c r="FR45" s="339"/>
      <c r="FS45" s="339"/>
      <c r="FT45" s="339"/>
      <c r="FU45" s="339"/>
      <c r="FV45" s="339"/>
      <c r="FW45" s="339"/>
      <c r="FX45" s="339"/>
      <c r="FY45" s="339"/>
      <c r="FZ45" s="339"/>
      <c r="GA45" s="339"/>
      <c r="GB45" s="339"/>
      <c r="GC45" s="339"/>
      <c r="GD45" s="339"/>
      <c r="GE45" s="339"/>
      <c r="GF45" s="339"/>
      <c r="GG45" s="339"/>
      <c r="GH45" s="339"/>
      <c r="GI45" s="339"/>
      <c r="GJ45" s="339"/>
      <c r="GK45" s="339"/>
      <c r="GL45" s="339"/>
      <c r="GM45" s="339"/>
      <c r="GN45" s="339"/>
      <c r="GO45" s="339"/>
      <c r="GP45" s="339"/>
      <c r="GQ45" s="339"/>
      <c r="GR45" s="339"/>
      <c r="GS45" s="339"/>
      <c r="GT45" s="339"/>
      <c r="GU45" s="339"/>
      <c r="GV45" s="339"/>
      <c r="GW45" s="339"/>
      <c r="GX45" s="339"/>
      <c r="GY45" s="339"/>
      <c r="GZ45" s="339"/>
      <c r="HA45" s="339"/>
      <c r="HB45" s="339"/>
      <c r="HC45" s="339"/>
      <c r="HD45" s="339"/>
      <c r="HE45" s="339"/>
      <c r="HF45" s="339"/>
      <c r="HG45" s="339"/>
      <c r="HH45" s="339"/>
      <c r="HI45" s="339"/>
      <c r="HJ45" s="339"/>
      <c r="HK45" s="339"/>
      <c r="HL45" s="339"/>
      <c r="HM45" s="339"/>
      <c r="HN45" s="339"/>
      <c r="HO45" s="339"/>
      <c r="HP45" s="339"/>
      <c r="HQ45" s="339"/>
      <c r="HR45" s="339"/>
      <c r="HS45" s="339"/>
      <c r="HT45" s="339"/>
      <c r="HU45" s="339"/>
      <c r="HV45" s="339"/>
      <c r="HW45" s="339"/>
      <c r="HX45" s="339"/>
      <c r="HY45" s="339"/>
      <c r="HZ45" s="339"/>
      <c r="IA45" s="339"/>
      <c r="IB45" s="339"/>
      <c r="IC45" s="339"/>
      <c r="ID45" s="339"/>
      <c r="IE45" s="339"/>
      <c r="IF45" s="339"/>
      <c r="IG45" s="339"/>
      <c r="IH45" s="339"/>
      <c r="II45" s="339"/>
      <c r="IJ45" s="339"/>
      <c r="IK45" s="339"/>
      <c r="IL45" s="339"/>
      <c r="IM45" s="339"/>
      <c r="IN45" s="339"/>
      <c r="IO45" s="339"/>
      <c r="IP45" s="339"/>
      <c r="IQ45" s="339"/>
      <c r="IR45" s="339"/>
      <c r="IS45" s="339"/>
      <c r="IT45" s="339"/>
      <c r="IU45" s="339"/>
      <c r="IV45" s="339"/>
    </row>
    <row r="46" spans="1:256" s="340" customFormat="1" x14ac:dyDescent="0.25">
      <c r="A46" s="338" t="s">
        <v>22</v>
      </c>
      <c r="B46" s="276"/>
      <c r="C46" s="276">
        <v>1</v>
      </c>
      <c r="D46" s="489" t="s">
        <v>771</v>
      </c>
      <c r="E46" s="265" t="s">
        <v>772</v>
      </c>
      <c r="F46" s="264" t="s">
        <v>233</v>
      </c>
      <c r="G46" s="276">
        <v>1024</v>
      </c>
      <c r="H46" s="275" t="s">
        <v>29</v>
      </c>
      <c r="I46" s="264" t="s">
        <v>17</v>
      </c>
      <c r="J46" s="276"/>
      <c r="K46" s="264" t="s">
        <v>82</v>
      </c>
      <c r="L46" s="276">
        <v>0</v>
      </c>
      <c r="M46" s="265"/>
      <c r="N46" s="489" t="s">
        <v>774</v>
      </c>
      <c r="O46" s="265"/>
      <c r="P46" s="264"/>
      <c r="Q46" s="265"/>
      <c r="R46" s="339"/>
      <c r="S46" s="339"/>
      <c r="T46" s="339"/>
      <c r="U46" s="339"/>
      <c r="V46" s="339"/>
      <c r="W46" s="339"/>
      <c r="X46" s="339"/>
      <c r="Y46" s="339"/>
      <c r="Z46" s="339"/>
      <c r="AA46" s="339"/>
      <c r="AB46" s="339"/>
      <c r="AC46" s="339"/>
      <c r="AD46" s="339"/>
      <c r="AE46" s="339"/>
      <c r="AF46" s="339"/>
      <c r="AG46" s="339"/>
      <c r="AH46" s="339"/>
      <c r="AI46" s="339"/>
      <c r="AJ46" s="339"/>
      <c r="AK46" s="339"/>
      <c r="AL46" s="339"/>
      <c r="AM46" s="339"/>
      <c r="AN46" s="339"/>
      <c r="AO46" s="339"/>
      <c r="AP46" s="339"/>
      <c r="AQ46" s="339"/>
      <c r="AR46" s="339"/>
      <c r="AS46" s="339"/>
      <c r="AT46" s="339"/>
      <c r="AU46" s="339"/>
      <c r="AV46" s="339"/>
      <c r="AW46" s="339"/>
      <c r="AX46" s="339"/>
      <c r="AY46" s="339"/>
      <c r="AZ46" s="339"/>
      <c r="BA46" s="339"/>
      <c r="BB46" s="339"/>
      <c r="BC46" s="339"/>
      <c r="BD46" s="339"/>
      <c r="BE46" s="339"/>
      <c r="BF46" s="339"/>
      <c r="BG46" s="339"/>
      <c r="BH46" s="339"/>
      <c r="BI46" s="339"/>
      <c r="BJ46" s="339"/>
      <c r="BK46" s="339"/>
      <c r="BL46" s="339"/>
      <c r="BM46" s="339"/>
      <c r="BN46" s="339"/>
      <c r="BO46" s="339"/>
      <c r="BP46" s="339"/>
      <c r="BQ46" s="339"/>
      <c r="BR46" s="339"/>
      <c r="BS46" s="339"/>
      <c r="BT46" s="339"/>
      <c r="BU46" s="339"/>
      <c r="BV46" s="339"/>
      <c r="BW46" s="339"/>
      <c r="BX46" s="339"/>
      <c r="BY46" s="339"/>
      <c r="BZ46" s="339"/>
      <c r="CA46" s="339"/>
      <c r="CB46" s="339"/>
      <c r="CC46" s="339"/>
      <c r="CD46" s="339"/>
      <c r="CE46" s="339"/>
      <c r="CF46" s="339"/>
      <c r="CG46" s="339"/>
      <c r="CH46" s="339"/>
      <c r="CI46" s="339"/>
      <c r="CJ46" s="339"/>
      <c r="CK46" s="339"/>
      <c r="CL46" s="339"/>
      <c r="CM46" s="339"/>
      <c r="CN46" s="339"/>
      <c r="CO46" s="339"/>
      <c r="CP46" s="339"/>
      <c r="CQ46" s="339"/>
      <c r="CR46" s="339"/>
      <c r="CS46" s="339"/>
      <c r="CT46" s="339"/>
      <c r="CU46" s="339"/>
      <c r="CV46" s="339"/>
      <c r="CW46" s="339"/>
      <c r="CX46" s="339"/>
      <c r="CY46" s="339"/>
      <c r="CZ46" s="339"/>
      <c r="DA46" s="339"/>
      <c r="DB46" s="339"/>
      <c r="DC46" s="339"/>
      <c r="DD46" s="339"/>
      <c r="DE46" s="339"/>
      <c r="DF46" s="339"/>
      <c r="DG46" s="339"/>
      <c r="DH46" s="339"/>
      <c r="DI46" s="339"/>
      <c r="DJ46" s="339"/>
      <c r="DK46" s="339"/>
      <c r="DL46" s="339"/>
      <c r="DM46" s="339"/>
      <c r="DN46" s="339"/>
      <c r="DO46" s="339"/>
      <c r="DP46" s="339"/>
      <c r="DQ46" s="339"/>
      <c r="DR46" s="339"/>
      <c r="DS46" s="339"/>
      <c r="DT46" s="339"/>
      <c r="DU46" s="339"/>
      <c r="DV46" s="339"/>
      <c r="DW46" s="339"/>
      <c r="DX46" s="339"/>
      <c r="DY46" s="339"/>
      <c r="DZ46" s="339"/>
      <c r="EA46" s="339"/>
      <c r="EB46" s="339"/>
      <c r="EC46" s="339"/>
      <c r="ED46" s="339"/>
      <c r="EE46" s="339"/>
      <c r="EF46" s="339"/>
      <c r="EG46" s="339"/>
      <c r="EH46" s="339"/>
      <c r="EI46" s="339"/>
      <c r="EJ46" s="339"/>
      <c r="EK46" s="339"/>
      <c r="EL46" s="339"/>
      <c r="EM46" s="339"/>
      <c r="EN46" s="339"/>
      <c r="EO46" s="339"/>
      <c r="EP46" s="339"/>
      <c r="EQ46" s="339"/>
      <c r="ER46" s="339"/>
      <c r="ES46" s="339"/>
      <c r="ET46" s="339"/>
      <c r="EU46" s="339"/>
      <c r="EV46" s="339"/>
      <c r="EW46" s="339"/>
      <c r="EX46" s="339"/>
      <c r="EY46" s="339"/>
      <c r="EZ46" s="339"/>
      <c r="FA46" s="339"/>
      <c r="FB46" s="339"/>
      <c r="FC46" s="339"/>
      <c r="FD46" s="339"/>
      <c r="FE46" s="339"/>
      <c r="FF46" s="339"/>
      <c r="FG46" s="339"/>
      <c r="FH46" s="339"/>
      <c r="FI46" s="339"/>
      <c r="FJ46" s="339"/>
      <c r="FK46" s="339"/>
      <c r="FL46" s="339"/>
      <c r="FM46" s="339"/>
      <c r="FN46" s="339"/>
      <c r="FO46" s="339"/>
      <c r="FP46" s="339"/>
      <c r="FQ46" s="339"/>
      <c r="FR46" s="339"/>
      <c r="FS46" s="339"/>
      <c r="FT46" s="339"/>
      <c r="FU46" s="339"/>
      <c r="FV46" s="339"/>
      <c r="FW46" s="339"/>
      <c r="FX46" s="339"/>
      <c r="FY46" s="339"/>
      <c r="FZ46" s="339"/>
      <c r="GA46" s="339"/>
      <c r="GB46" s="339"/>
      <c r="GC46" s="339"/>
      <c r="GD46" s="339"/>
      <c r="GE46" s="339"/>
      <c r="GF46" s="339"/>
      <c r="GG46" s="339"/>
      <c r="GH46" s="339"/>
      <c r="GI46" s="339"/>
      <c r="GJ46" s="339"/>
      <c r="GK46" s="339"/>
      <c r="GL46" s="339"/>
      <c r="GM46" s="339"/>
      <c r="GN46" s="339"/>
      <c r="GO46" s="339"/>
      <c r="GP46" s="339"/>
      <c r="GQ46" s="339"/>
      <c r="GR46" s="339"/>
      <c r="GS46" s="339"/>
      <c r="GT46" s="339"/>
      <c r="GU46" s="339"/>
      <c r="GV46" s="339"/>
      <c r="GW46" s="339"/>
      <c r="GX46" s="339"/>
      <c r="GY46" s="339"/>
      <c r="GZ46" s="339"/>
      <c r="HA46" s="339"/>
      <c r="HB46" s="339"/>
      <c r="HC46" s="339"/>
      <c r="HD46" s="339"/>
      <c r="HE46" s="339"/>
      <c r="HF46" s="339"/>
      <c r="HG46" s="339"/>
      <c r="HH46" s="339"/>
      <c r="HI46" s="339"/>
      <c r="HJ46" s="339"/>
      <c r="HK46" s="339"/>
      <c r="HL46" s="339"/>
      <c r="HM46" s="339"/>
      <c r="HN46" s="339"/>
      <c r="HO46" s="339"/>
      <c r="HP46" s="339"/>
      <c r="HQ46" s="339"/>
      <c r="HR46" s="339"/>
      <c r="HS46" s="339"/>
      <c r="HT46" s="339"/>
      <c r="HU46" s="339"/>
      <c r="HV46" s="339"/>
      <c r="HW46" s="339"/>
      <c r="HX46" s="339"/>
      <c r="HY46" s="339"/>
      <c r="HZ46" s="339"/>
      <c r="IA46" s="339"/>
      <c r="IB46" s="339"/>
      <c r="IC46" s="339"/>
      <c r="ID46" s="339"/>
      <c r="IE46" s="339"/>
      <c r="IF46" s="339"/>
      <c r="IG46" s="339"/>
      <c r="IH46" s="339"/>
      <c r="II46" s="339"/>
      <c r="IJ46" s="339"/>
      <c r="IK46" s="339"/>
      <c r="IL46" s="339"/>
      <c r="IM46" s="339"/>
      <c r="IN46" s="339"/>
      <c r="IO46" s="339"/>
      <c r="IP46" s="339"/>
      <c r="IQ46" s="339"/>
      <c r="IR46" s="339"/>
      <c r="IS46" s="339"/>
      <c r="IT46" s="339"/>
      <c r="IU46" s="339"/>
      <c r="IV46" s="339"/>
    </row>
    <row r="47" spans="1:256" s="315" customFormat="1" x14ac:dyDescent="0.25">
      <c r="A47" s="295" t="s">
        <v>22</v>
      </c>
      <c r="B47" s="292">
        <v>1</v>
      </c>
      <c r="C47" s="292">
        <v>1</v>
      </c>
      <c r="D47" s="315" t="s">
        <v>473</v>
      </c>
      <c r="E47" s="296" t="s">
        <v>341</v>
      </c>
      <c r="F47" s="291" t="s">
        <v>89</v>
      </c>
      <c r="G47" s="292">
        <v>1024</v>
      </c>
      <c r="H47" s="293" t="s">
        <v>29</v>
      </c>
      <c r="I47" s="291" t="s">
        <v>30</v>
      </c>
      <c r="J47" s="292"/>
      <c r="K47" s="291" t="s">
        <v>481</v>
      </c>
      <c r="L47" s="292">
        <v>0</v>
      </c>
      <c r="M47" s="296"/>
      <c r="N47" s="296" t="s">
        <v>479</v>
      </c>
      <c r="O47" s="296"/>
      <c r="P47" s="291"/>
      <c r="Q47" s="296"/>
      <c r="R47" s="297"/>
      <c r="S47" s="297"/>
      <c r="T47" s="297"/>
      <c r="U47" s="297"/>
      <c r="V47" s="297"/>
      <c r="W47" s="297"/>
      <c r="X47" s="297"/>
      <c r="Y47" s="297"/>
      <c r="Z47" s="297"/>
      <c r="AA47" s="297"/>
      <c r="AB47" s="297"/>
      <c r="AC47" s="297"/>
      <c r="AD47" s="297"/>
      <c r="AE47" s="297"/>
      <c r="AF47" s="297"/>
      <c r="AG47" s="297"/>
      <c r="AH47" s="297"/>
      <c r="AI47" s="297"/>
      <c r="AJ47" s="297"/>
      <c r="AK47" s="297"/>
      <c r="AL47" s="297"/>
      <c r="AM47" s="297"/>
      <c r="AN47" s="297"/>
      <c r="AO47" s="297"/>
      <c r="AP47" s="297"/>
      <c r="AQ47" s="297"/>
      <c r="AR47" s="297"/>
      <c r="AS47" s="297"/>
      <c r="AT47" s="297"/>
      <c r="AU47" s="297"/>
      <c r="AV47" s="297"/>
      <c r="AW47" s="297"/>
      <c r="AX47" s="297"/>
      <c r="AY47" s="297"/>
      <c r="AZ47" s="297"/>
      <c r="BA47" s="297"/>
      <c r="BB47" s="297"/>
      <c r="BC47" s="297"/>
      <c r="BD47" s="297"/>
      <c r="BE47" s="297"/>
      <c r="BF47" s="297"/>
      <c r="BG47" s="297"/>
      <c r="BH47" s="297"/>
      <c r="BI47" s="297"/>
      <c r="BJ47" s="297"/>
      <c r="BK47" s="297"/>
      <c r="BL47" s="297"/>
      <c r="BM47" s="297"/>
      <c r="BN47" s="297"/>
      <c r="BO47" s="297"/>
      <c r="BP47" s="297"/>
      <c r="BQ47" s="297"/>
      <c r="BR47" s="297"/>
      <c r="BS47" s="297"/>
      <c r="BT47" s="297"/>
      <c r="BU47" s="297"/>
      <c r="BV47" s="297"/>
      <c r="BW47" s="297"/>
      <c r="BX47" s="297"/>
      <c r="BY47" s="297"/>
      <c r="BZ47" s="297"/>
      <c r="CA47" s="297"/>
      <c r="CB47" s="297"/>
      <c r="CC47" s="297"/>
      <c r="CD47" s="297"/>
      <c r="CE47" s="297"/>
      <c r="CF47" s="297"/>
      <c r="CG47" s="297"/>
      <c r="CH47" s="297"/>
      <c r="CI47" s="297"/>
      <c r="CJ47" s="297"/>
      <c r="CK47" s="297"/>
      <c r="CL47" s="297"/>
      <c r="CM47" s="297"/>
      <c r="CN47" s="297"/>
      <c r="CO47" s="297"/>
      <c r="CP47" s="297"/>
      <c r="CQ47" s="297"/>
      <c r="CR47" s="297"/>
      <c r="CS47" s="297"/>
      <c r="CT47" s="297"/>
      <c r="CU47" s="297"/>
      <c r="CV47" s="297"/>
      <c r="CW47" s="297"/>
      <c r="CX47" s="297"/>
      <c r="CY47" s="297"/>
      <c r="CZ47" s="297"/>
      <c r="DA47" s="297"/>
      <c r="DB47" s="297"/>
      <c r="DC47" s="297"/>
      <c r="DD47" s="297"/>
      <c r="DE47" s="297"/>
      <c r="DF47" s="297"/>
      <c r="DG47" s="297"/>
      <c r="DH47" s="297"/>
      <c r="DI47" s="297"/>
      <c r="DJ47" s="297"/>
      <c r="DK47" s="297"/>
      <c r="DL47" s="297"/>
      <c r="DM47" s="297"/>
      <c r="DN47" s="297"/>
      <c r="DO47" s="297"/>
      <c r="DP47" s="297"/>
      <c r="DQ47" s="297"/>
      <c r="DR47" s="297"/>
      <c r="DS47" s="297"/>
      <c r="DT47" s="297"/>
      <c r="DU47" s="297"/>
      <c r="DV47" s="297"/>
      <c r="DW47" s="297"/>
      <c r="DX47" s="297"/>
      <c r="DY47" s="297"/>
      <c r="DZ47" s="297"/>
      <c r="EA47" s="297"/>
      <c r="EB47" s="297"/>
      <c r="EC47" s="297"/>
      <c r="ED47" s="297"/>
      <c r="EE47" s="297"/>
      <c r="EF47" s="297"/>
      <c r="EG47" s="297"/>
      <c r="EH47" s="297"/>
      <c r="EI47" s="297"/>
      <c r="EJ47" s="297"/>
      <c r="EK47" s="297"/>
      <c r="EL47" s="297"/>
      <c r="EM47" s="297"/>
      <c r="EN47" s="297"/>
      <c r="EO47" s="297"/>
      <c r="EP47" s="297"/>
      <c r="EQ47" s="297"/>
      <c r="ER47" s="297"/>
      <c r="ES47" s="297"/>
      <c r="ET47" s="297"/>
      <c r="EU47" s="297"/>
      <c r="EV47" s="297"/>
      <c r="EW47" s="297"/>
      <c r="EX47" s="297"/>
      <c r="EY47" s="297"/>
      <c r="EZ47" s="297"/>
      <c r="FA47" s="297"/>
      <c r="FB47" s="297"/>
      <c r="FC47" s="297"/>
      <c r="FD47" s="297"/>
      <c r="FE47" s="297"/>
      <c r="FF47" s="297"/>
      <c r="FG47" s="297"/>
      <c r="FH47" s="297"/>
      <c r="FI47" s="297"/>
      <c r="FJ47" s="297"/>
      <c r="FK47" s="297"/>
      <c r="FL47" s="297"/>
      <c r="FM47" s="297"/>
      <c r="FN47" s="297"/>
      <c r="FO47" s="297"/>
      <c r="FP47" s="297"/>
      <c r="FQ47" s="297"/>
      <c r="FR47" s="297"/>
      <c r="FS47" s="297"/>
      <c r="FT47" s="297"/>
      <c r="FU47" s="297"/>
      <c r="FV47" s="297"/>
      <c r="FW47" s="297"/>
      <c r="FX47" s="297"/>
      <c r="FY47" s="297"/>
      <c r="FZ47" s="297"/>
      <c r="GA47" s="297"/>
      <c r="GB47" s="297"/>
      <c r="GC47" s="297"/>
      <c r="GD47" s="297"/>
      <c r="GE47" s="297"/>
      <c r="GF47" s="297"/>
      <c r="GG47" s="297"/>
      <c r="GH47" s="297"/>
      <c r="GI47" s="297"/>
      <c r="GJ47" s="297"/>
      <c r="GK47" s="297"/>
      <c r="GL47" s="297"/>
      <c r="GM47" s="297"/>
      <c r="GN47" s="297"/>
      <c r="GO47" s="297"/>
      <c r="GP47" s="297"/>
      <c r="GQ47" s="297"/>
      <c r="GR47" s="297"/>
      <c r="GS47" s="297"/>
      <c r="GT47" s="297"/>
      <c r="GU47" s="297"/>
      <c r="GV47" s="297"/>
      <c r="GW47" s="297"/>
      <c r="GX47" s="297"/>
      <c r="GY47" s="297"/>
      <c r="GZ47" s="297"/>
      <c r="HA47" s="297"/>
      <c r="HB47" s="297"/>
      <c r="HC47" s="297"/>
      <c r="HD47" s="297"/>
      <c r="HE47" s="297"/>
      <c r="HF47" s="297"/>
      <c r="HG47" s="297"/>
      <c r="HH47" s="297"/>
      <c r="HI47" s="297"/>
      <c r="HJ47" s="297"/>
      <c r="HK47" s="297"/>
      <c r="HL47" s="297"/>
      <c r="HM47" s="297"/>
      <c r="HN47" s="297"/>
      <c r="HO47" s="297"/>
      <c r="HP47" s="297"/>
      <c r="HQ47" s="297"/>
      <c r="HR47" s="297"/>
      <c r="HS47" s="297"/>
      <c r="HT47" s="297"/>
      <c r="HU47" s="297"/>
      <c r="HV47" s="297"/>
      <c r="HW47" s="297"/>
      <c r="HX47" s="297"/>
      <c r="HY47" s="297"/>
      <c r="HZ47" s="297"/>
      <c r="IA47" s="297"/>
      <c r="IB47" s="297"/>
      <c r="IC47" s="297"/>
      <c r="ID47" s="297"/>
      <c r="IE47" s="297"/>
      <c r="IF47" s="297"/>
      <c r="IG47" s="297"/>
      <c r="IH47" s="297"/>
      <c r="II47" s="297"/>
      <c r="IJ47" s="297"/>
      <c r="IK47" s="297"/>
      <c r="IL47" s="297"/>
      <c r="IM47" s="297"/>
      <c r="IN47" s="297"/>
      <c r="IO47" s="297"/>
      <c r="IP47" s="297"/>
      <c r="IQ47" s="297"/>
      <c r="IR47" s="297"/>
      <c r="IS47" s="297"/>
      <c r="IT47" s="297"/>
      <c r="IU47" s="297"/>
      <c r="IV47" s="297"/>
    </row>
    <row r="48" spans="1:256" s="516" customFormat="1" x14ac:dyDescent="0.25">
      <c r="A48" s="295" t="s">
        <v>22</v>
      </c>
      <c r="B48" s="292">
        <v>1</v>
      </c>
      <c r="C48" s="292">
        <v>1</v>
      </c>
      <c r="D48" s="516" t="s">
        <v>474</v>
      </c>
      <c r="E48" s="515" t="s">
        <v>342</v>
      </c>
      <c r="F48" s="513" t="s">
        <v>89</v>
      </c>
      <c r="G48" s="292">
        <v>1024</v>
      </c>
      <c r="H48" s="514" t="s">
        <v>29</v>
      </c>
      <c r="I48" s="437" t="s">
        <v>38</v>
      </c>
      <c r="J48" s="292"/>
      <c r="K48" s="513" t="s">
        <v>481</v>
      </c>
      <c r="L48" s="292">
        <v>0</v>
      </c>
      <c r="M48" s="513" t="s">
        <v>313</v>
      </c>
      <c r="N48" s="515" t="s">
        <v>480</v>
      </c>
      <c r="O48" s="515"/>
      <c r="P48" s="513"/>
      <c r="Q48" s="515"/>
      <c r="R48" s="297"/>
      <c r="S48" s="297"/>
      <c r="T48" s="297"/>
      <c r="U48" s="297"/>
      <c r="V48" s="297"/>
      <c r="W48" s="297"/>
      <c r="X48" s="297"/>
      <c r="Y48" s="297"/>
      <c r="Z48" s="297"/>
      <c r="AA48" s="297"/>
      <c r="AB48" s="297"/>
      <c r="AC48" s="297"/>
      <c r="AD48" s="297"/>
      <c r="AE48" s="297"/>
      <c r="AF48" s="297"/>
      <c r="AG48" s="297"/>
      <c r="AH48" s="297"/>
      <c r="AI48" s="297"/>
      <c r="AJ48" s="297"/>
      <c r="AK48" s="297"/>
      <c r="AL48" s="297"/>
      <c r="AM48" s="297"/>
      <c r="AN48" s="297"/>
      <c r="AO48" s="297"/>
      <c r="AP48" s="297"/>
      <c r="AQ48" s="297"/>
      <c r="AR48" s="297"/>
      <c r="AS48" s="297"/>
      <c r="AT48" s="297"/>
      <c r="AU48" s="297"/>
      <c r="AV48" s="297"/>
      <c r="AW48" s="297"/>
      <c r="AX48" s="297"/>
      <c r="AY48" s="297"/>
      <c r="AZ48" s="297"/>
      <c r="BA48" s="297"/>
      <c r="BB48" s="297"/>
      <c r="BC48" s="297"/>
      <c r="BD48" s="297"/>
      <c r="BE48" s="297"/>
      <c r="BF48" s="297"/>
      <c r="BG48" s="297"/>
      <c r="BH48" s="297"/>
      <c r="BI48" s="297"/>
      <c r="BJ48" s="297"/>
      <c r="BK48" s="297"/>
      <c r="BL48" s="297"/>
      <c r="BM48" s="297"/>
      <c r="BN48" s="297"/>
      <c r="BO48" s="297"/>
      <c r="BP48" s="297"/>
      <c r="BQ48" s="297"/>
      <c r="BR48" s="297"/>
      <c r="BS48" s="297"/>
      <c r="BT48" s="297"/>
      <c r="BU48" s="297"/>
      <c r="BV48" s="297"/>
      <c r="BW48" s="297"/>
      <c r="BX48" s="297"/>
      <c r="BY48" s="297"/>
      <c r="BZ48" s="297"/>
      <c r="CA48" s="297"/>
      <c r="CB48" s="297"/>
      <c r="CC48" s="297"/>
      <c r="CD48" s="297"/>
      <c r="CE48" s="297"/>
      <c r="CF48" s="297"/>
      <c r="CG48" s="297"/>
      <c r="CH48" s="297"/>
      <c r="CI48" s="297"/>
      <c r="CJ48" s="297"/>
      <c r="CK48" s="297"/>
      <c r="CL48" s="297"/>
      <c r="CM48" s="297"/>
      <c r="CN48" s="297"/>
      <c r="CO48" s="297"/>
      <c r="CP48" s="297"/>
      <c r="CQ48" s="297"/>
      <c r="CR48" s="297"/>
      <c r="CS48" s="297"/>
      <c r="CT48" s="297"/>
      <c r="CU48" s="297"/>
      <c r="CV48" s="297"/>
      <c r="CW48" s="297"/>
      <c r="CX48" s="297"/>
      <c r="CY48" s="297"/>
      <c r="CZ48" s="297"/>
      <c r="DA48" s="297"/>
      <c r="DB48" s="297"/>
      <c r="DC48" s="297"/>
      <c r="DD48" s="297"/>
      <c r="DE48" s="297"/>
      <c r="DF48" s="297"/>
      <c r="DG48" s="297"/>
      <c r="DH48" s="297"/>
      <c r="DI48" s="297"/>
      <c r="DJ48" s="297"/>
      <c r="DK48" s="297"/>
      <c r="DL48" s="297"/>
      <c r="DM48" s="297"/>
      <c r="DN48" s="297"/>
      <c r="DO48" s="297"/>
      <c r="DP48" s="297"/>
      <c r="DQ48" s="297"/>
      <c r="DR48" s="297"/>
      <c r="DS48" s="297"/>
      <c r="DT48" s="297"/>
      <c r="DU48" s="297"/>
      <c r="DV48" s="297"/>
      <c r="DW48" s="297"/>
      <c r="DX48" s="297"/>
      <c r="DY48" s="297"/>
      <c r="DZ48" s="297"/>
      <c r="EA48" s="297"/>
      <c r="EB48" s="297"/>
      <c r="EC48" s="297"/>
      <c r="ED48" s="297"/>
      <c r="EE48" s="297"/>
      <c r="EF48" s="297"/>
      <c r="EG48" s="297"/>
      <c r="EH48" s="297"/>
      <c r="EI48" s="297"/>
      <c r="EJ48" s="297"/>
      <c r="EK48" s="297"/>
      <c r="EL48" s="297"/>
      <c r="EM48" s="297"/>
      <c r="EN48" s="297"/>
      <c r="EO48" s="297"/>
      <c r="EP48" s="297"/>
      <c r="EQ48" s="297"/>
      <c r="ER48" s="297"/>
      <c r="ES48" s="297"/>
      <c r="ET48" s="297"/>
      <c r="EU48" s="297"/>
      <c r="EV48" s="297"/>
      <c r="EW48" s="297"/>
      <c r="EX48" s="297"/>
      <c r="EY48" s="297"/>
      <c r="EZ48" s="297"/>
      <c r="FA48" s="297"/>
      <c r="FB48" s="297"/>
      <c r="FC48" s="297"/>
      <c r="FD48" s="297"/>
      <c r="FE48" s="297"/>
      <c r="FF48" s="297"/>
      <c r="FG48" s="297"/>
      <c r="FH48" s="297"/>
      <c r="FI48" s="297"/>
      <c r="FJ48" s="297"/>
      <c r="FK48" s="297"/>
      <c r="FL48" s="297"/>
      <c r="FM48" s="297"/>
      <c r="FN48" s="297"/>
      <c r="FO48" s="297"/>
      <c r="FP48" s="297"/>
      <c r="FQ48" s="297"/>
      <c r="FR48" s="297"/>
      <c r="FS48" s="297"/>
      <c r="FT48" s="297"/>
      <c r="FU48" s="297"/>
      <c r="FV48" s="297"/>
      <c r="FW48" s="297"/>
      <c r="FX48" s="297"/>
      <c r="FY48" s="297"/>
      <c r="FZ48" s="297"/>
      <c r="GA48" s="297"/>
      <c r="GB48" s="297"/>
      <c r="GC48" s="297"/>
      <c r="GD48" s="297"/>
      <c r="GE48" s="297"/>
      <c r="GF48" s="297"/>
      <c r="GG48" s="297"/>
      <c r="GH48" s="297"/>
      <c r="GI48" s="297"/>
      <c r="GJ48" s="297"/>
      <c r="GK48" s="297"/>
      <c r="GL48" s="297"/>
      <c r="GM48" s="297"/>
      <c r="GN48" s="297"/>
      <c r="GO48" s="297"/>
      <c r="GP48" s="297"/>
      <c r="GQ48" s="297"/>
      <c r="GR48" s="297"/>
      <c r="GS48" s="297"/>
      <c r="GT48" s="297"/>
      <c r="GU48" s="297"/>
      <c r="GV48" s="297"/>
      <c r="GW48" s="297"/>
      <c r="GX48" s="297"/>
      <c r="GY48" s="297"/>
      <c r="GZ48" s="297"/>
      <c r="HA48" s="297"/>
      <c r="HB48" s="297"/>
      <c r="HC48" s="297"/>
      <c r="HD48" s="297"/>
      <c r="HE48" s="297"/>
      <c r="HF48" s="297"/>
      <c r="HG48" s="297"/>
      <c r="HH48" s="297"/>
      <c r="HI48" s="297"/>
      <c r="HJ48" s="297"/>
      <c r="HK48" s="297"/>
      <c r="HL48" s="297"/>
      <c r="HM48" s="297"/>
      <c r="HN48" s="297"/>
      <c r="HO48" s="297"/>
      <c r="HP48" s="297"/>
      <c r="HQ48" s="297"/>
      <c r="HR48" s="297"/>
      <c r="HS48" s="297"/>
      <c r="HT48" s="297"/>
      <c r="HU48" s="297"/>
      <c r="HV48" s="297"/>
      <c r="HW48" s="297"/>
      <c r="HX48" s="297"/>
      <c r="HY48" s="297"/>
      <c r="HZ48" s="297"/>
      <c r="IA48" s="297"/>
      <c r="IB48" s="297"/>
      <c r="IC48" s="297"/>
      <c r="ID48" s="297"/>
      <c r="IE48" s="297"/>
      <c r="IF48" s="297"/>
      <c r="IG48" s="297"/>
      <c r="IH48" s="297"/>
      <c r="II48" s="297"/>
      <c r="IJ48" s="297"/>
      <c r="IK48" s="297"/>
      <c r="IL48" s="297"/>
      <c r="IM48" s="297"/>
      <c r="IN48" s="297"/>
      <c r="IO48" s="297"/>
      <c r="IP48" s="297"/>
      <c r="IQ48" s="297"/>
      <c r="IR48" s="297"/>
      <c r="IS48" s="297"/>
      <c r="IT48" s="297"/>
      <c r="IU48" s="297"/>
      <c r="IV48" s="297"/>
    </row>
    <row r="49" spans="1:256" s="315" customFormat="1" x14ac:dyDescent="0.25">
      <c r="A49" s="295" t="s">
        <v>22</v>
      </c>
      <c r="B49" s="292">
        <v>1</v>
      </c>
      <c r="C49" s="292">
        <v>1</v>
      </c>
      <c r="D49" s="315" t="s">
        <v>871</v>
      </c>
      <c r="E49" s="296" t="s">
        <v>872</v>
      </c>
      <c r="F49" s="291" t="s">
        <v>89</v>
      </c>
      <c r="G49" s="292">
        <v>1024</v>
      </c>
      <c r="H49" s="293" t="s">
        <v>29</v>
      </c>
      <c r="I49" s="437" t="s">
        <v>38</v>
      </c>
      <c r="J49" s="292"/>
      <c r="K49" s="291" t="s">
        <v>481</v>
      </c>
      <c r="L49" s="292">
        <v>0</v>
      </c>
      <c r="M49" s="291" t="s">
        <v>313</v>
      </c>
      <c r="N49" s="296" t="s">
        <v>873</v>
      </c>
      <c r="O49" s="296"/>
      <c r="P49" s="291"/>
      <c r="Q49" s="296"/>
      <c r="R49" s="297"/>
      <c r="S49" s="297"/>
      <c r="T49" s="297"/>
      <c r="U49" s="297"/>
      <c r="V49" s="297"/>
      <c r="W49" s="297"/>
      <c r="X49" s="297"/>
      <c r="Y49" s="297"/>
      <c r="Z49" s="297"/>
      <c r="AA49" s="297"/>
      <c r="AB49" s="297"/>
      <c r="AC49" s="297"/>
      <c r="AD49" s="297"/>
      <c r="AE49" s="297"/>
      <c r="AF49" s="297"/>
      <c r="AG49" s="297"/>
      <c r="AH49" s="297"/>
      <c r="AI49" s="297"/>
      <c r="AJ49" s="297"/>
      <c r="AK49" s="297"/>
      <c r="AL49" s="297"/>
      <c r="AM49" s="297"/>
      <c r="AN49" s="297"/>
      <c r="AO49" s="297"/>
      <c r="AP49" s="297"/>
      <c r="AQ49" s="297"/>
      <c r="AR49" s="297"/>
      <c r="AS49" s="297"/>
      <c r="AT49" s="297"/>
      <c r="AU49" s="297"/>
      <c r="AV49" s="297"/>
      <c r="AW49" s="297"/>
      <c r="AX49" s="297"/>
      <c r="AY49" s="297"/>
      <c r="AZ49" s="297"/>
      <c r="BA49" s="297"/>
      <c r="BB49" s="297"/>
      <c r="BC49" s="297"/>
      <c r="BD49" s="297"/>
      <c r="BE49" s="297"/>
      <c r="BF49" s="297"/>
      <c r="BG49" s="297"/>
      <c r="BH49" s="297"/>
      <c r="BI49" s="297"/>
      <c r="BJ49" s="297"/>
      <c r="BK49" s="297"/>
      <c r="BL49" s="297"/>
      <c r="BM49" s="297"/>
      <c r="BN49" s="297"/>
      <c r="BO49" s="297"/>
      <c r="BP49" s="297"/>
      <c r="BQ49" s="297"/>
      <c r="BR49" s="297"/>
      <c r="BS49" s="297"/>
      <c r="BT49" s="297"/>
      <c r="BU49" s="297"/>
      <c r="BV49" s="297"/>
      <c r="BW49" s="297"/>
      <c r="BX49" s="297"/>
      <c r="BY49" s="297"/>
      <c r="BZ49" s="297"/>
      <c r="CA49" s="297"/>
      <c r="CB49" s="297"/>
      <c r="CC49" s="297"/>
      <c r="CD49" s="297"/>
      <c r="CE49" s="297"/>
      <c r="CF49" s="297"/>
      <c r="CG49" s="297"/>
      <c r="CH49" s="297"/>
      <c r="CI49" s="297"/>
      <c r="CJ49" s="297"/>
      <c r="CK49" s="297"/>
      <c r="CL49" s="297"/>
      <c r="CM49" s="297"/>
      <c r="CN49" s="297"/>
      <c r="CO49" s="297"/>
      <c r="CP49" s="297"/>
      <c r="CQ49" s="297"/>
      <c r="CR49" s="297"/>
      <c r="CS49" s="297"/>
      <c r="CT49" s="297"/>
      <c r="CU49" s="297"/>
      <c r="CV49" s="297"/>
      <c r="CW49" s="297"/>
      <c r="CX49" s="297"/>
      <c r="CY49" s="297"/>
      <c r="CZ49" s="297"/>
      <c r="DA49" s="297"/>
      <c r="DB49" s="297"/>
      <c r="DC49" s="297"/>
      <c r="DD49" s="297"/>
      <c r="DE49" s="297"/>
      <c r="DF49" s="297"/>
      <c r="DG49" s="297"/>
      <c r="DH49" s="297"/>
      <c r="DI49" s="297"/>
      <c r="DJ49" s="297"/>
      <c r="DK49" s="297"/>
      <c r="DL49" s="297"/>
      <c r="DM49" s="297"/>
      <c r="DN49" s="297"/>
      <c r="DO49" s="297"/>
      <c r="DP49" s="297"/>
      <c r="DQ49" s="297"/>
      <c r="DR49" s="297"/>
      <c r="DS49" s="297"/>
      <c r="DT49" s="297"/>
      <c r="DU49" s="297"/>
      <c r="DV49" s="297"/>
      <c r="DW49" s="297"/>
      <c r="DX49" s="297"/>
      <c r="DY49" s="297"/>
      <c r="DZ49" s="297"/>
      <c r="EA49" s="297"/>
      <c r="EB49" s="297"/>
      <c r="EC49" s="297"/>
      <c r="ED49" s="297"/>
      <c r="EE49" s="297"/>
      <c r="EF49" s="297"/>
      <c r="EG49" s="297"/>
      <c r="EH49" s="297"/>
      <c r="EI49" s="297"/>
      <c r="EJ49" s="297"/>
      <c r="EK49" s="297"/>
      <c r="EL49" s="297"/>
      <c r="EM49" s="297"/>
      <c r="EN49" s="297"/>
      <c r="EO49" s="297"/>
      <c r="EP49" s="297"/>
      <c r="EQ49" s="297"/>
      <c r="ER49" s="297"/>
      <c r="ES49" s="297"/>
      <c r="ET49" s="297"/>
      <c r="EU49" s="297"/>
      <c r="EV49" s="297"/>
      <c r="EW49" s="297"/>
      <c r="EX49" s="297"/>
      <c r="EY49" s="297"/>
      <c r="EZ49" s="297"/>
      <c r="FA49" s="297"/>
      <c r="FB49" s="297"/>
      <c r="FC49" s="297"/>
      <c r="FD49" s="297"/>
      <c r="FE49" s="297"/>
      <c r="FF49" s="297"/>
      <c r="FG49" s="297"/>
      <c r="FH49" s="297"/>
      <c r="FI49" s="297"/>
      <c r="FJ49" s="297"/>
      <c r="FK49" s="297"/>
      <c r="FL49" s="297"/>
      <c r="FM49" s="297"/>
      <c r="FN49" s="297"/>
      <c r="FO49" s="297"/>
      <c r="FP49" s="297"/>
      <c r="FQ49" s="297"/>
      <c r="FR49" s="297"/>
      <c r="FS49" s="297"/>
      <c r="FT49" s="297"/>
      <c r="FU49" s="297"/>
      <c r="FV49" s="297"/>
      <c r="FW49" s="297"/>
      <c r="FX49" s="297"/>
      <c r="FY49" s="297"/>
      <c r="FZ49" s="297"/>
      <c r="GA49" s="297"/>
      <c r="GB49" s="297"/>
      <c r="GC49" s="297"/>
      <c r="GD49" s="297"/>
      <c r="GE49" s="297"/>
      <c r="GF49" s="297"/>
      <c r="GG49" s="297"/>
      <c r="GH49" s="297"/>
      <c r="GI49" s="297"/>
      <c r="GJ49" s="297"/>
      <c r="GK49" s="297"/>
      <c r="GL49" s="297"/>
      <c r="GM49" s="297"/>
      <c r="GN49" s="297"/>
      <c r="GO49" s="297"/>
      <c r="GP49" s="297"/>
      <c r="GQ49" s="297"/>
      <c r="GR49" s="297"/>
      <c r="GS49" s="297"/>
      <c r="GT49" s="297"/>
      <c r="GU49" s="297"/>
      <c r="GV49" s="297"/>
      <c r="GW49" s="297"/>
      <c r="GX49" s="297"/>
      <c r="GY49" s="297"/>
      <c r="GZ49" s="297"/>
      <c r="HA49" s="297"/>
      <c r="HB49" s="297"/>
      <c r="HC49" s="297"/>
      <c r="HD49" s="297"/>
      <c r="HE49" s="297"/>
      <c r="HF49" s="297"/>
      <c r="HG49" s="297"/>
      <c r="HH49" s="297"/>
      <c r="HI49" s="297"/>
      <c r="HJ49" s="297"/>
      <c r="HK49" s="297"/>
      <c r="HL49" s="297"/>
      <c r="HM49" s="297"/>
      <c r="HN49" s="297"/>
      <c r="HO49" s="297"/>
      <c r="HP49" s="297"/>
      <c r="HQ49" s="297"/>
      <c r="HR49" s="297"/>
      <c r="HS49" s="297"/>
      <c r="HT49" s="297"/>
      <c r="HU49" s="297"/>
      <c r="HV49" s="297"/>
      <c r="HW49" s="297"/>
      <c r="HX49" s="297"/>
      <c r="HY49" s="297"/>
      <c r="HZ49" s="297"/>
      <c r="IA49" s="297"/>
      <c r="IB49" s="297"/>
      <c r="IC49" s="297"/>
      <c r="ID49" s="297"/>
      <c r="IE49" s="297"/>
      <c r="IF49" s="297"/>
      <c r="IG49" s="297"/>
      <c r="IH49" s="297"/>
      <c r="II49" s="297"/>
      <c r="IJ49" s="297"/>
      <c r="IK49" s="297"/>
      <c r="IL49" s="297"/>
      <c r="IM49" s="297"/>
      <c r="IN49" s="297"/>
      <c r="IO49" s="297"/>
      <c r="IP49" s="297"/>
      <c r="IQ49" s="297"/>
      <c r="IR49" s="297"/>
      <c r="IS49" s="297"/>
      <c r="IT49" s="297"/>
      <c r="IU49" s="297"/>
      <c r="IV49" s="297"/>
    </row>
    <row r="50" spans="1:256" s="122" customFormat="1" ht="2.4500000000000002" customHeight="1" x14ac:dyDescent="0.25">
      <c r="A50" s="42"/>
      <c r="B50" s="43"/>
      <c r="C50" s="43"/>
      <c r="D50" s="64"/>
      <c r="E50" s="42"/>
      <c r="F50" s="43"/>
      <c r="G50" s="43"/>
      <c r="H50" s="43"/>
      <c r="I50" s="43"/>
      <c r="J50" s="42"/>
      <c r="K50" s="43"/>
      <c r="L50" s="43"/>
      <c r="M50" s="42"/>
      <c r="N50" s="64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2"/>
      <c r="BA50" s="42"/>
      <c r="BB50" s="42"/>
      <c r="BC50" s="42"/>
      <c r="BD50" s="42"/>
      <c r="BE50" s="42"/>
      <c r="BF50" s="42"/>
      <c r="BG50" s="42"/>
      <c r="BH50" s="42"/>
      <c r="BI50" s="42"/>
      <c r="BJ50" s="42"/>
      <c r="BK50" s="42"/>
      <c r="BL50" s="42"/>
      <c r="BM50" s="42"/>
      <c r="BN50" s="42"/>
      <c r="BO50" s="42"/>
      <c r="BP50" s="42"/>
      <c r="BQ50" s="42"/>
      <c r="BR50" s="42"/>
      <c r="BS50" s="42"/>
      <c r="BT50" s="42"/>
      <c r="BU50" s="42"/>
      <c r="BV50" s="42"/>
      <c r="BW50" s="42"/>
      <c r="BX50" s="42"/>
      <c r="BY50" s="42"/>
      <c r="BZ50" s="42"/>
      <c r="CA50" s="42"/>
      <c r="CB50" s="42"/>
      <c r="CC50" s="42"/>
      <c r="CD50" s="42"/>
      <c r="CE50" s="42"/>
      <c r="CF50" s="42"/>
      <c r="CG50" s="42"/>
      <c r="CH50" s="42"/>
      <c r="CI50" s="42"/>
      <c r="CJ50" s="42"/>
      <c r="CK50" s="42"/>
      <c r="CL50" s="42"/>
      <c r="CM50" s="42"/>
      <c r="CN50" s="42"/>
      <c r="CO50" s="42"/>
      <c r="CP50" s="42"/>
      <c r="CQ50" s="42"/>
      <c r="CR50" s="42"/>
      <c r="CS50" s="42"/>
      <c r="CT50" s="42"/>
      <c r="CU50" s="42"/>
      <c r="CV50" s="42"/>
      <c r="CW50" s="42"/>
      <c r="CX50" s="42"/>
      <c r="CY50" s="42"/>
      <c r="CZ50" s="42"/>
      <c r="DA50" s="42"/>
      <c r="DB50" s="42"/>
      <c r="DC50" s="42"/>
      <c r="DD50" s="42"/>
      <c r="DE50" s="42"/>
      <c r="DF50" s="42"/>
      <c r="DG50" s="42"/>
      <c r="DH50" s="42"/>
      <c r="DI50" s="42"/>
      <c r="DJ50" s="42"/>
      <c r="DK50" s="42"/>
      <c r="DL50" s="42"/>
      <c r="DM50" s="42"/>
      <c r="DN50" s="42"/>
      <c r="DO50" s="42"/>
      <c r="DP50" s="42"/>
      <c r="DQ50" s="42"/>
      <c r="DR50" s="42"/>
      <c r="DS50" s="42"/>
      <c r="DT50" s="42"/>
      <c r="DU50" s="42"/>
      <c r="DV50" s="42"/>
      <c r="DW50" s="42"/>
      <c r="DX50" s="42"/>
      <c r="DY50" s="42"/>
      <c r="DZ50" s="42"/>
      <c r="EA50" s="42"/>
      <c r="EB50" s="42"/>
      <c r="EC50" s="42"/>
      <c r="ED50" s="42"/>
      <c r="EE50" s="42"/>
      <c r="EF50" s="42"/>
      <c r="EG50" s="42"/>
      <c r="EH50" s="42"/>
      <c r="EI50" s="42"/>
      <c r="EJ50" s="42"/>
      <c r="EK50" s="42"/>
      <c r="EL50" s="42"/>
      <c r="EM50" s="42"/>
      <c r="EN50" s="42"/>
      <c r="EO50" s="42"/>
      <c r="EP50" s="42"/>
      <c r="EQ50" s="42"/>
      <c r="ER50" s="42"/>
      <c r="ES50" s="42"/>
      <c r="ET50" s="42"/>
      <c r="EU50" s="42"/>
      <c r="EV50" s="42"/>
      <c r="EW50" s="42"/>
      <c r="EX50" s="42"/>
      <c r="EY50" s="42"/>
      <c r="EZ50" s="42"/>
      <c r="FA50" s="42"/>
      <c r="FB50" s="42"/>
      <c r="FC50" s="42"/>
      <c r="FD50" s="42"/>
      <c r="FE50" s="42"/>
      <c r="FF50" s="42"/>
      <c r="FG50" s="42"/>
      <c r="FH50" s="42"/>
      <c r="FI50" s="42"/>
      <c r="FJ50" s="42"/>
      <c r="FK50" s="42"/>
      <c r="FL50" s="42"/>
      <c r="FM50" s="42"/>
      <c r="FN50" s="42"/>
      <c r="FO50" s="42"/>
      <c r="FP50" s="42"/>
      <c r="FQ50" s="42"/>
      <c r="FR50" s="42"/>
      <c r="FS50" s="42"/>
      <c r="FT50" s="42"/>
      <c r="FU50" s="42"/>
      <c r="FV50" s="42"/>
      <c r="FW50" s="42"/>
      <c r="FX50" s="42"/>
      <c r="FY50" s="42"/>
      <c r="FZ50" s="42"/>
      <c r="GA50" s="42"/>
      <c r="GB50" s="42"/>
      <c r="GC50" s="42"/>
      <c r="GD50" s="42"/>
      <c r="GE50" s="42"/>
      <c r="GF50" s="42"/>
      <c r="GG50" s="42"/>
      <c r="GH50" s="42"/>
      <c r="GI50" s="42"/>
      <c r="GJ50" s="42"/>
      <c r="GK50" s="42"/>
      <c r="GL50" s="42"/>
      <c r="GM50" s="42"/>
      <c r="GN50" s="42"/>
      <c r="GO50" s="42"/>
      <c r="GP50" s="42"/>
      <c r="GQ50" s="42"/>
      <c r="GR50" s="42"/>
      <c r="GS50" s="42"/>
      <c r="GT50" s="42"/>
      <c r="GU50" s="42"/>
      <c r="GV50" s="42"/>
      <c r="GW50" s="42"/>
      <c r="GX50" s="42"/>
      <c r="GY50" s="42"/>
      <c r="GZ50" s="42"/>
      <c r="HA50" s="42"/>
      <c r="HB50" s="42"/>
      <c r="HC50" s="42"/>
      <c r="HD50" s="42"/>
      <c r="HE50" s="42"/>
      <c r="HF50" s="42"/>
      <c r="HG50" s="42"/>
      <c r="HH50" s="42"/>
      <c r="HI50" s="42"/>
      <c r="HJ50" s="42"/>
      <c r="HK50" s="42"/>
      <c r="HL50" s="42"/>
      <c r="HM50" s="42"/>
      <c r="HN50" s="42"/>
      <c r="HO50" s="42"/>
      <c r="HP50" s="42"/>
      <c r="HQ50" s="42"/>
      <c r="HR50" s="42"/>
      <c r="HS50" s="42"/>
      <c r="HT50" s="42"/>
      <c r="HU50" s="42"/>
      <c r="HV50" s="42"/>
      <c r="HW50" s="42"/>
      <c r="HX50" s="42"/>
      <c r="HY50" s="42"/>
      <c r="HZ50" s="42"/>
      <c r="IA50" s="42"/>
      <c r="IB50" s="42"/>
      <c r="IC50" s="42"/>
      <c r="ID50" s="42"/>
      <c r="IE50" s="42"/>
      <c r="IF50" s="42"/>
      <c r="IG50" s="42"/>
      <c r="IH50" s="42"/>
      <c r="II50" s="42"/>
      <c r="IJ50" s="42"/>
      <c r="IK50" s="42"/>
      <c r="IL50" s="42"/>
      <c r="IM50" s="42"/>
      <c r="IN50" s="42"/>
      <c r="IO50" s="42"/>
      <c r="IP50" s="42"/>
      <c r="IQ50" s="42"/>
      <c r="IR50" s="42"/>
      <c r="IS50" s="42"/>
      <c r="IT50" s="42"/>
      <c r="IU50" s="42"/>
      <c r="IV50" s="42"/>
    </row>
    <row r="51" spans="1:256" s="122" customFormat="1" x14ac:dyDescent="0.25">
      <c r="A51"/>
      <c r="B51" s="218"/>
      <c r="C51" s="19"/>
      <c r="D51"/>
      <c r="E51"/>
      <c r="F51" s="218"/>
      <c r="G51" s="218"/>
      <c r="H51" s="218"/>
      <c r="I51" s="218"/>
      <c r="J51"/>
      <c r="K51" s="218"/>
      <c r="L51" s="316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</row>
    <row r="52" spans="1:256" s="122" customFormat="1" x14ac:dyDescent="0.25">
      <c r="A52"/>
      <c r="B52" s="218"/>
      <c r="C52" s="19"/>
      <c r="D52"/>
      <c r="E52"/>
      <c r="F52" s="218"/>
      <c r="G52" s="218"/>
      <c r="H52" s="218"/>
      <c r="I52" s="218"/>
      <c r="J52"/>
      <c r="K52" s="218"/>
      <c r="L52" s="316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</row>
    <row r="53" spans="1:256" s="122" customFormat="1" x14ac:dyDescent="0.25">
      <c r="A53"/>
      <c r="B53" s="218"/>
      <c r="C53" s="19"/>
      <c r="D53"/>
      <c r="E53"/>
      <c r="F53" s="218"/>
      <c r="G53" s="218"/>
      <c r="H53" s="218"/>
      <c r="I53" s="218"/>
      <c r="J53"/>
      <c r="K53" s="218"/>
      <c r="L53" s="316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</row>
    <row r="54" spans="1:256" s="122" customFormat="1" x14ac:dyDescent="0.25">
      <c r="B54" s="131"/>
      <c r="C54" s="131"/>
      <c r="D54" s="165"/>
      <c r="F54" s="131"/>
      <c r="G54" s="131"/>
      <c r="H54" s="131"/>
      <c r="I54" s="131"/>
      <c r="K54" s="131"/>
      <c r="L54" s="131"/>
      <c r="N54" s="165"/>
    </row>
    <row r="55" spans="1:256" s="122" customFormat="1" x14ac:dyDescent="0.25">
      <c r="B55" s="131"/>
      <c r="C55" s="131"/>
      <c r="D55" s="165"/>
      <c r="F55" s="131"/>
      <c r="G55" s="131"/>
      <c r="H55" s="131"/>
      <c r="I55" s="131"/>
      <c r="K55" s="131"/>
      <c r="L55" s="131"/>
      <c r="N55" s="165"/>
    </row>
    <row r="56" spans="1:256" s="122" customFormat="1" x14ac:dyDescent="0.25">
      <c r="B56" s="131"/>
      <c r="C56" s="131"/>
      <c r="D56" s="165"/>
      <c r="F56" s="131"/>
      <c r="G56" s="131"/>
      <c r="H56" s="131"/>
      <c r="I56" s="131"/>
      <c r="K56" s="131"/>
      <c r="L56" s="166"/>
    </row>
    <row r="57" spans="1:256" s="122" customFormat="1" x14ac:dyDescent="0.25">
      <c r="B57" s="131"/>
      <c r="C57" s="131"/>
      <c r="D57" s="167"/>
      <c r="F57" s="131"/>
      <c r="G57" s="131"/>
      <c r="H57" s="131"/>
      <c r="I57" s="131"/>
      <c r="K57" s="131"/>
      <c r="L57" s="131"/>
    </row>
    <row r="58" spans="1:256" s="122" customFormat="1" x14ac:dyDescent="0.25">
      <c r="B58" s="131"/>
      <c r="C58" s="131"/>
      <c r="D58" s="165"/>
      <c r="F58" s="131"/>
      <c r="G58" s="131"/>
      <c r="H58" s="131"/>
      <c r="I58" s="131"/>
      <c r="K58" s="131"/>
      <c r="L58" s="131"/>
      <c r="N58" s="165"/>
    </row>
    <row r="59" spans="1:256" s="122" customFormat="1" x14ac:dyDescent="0.25">
      <c r="B59" s="131"/>
      <c r="C59" s="131"/>
      <c r="D59" s="165"/>
      <c r="F59" s="131"/>
      <c r="G59" s="131"/>
      <c r="H59" s="131"/>
      <c r="I59" s="131"/>
      <c r="K59" s="131"/>
      <c r="L59" s="166"/>
      <c r="N59" s="165"/>
    </row>
    <row r="60" spans="1:256" s="122" customFormat="1" x14ac:dyDescent="0.25">
      <c r="B60" s="131"/>
      <c r="C60" s="131"/>
      <c r="D60" s="165"/>
      <c r="F60" s="131"/>
      <c r="G60" s="131"/>
      <c r="H60" s="131"/>
      <c r="I60" s="131"/>
      <c r="K60" s="131"/>
      <c r="L60" s="166"/>
      <c r="N60" s="165"/>
    </row>
    <row r="61" spans="1:256" s="122" customFormat="1" x14ac:dyDescent="0.25">
      <c r="B61" s="131"/>
      <c r="C61" s="131"/>
      <c r="F61" s="114"/>
      <c r="G61" s="131"/>
      <c r="H61" s="131"/>
      <c r="I61" s="131"/>
      <c r="J61" s="131"/>
      <c r="K61" s="131"/>
      <c r="L61" s="131"/>
    </row>
    <row r="62" spans="1:256" s="122" customFormat="1" x14ac:dyDescent="0.25">
      <c r="B62" s="131"/>
      <c r="C62" s="131"/>
      <c r="F62" s="114"/>
      <c r="G62" s="131"/>
      <c r="H62" s="131"/>
      <c r="I62" s="131"/>
      <c r="J62" s="131"/>
      <c r="K62" s="131"/>
      <c r="L62" s="131"/>
    </row>
    <row r="63" spans="1:256" s="122" customFormat="1" x14ac:dyDescent="0.25">
      <c r="B63" s="131"/>
      <c r="C63" s="131"/>
      <c r="F63" s="131"/>
      <c r="G63" s="131"/>
      <c r="H63" s="131"/>
      <c r="I63" s="131"/>
      <c r="K63" s="131"/>
      <c r="L63" s="131"/>
    </row>
    <row r="64" spans="1:256" s="122" customFormat="1" x14ac:dyDescent="0.25">
      <c r="B64" s="131"/>
      <c r="C64" s="131"/>
      <c r="F64" s="131"/>
      <c r="G64" s="131"/>
      <c r="H64" s="131"/>
      <c r="I64" s="131"/>
      <c r="K64" s="131"/>
      <c r="L64" s="131"/>
    </row>
    <row r="65" spans="2:14" s="122" customFormat="1" x14ac:dyDescent="0.25">
      <c r="B65" s="131"/>
      <c r="C65" s="131"/>
      <c r="D65" s="165"/>
      <c r="F65" s="131"/>
      <c r="G65" s="131"/>
      <c r="H65" s="131"/>
      <c r="I65" s="131"/>
      <c r="K65" s="131"/>
      <c r="L65" s="131"/>
      <c r="N65" s="165"/>
    </row>
    <row r="66" spans="2:14" s="122" customFormat="1" x14ac:dyDescent="0.25">
      <c r="B66" s="131"/>
      <c r="C66" s="131"/>
      <c r="D66" s="165"/>
      <c r="F66" s="131"/>
      <c r="G66" s="131"/>
      <c r="H66" s="131"/>
      <c r="I66" s="131"/>
      <c r="K66" s="131"/>
      <c r="L66" s="131"/>
      <c r="N66" s="165"/>
    </row>
    <row r="67" spans="2:14" s="122" customFormat="1" x14ac:dyDescent="0.25">
      <c r="B67" s="131"/>
      <c r="C67" s="131"/>
      <c r="D67" s="165"/>
      <c r="F67" s="131"/>
      <c r="G67" s="131"/>
      <c r="H67" s="131"/>
      <c r="I67" s="131"/>
      <c r="K67" s="131"/>
      <c r="L67" s="131"/>
      <c r="N67" s="165"/>
    </row>
    <row r="68" spans="2:14" s="122" customFormat="1" x14ac:dyDescent="0.25">
      <c r="B68" s="131"/>
      <c r="C68" s="131"/>
      <c r="F68" s="131"/>
      <c r="G68" s="131"/>
      <c r="H68" s="131"/>
      <c r="I68" s="131"/>
      <c r="K68" s="131"/>
      <c r="L68" s="131"/>
    </row>
    <row r="69" spans="2:14" s="122" customFormat="1" x14ac:dyDescent="0.25">
      <c r="B69" s="131"/>
      <c r="C69" s="131"/>
      <c r="D69" s="165"/>
      <c r="F69" s="131"/>
      <c r="G69" s="131"/>
      <c r="H69" s="131"/>
      <c r="I69" s="131"/>
      <c r="K69" s="131"/>
      <c r="L69" s="131"/>
      <c r="N69" s="165"/>
    </row>
    <row r="70" spans="2:14" s="122" customFormat="1" ht="15.75" x14ac:dyDescent="0.25">
      <c r="B70" s="131"/>
      <c r="C70" s="131"/>
      <c r="D70" s="168"/>
      <c r="F70" s="131"/>
      <c r="G70" s="131"/>
      <c r="H70" s="131"/>
      <c r="I70" s="131"/>
      <c r="K70" s="131"/>
      <c r="L70" s="131"/>
      <c r="N70" s="168"/>
    </row>
    <row r="71" spans="2:14" s="122" customFormat="1" x14ac:dyDescent="0.25">
      <c r="B71" s="131"/>
      <c r="C71" s="131"/>
      <c r="F71" s="131"/>
      <c r="G71" s="131"/>
      <c r="H71" s="131"/>
      <c r="I71" s="131"/>
      <c r="K71" s="131"/>
      <c r="L71" s="131"/>
    </row>
    <row r="72" spans="2:14" s="122" customFormat="1" x14ac:dyDescent="0.25">
      <c r="B72" s="131"/>
      <c r="C72" s="131"/>
      <c r="F72" s="131"/>
      <c r="G72" s="131"/>
      <c r="H72" s="131"/>
      <c r="I72" s="131"/>
      <c r="K72" s="131"/>
      <c r="L72" s="131"/>
    </row>
    <row r="73" spans="2:14" s="122" customFormat="1" x14ac:dyDescent="0.25">
      <c r="B73" s="131"/>
      <c r="C73" s="131"/>
      <c r="F73" s="131"/>
      <c r="G73" s="131"/>
      <c r="H73" s="131"/>
      <c r="I73" s="131"/>
      <c r="K73" s="131"/>
      <c r="L73" s="131"/>
    </row>
    <row r="74" spans="2:14" s="122" customFormat="1" x14ac:dyDescent="0.25">
      <c r="B74" s="131"/>
      <c r="C74" s="131"/>
      <c r="F74" s="131"/>
      <c r="G74" s="131"/>
      <c r="H74" s="131"/>
      <c r="I74" s="131"/>
      <c r="K74" s="131"/>
      <c r="L74" s="131"/>
    </row>
    <row r="75" spans="2:14" s="122" customFormat="1" x14ac:dyDescent="0.25">
      <c r="B75" s="131"/>
      <c r="C75" s="131"/>
      <c r="F75" s="131"/>
      <c r="G75" s="131"/>
      <c r="H75" s="131"/>
      <c r="I75" s="131"/>
      <c r="K75" s="131"/>
      <c r="L75" s="131"/>
    </row>
    <row r="76" spans="2:14" s="122" customFormat="1" x14ac:dyDescent="0.25">
      <c r="B76" s="131"/>
      <c r="C76" s="131"/>
      <c r="F76" s="131"/>
      <c r="G76" s="131"/>
      <c r="H76" s="131"/>
      <c r="I76" s="131"/>
      <c r="K76" s="131"/>
      <c r="L76" s="131"/>
    </row>
    <row r="77" spans="2:14" s="122" customFormat="1" x14ac:dyDescent="0.25">
      <c r="B77" s="131"/>
      <c r="C77" s="131"/>
      <c r="F77" s="131"/>
      <c r="G77" s="131"/>
      <c r="H77" s="131"/>
      <c r="I77" s="131"/>
      <c r="K77" s="131"/>
      <c r="L77" s="131"/>
    </row>
    <row r="78" spans="2:14" s="122" customFormat="1" x14ac:dyDescent="0.25">
      <c r="B78" s="131"/>
      <c r="C78" s="131"/>
      <c r="F78" s="131"/>
      <c r="G78" s="131"/>
      <c r="H78" s="131"/>
      <c r="I78" s="131"/>
      <c r="K78" s="131"/>
      <c r="L78" s="131"/>
    </row>
    <row r="79" spans="2:14" s="122" customFormat="1" x14ac:dyDescent="0.25">
      <c r="B79" s="131"/>
      <c r="C79" s="131"/>
      <c r="F79" s="131"/>
      <c r="G79" s="131"/>
      <c r="H79" s="131"/>
      <c r="I79" s="131"/>
      <c r="K79" s="131"/>
      <c r="L79" s="131"/>
    </row>
    <row r="80" spans="2:14" s="122" customFormat="1" x14ac:dyDescent="0.25">
      <c r="B80" s="131"/>
      <c r="C80" s="131"/>
      <c r="F80" s="131"/>
      <c r="G80" s="131"/>
      <c r="H80" s="131"/>
      <c r="I80" s="131"/>
      <c r="K80" s="131"/>
      <c r="L80" s="131"/>
    </row>
    <row r="81" spans="1:256" s="122" customFormat="1" x14ac:dyDescent="0.25">
      <c r="B81" s="131"/>
      <c r="C81" s="131"/>
      <c r="F81" s="131"/>
      <c r="G81" s="131"/>
      <c r="H81" s="131"/>
      <c r="I81" s="131"/>
      <c r="K81" s="131"/>
      <c r="L81" s="131"/>
    </row>
    <row r="82" spans="1:256" s="122" customFormat="1" x14ac:dyDescent="0.25">
      <c r="B82" s="131"/>
      <c r="C82" s="131"/>
      <c r="F82" s="131"/>
      <c r="G82" s="131"/>
      <c r="H82" s="131"/>
      <c r="I82" s="131"/>
      <c r="K82" s="131"/>
      <c r="L82" s="131"/>
    </row>
    <row r="83" spans="1:256" s="122" customFormat="1" x14ac:dyDescent="0.25">
      <c r="B83" s="131"/>
      <c r="C83" s="131"/>
      <c r="F83" s="131"/>
      <c r="G83" s="131"/>
      <c r="H83" s="131"/>
      <c r="I83" s="131"/>
      <c r="K83" s="131"/>
      <c r="L83" s="131"/>
    </row>
    <row r="84" spans="1:256" s="122" customFormat="1" x14ac:dyDescent="0.25">
      <c r="B84" s="131"/>
      <c r="C84" s="131"/>
      <c r="F84" s="131"/>
      <c r="G84" s="131"/>
      <c r="H84" s="131"/>
      <c r="I84" s="131"/>
      <c r="K84" s="131"/>
      <c r="L84" s="131"/>
    </row>
    <row r="85" spans="1:256" s="122" customFormat="1" x14ac:dyDescent="0.25">
      <c r="B85" s="131"/>
      <c r="C85" s="131"/>
      <c r="F85" s="131"/>
      <c r="G85" s="131"/>
      <c r="H85" s="131"/>
      <c r="I85" s="131"/>
      <c r="K85" s="131"/>
      <c r="L85" s="131"/>
    </row>
    <row r="86" spans="1:256" s="122" customFormat="1" x14ac:dyDescent="0.25">
      <c r="B86" s="131"/>
      <c r="C86" s="131"/>
      <c r="D86" s="132"/>
      <c r="F86" s="131"/>
      <c r="G86" s="131"/>
      <c r="H86" s="131"/>
      <c r="I86" s="131"/>
      <c r="K86" s="114"/>
      <c r="L86" s="131"/>
    </row>
    <row r="87" spans="1:256" x14ac:dyDescent="0.25">
      <c r="A87" s="122"/>
      <c r="B87" s="131"/>
      <c r="C87" s="131"/>
      <c r="D87" s="122"/>
      <c r="E87" s="122"/>
      <c r="F87" s="131"/>
      <c r="G87" s="131"/>
      <c r="H87" s="131"/>
      <c r="I87" s="131"/>
      <c r="J87" s="122"/>
      <c r="K87" s="131"/>
      <c r="L87" s="131"/>
      <c r="M87" s="122"/>
      <c r="N87" s="122"/>
      <c r="O87" s="122"/>
      <c r="P87" s="122"/>
      <c r="Q87" s="122"/>
      <c r="R87" s="122"/>
      <c r="S87" s="122"/>
      <c r="T87" s="122"/>
      <c r="U87" s="122"/>
      <c r="V87" s="122"/>
      <c r="W87" s="122"/>
      <c r="X87" s="122"/>
      <c r="Y87" s="122"/>
      <c r="Z87" s="122"/>
      <c r="AA87" s="122"/>
      <c r="AB87" s="122"/>
      <c r="AC87" s="122"/>
      <c r="AD87" s="122"/>
      <c r="AE87" s="122"/>
      <c r="AF87" s="122"/>
      <c r="AG87" s="122"/>
      <c r="AH87" s="122"/>
      <c r="AI87" s="122"/>
      <c r="AJ87" s="122"/>
      <c r="AK87" s="122"/>
      <c r="AL87" s="122"/>
      <c r="AM87" s="122"/>
      <c r="AN87" s="122"/>
      <c r="AO87" s="122"/>
      <c r="AP87" s="122"/>
      <c r="AQ87" s="122"/>
      <c r="AR87" s="122"/>
      <c r="AS87" s="122"/>
      <c r="AT87" s="122"/>
      <c r="AU87" s="122"/>
      <c r="AV87" s="122"/>
      <c r="AW87" s="122"/>
      <c r="AX87" s="122"/>
      <c r="AY87" s="122"/>
      <c r="AZ87" s="122"/>
      <c r="BA87" s="122"/>
      <c r="BB87" s="122"/>
      <c r="BC87" s="122"/>
      <c r="BD87" s="122"/>
      <c r="BE87" s="122"/>
      <c r="BF87" s="122"/>
      <c r="BG87" s="122"/>
      <c r="BH87" s="122"/>
      <c r="BI87" s="122"/>
      <c r="BJ87" s="122"/>
      <c r="BK87" s="122"/>
      <c r="BL87" s="122"/>
      <c r="BM87" s="122"/>
      <c r="BN87" s="122"/>
      <c r="BO87" s="122"/>
      <c r="BP87" s="122"/>
      <c r="BQ87" s="122"/>
      <c r="BR87" s="122"/>
      <c r="BS87" s="122"/>
      <c r="BT87" s="122"/>
      <c r="BU87" s="122"/>
      <c r="BV87" s="122"/>
      <c r="BW87" s="122"/>
      <c r="BX87" s="122"/>
      <c r="BY87" s="122"/>
      <c r="BZ87" s="122"/>
      <c r="CA87" s="122"/>
      <c r="CB87" s="122"/>
      <c r="CC87" s="122"/>
      <c r="CD87" s="122"/>
      <c r="CE87" s="122"/>
      <c r="CF87" s="122"/>
      <c r="CG87" s="122"/>
      <c r="CH87" s="122"/>
      <c r="CI87" s="122"/>
      <c r="CJ87" s="122"/>
      <c r="CK87" s="122"/>
      <c r="CL87" s="122"/>
      <c r="CM87" s="122"/>
      <c r="CN87" s="122"/>
      <c r="CO87" s="122"/>
      <c r="CP87" s="122"/>
      <c r="CQ87" s="122"/>
      <c r="CR87" s="122"/>
      <c r="CS87" s="122"/>
      <c r="CT87" s="122"/>
      <c r="CU87" s="122"/>
      <c r="CV87" s="122"/>
      <c r="CW87" s="122"/>
      <c r="CX87" s="122"/>
      <c r="CY87" s="122"/>
      <c r="CZ87" s="122"/>
      <c r="DA87" s="122"/>
      <c r="DB87" s="122"/>
      <c r="DC87" s="122"/>
      <c r="DD87" s="122"/>
      <c r="DE87" s="122"/>
      <c r="DF87" s="122"/>
      <c r="DG87" s="122"/>
      <c r="DH87" s="122"/>
      <c r="DI87" s="122"/>
      <c r="DJ87" s="122"/>
      <c r="DK87" s="122"/>
      <c r="DL87" s="122"/>
      <c r="DM87" s="122"/>
      <c r="DN87" s="122"/>
      <c r="DO87" s="122"/>
      <c r="DP87" s="122"/>
      <c r="DQ87" s="122"/>
      <c r="DR87" s="122"/>
      <c r="DS87" s="122"/>
      <c r="DT87" s="122"/>
      <c r="DU87" s="122"/>
      <c r="DV87" s="122"/>
      <c r="DW87" s="122"/>
      <c r="DX87" s="122"/>
      <c r="DY87" s="122"/>
      <c r="DZ87" s="122"/>
      <c r="EA87" s="122"/>
      <c r="EB87" s="122"/>
      <c r="EC87" s="122"/>
      <c r="ED87" s="122"/>
      <c r="EE87" s="122"/>
      <c r="EF87" s="122"/>
      <c r="EG87" s="122"/>
      <c r="EH87" s="122"/>
      <c r="EI87" s="122"/>
      <c r="EJ87" s="122"/>
      <c r="EK87" s="122"/>
      <c r="EL87" s="122"/>
      <c r="EM87" s="122"/>
      <c r="EN87" s="122"/>
      <c r="EO87" s="122"/>
      <c r="EP87" s="122"/>
      <c r="EQ87" s="122"/>
      <c r="ER87" s="122"/>
      <c r="ES87" s="122"/>
      <c r="ET87" s="122"/>
      <c r="EU87" s="122"/>
      <c r="EV87" s="122"/>
      <c r="EW87" s="122"/>
      <c r="EX87" s="122"/>
      <c r="EY87" s="122"/>
      <c r="EZ87" s="122"/>
      <c r="FA87" s="122"/>
      <c r="FB87" s="122"/>
      <c r="FC87" s="122"/>
      <c r="FD87" s="122"/>
      <c r="FE87" s="122"/>
      <c r="FF87" s="122"/>
      <c r="FG87" s="122"/>
      <c r="FH87" s="122"/>
      <c r="FI87" s="122"/>
      <c r="FJ87" s="122"/>
      <c r="FK87" s="122"/>
      <c r="FL87" s="122"/>
      <c r="FM87" s="122"/>
      <c r="FN87" s="122"/>
      <c r="FO87" s="122"/>
      <c r="FP87" s="122"/>
      <c r="FQ87" s="122"/>
      <c r="FR87" s="122"/>
      <c r="FS87" s="122"/>
      <c r="FT87" s="122"/>
      <c r="FU87" s="122"/>
      <c r="FV87" s="122"/>
      <c r="FW87" s="122"/>
      <c r="FX87" s="122"/>
      <c r="FY87" s="122"/>
      <c r="FZ87" s="122"/>
      <c r="GA87" s="122"/>
      <c r="GB87" s="122"/>
      <c r="GC87" s="122"/>
      <c r="GD87" s="122"/>
      <c r="GE87" s="122"/>
      <c r="GF87" s="122"/>
      <c r="GG87" s="122"/>
      <c r="GH87" s="122"/>
      <c r="GI87" s="122"/>
      <c r="GJ87" s="122"/>
      <c r="GK87" s="122"/>
      <c r="GL87" s="122"/>
      <c r="GM87" s="122"/>
      <c r="GN87" s="122"/>
      <c r="GO87" s="122"/>
      <c r="GP87" s="122"/>
      <c r="GQ87" s="122"/>
      <c r="GR87" s="122"/>
      <c r="GS87" s="122"/>
      <c r="GT87" s="122"/>
      <c r="GU87" s="122"/>
      <c r="GV87" s="122"/>
      <c r="GW87" s="122"/>
      <c r="GX87" s="122"/>
      <c r="GY87" s="122"/>
      <c r="GZ87" s="122"/>
      <c r="HA87" s="122"/>
      <c r="HB87" s="122"/>
      <c r="HC87" s="122"/>
      <c r="HD87" s="122"/>
      <c r="HE87" s="122"/>
      <c r="HF87" s="122"/>
      <c r="HG87" s="122"/>
      <c r="HH87" s="122"/>
      <c r="HI87" s="122"/>
      <c r="HJ87" s="122"/>
      <c r="HK87" s="122"/>
      <c r="HL87" s="122"/>
      <c r="HM87" s="122"/>
      <c r="HN87" s="122"/>
      <c r="HO87" s="122"/>
      <c r="HP87" s="122"/>
      <c r="HQ87" s="122"/>
      <c r="HR87" s="122"/>
      <c r="HS87" s="122"/>
      <c r="HT87" s="122"/>
      <c r="HU87" s="122"/>
      <c r="HV87" s="122"/>
      <c r="HW87" s="122"/>
      <c r="HX87" s="122"/>
      <c r="HY87" s="122"/>
      <c r="HZ87" s="122"/>
      <c r="IA87" s="122"/>
      <c r="IB87" s="122"/>
      <c r="IC87" s="122"/>
      <c r="ID87" s="122"/>
      <c r="IE87" s="122"/>
      <c r="IF87" s="122"/>
      <c r="IG87" s="122"/>
      <c r="IH87" s="122"/>
      <c r="II87" s="122"/>
      <c r="IJ87" s="122"/>
      <c r="IK87" s="122"/>
      <c r="IL87" s="122"/>
      <c r="IM87" s="122"/>
      <c r="IN87" s="122"/>
      <c r="IO87" s="122"/>
      <c r="IP87" s="122"/>
      <c r="IQ87" s="122"/>
      <c r="IR87" s="122"/>
      <c r="IS87" s="122"/>
      <c r="IT87" s="122"/>
      <c r="IU87" s="122"/>
      <c r="IV87" s="122"/>
    </row>
    <row r="88" spans="1:256" x14ac:dyDescent="0.25">
      <c r="A88" s="122"/>
      <c r="B88" s="131"/>
      <c r="C88" s="131"/>
      <c r="D88" s="122"/>
      <c r="E88" s="122"/>
      <c r="F88" s="131"/>
      <c r="G88" s="131"/>
      <c r="H88" s="131"/>
      <c r="I88" s="131"/>
      <c r="J88" s="122"/>
      <c r="K88" s="131"/>
      <c r="L88" s="131"/>
      <c r="M88" s="122"/>
      <c r="N88" s="122"/>
      <c r="O88" s="122"/>
      <c r="P88" s="122"/>
      <c r="Q88" s="122"/>
      <c r="R88" s="122"/>
      <c r="S88" s="122"/>
      <c r="T88" s="122"/>
      <c r="U88" s="122"/>
      <c r="V88" s="122"/>
      <c r="W88" s="122"/>
      <c r="X88" s="122"/>
      <c r="Y88" s="122"/>
      <c r="Z88" s="122"/>
      <c r="AA88" s="122"/>
      <c r="AB88" s="122"/>
      <c r="AC88" s="122"/>
      <c r="AD88" s="122"/>
      <c r="AE88" s="122"/>
      <c r="AF88" s="122"/>
      <c r="AG88" s="122"/>
      <c r="AH88" s="122"/>
      <c r="AI88" s="122"/>
      <c r="AJ88" s="122"/>
      <c r="AK88" s="122"/>
      <c r="AL88" s="122"/>
      <c r="AM88" s="122"/>
      <c r="AN88" s="122"/>
      <c r="AO88" s="122"/>
      <c r="AP88" s="122"/>
      <c r="AQ88" s="122"/>
      <c r="AR88" s="122"/>
      <c r="AS88" s="122"/>
      <c r="AT88" s="122"/>
      <c r="AU88" s="122"/>
      <c r="AV88" s="122"/>
      <c r="AW88" s="122"/>
      <c r="AX88" s="122"/>
      <c r="AY88" s="122"/>
      <c r="AZ88" s="122"/>
      <c r="BA88" s="122"/>
      <c r="BB88" s="122"/>
      <c r="BC88" s="122"/>
      <c r="BD88" s="122"/>
      <c r="BE88" s="122"/>
      <c r="BF88" s="122"/>
      <c r="BG88" s="122"/>
      <c r="BH88" s="122"/>
      <c r="BI88" s="122"/>
      <c r="BJ88" s="122"/>
      <c r="BK88" s="122"/>
      <c r="BL88" s="122"/>
      <c r="BM88" s="122"/>
      <c r="BN88" s="122"/>
      <c r="BO88" s="122"/>
      <c r="BP88" s="122"/>
      <c r="BQ88" s="122"/>
      <c r="BR88" s="122"/>
      <c r="BS88" s="122"/>
      <c r="BT88" s="122"/>
      <c r="BU88" s="122"/>
      <c r="BV88" s="122"/>
      <c r="BW88" s="122"/>
      <c r="BX88" s="122"/>
      <c r="BY88" s="122"/>
      <c r="BZ88" s="122"/>
      <c r="CA88" s="122"/>
      <c r="CB88" s="122"/>
      <c r="CC88" s="122"/>
      <c r="CD88" s="122"/>
      <c r="CE88" s="122"/>
      <c r="CF88" s="122"/>
      <c r="CG88" s="122"/>
      <c r="CH88" s="122"/>
      <c r="CI88" s="122"/>
      <c r="CJ88" s="122"/>
      <c r="CK88" s="122"/>
      <c r="CL88" s="122"/>
      <c r="CM88" s="122"/>
      <c r="CN88" s="122"/>
      <c r="CO88" s="122"/>
      <c r="CP88" s="122"/>
      <c r="CQ88" s="122"/>
      <c r="CR88" s="122"/>
      <c r="CS88" s="122"/>
      <c r="CT88" s="122"/>
      <c r="CU88" s="122"/>
      <c r="CV88" s="122"/>
      <c r="CW88" s="122"/>
      <c r="CX88" s="122"/>
      <c r="CY88" s="122"/>
      <c r="CZ88" s="122"/>
      <c r="DA88" s="122"/>
      <c r="DB88" s="122"/>
      <c r="DC88" s="122"/>
      <c r="DD88" s="122"/>
      <c r="DE88" s="122"/>
      <c r="DF88" s="122"/>
      <c r="DG88" s="122"/>
      <c r="DH88" s="122"/>
      <c r="DI88" s="122"/>
      <c r="DJ88" s="122"/>
      <c r="DK88" s="122"/>
      <c r="DL88" s="122"/>
      <c r="DM88" s="122"/>
      <c r="DN88" s="122"/>
      <c r="DO88" s="122"/>
      <c r="DP88" s="122"/>
      <c r="DQ88" s="122"/>
      <c r="DR88" s="122"/>
      <c r="DS88" s="122"/>
      <c r="DT88" s="122"/>
      <c r="DU88" s="122"/>
      <c r="DV88" s="122"/>
      <c r="DW88" s="122"/>
      <c r="DX88" s="122"/>
      <c r="DY88" s="122"/>
      <c r="DZ88" s="122"/>
      <c r="EA88" s="122"/>
      <c r="EB88" s="122"/>
      <c r="EC88" s="122"/>
      <c r="ED88" s="122"/>
      <c r="EE88" s="122"/>
      <c r="EF88" s="122"/>
      <c r="EG88" s="122"/>
      <c r="EH88" s="122"/>
      <c r="EI88" s="122"/>
      <c r="EJ88" s="122"/>
      <c r="EK88" s="122"/>
      <c r="EL88" s="122"/>
      <c r="EM88" s="122"/>
      <c r="EN88" s="122"/>
      <c r="EO88" s="122"/>
      <c r="EP88" s="122"/>
      <c r="EQ88" s="122"/>
      <c r="ER88" s="122"/>
      <c r="ES88" s="122"/>
      <c r="ET88" s="122"/>
      <c r="EU88" s="122"/>
      <c r="EV88" s="122"/>
      <c r="EW88" s="122"/>
      <c r="EX88" s="122"/>
      <c r="EY88" s="122"/>
      <c r="EZ88" s="122"/>
      <c r="FA88" s="122"/>
      <c r="FB88" s="122"/>
      <c r="FC88" s="122"/>
      <c r="FD88" s="122"/>
      <c r="FE88" s="122"/>
      <c r="FF88" s="122"/>
      <c r="FG88" s="122"/>
      <c r="FH88" s="122"/>
      <c r="FI88" s="122"/>
      <c r="FJ88" s="122"/>
      <c r="FK88" s="122"/>
      <c r="FL88" s="122"/>
      <c r="FM88" s="122"/>
      <c r="FN88" s="122"/>
      <c r="FO88" s="122"/>
      <c r="FP88" s="122"/>
      <c r="FQ88" s="122"/>
      <c r="FR88" s="122"/>
      <c r="FS88" s="122"/>
      <c r="FT88" s="122"/>
      <c r="FU88" s="122"/>
      <c r="FV88" s="122"/>
      <c r="FW88" s="122"/>
      <c r="FX88" s="122"/>
      <c r="FY88" s="122"/>
      <c r="FZ88" s="122"/>
      <c r="GA88" s="122"/>
      <c r="GB88" s="122"/>
      <c r="GC88" s="122"/>
      <c r="GD88" s="122"/>
      <c r="GE88" s="122"/>
      <c r="GF88" s="122"/>
      <c r="GG88" s="122"/>
      <c r="GH88" s="122"/>
      <c r="GI88" s="122"/>
      <c r="GJ88" s="122"/>
      <c r="GK88" s="122"/>
      <c r="GL88" s="122"/>
      <c r="GM88" s="122"/>
      <c r="GN88" s="122"/>
      <c r="GO88" s="122"/>
      <c r="GP88" s="122"/>
      <c r="GQ88" s="122"/>
      <c r="GR88" s="122"/>
      <c r="GS88" s="122"/>
      <c r="GT88" s="122"/>
      <c r="GU88" s="122"/>
      <c r="GV88" s="122"/>
      <c r="GW88" s="122"/>
      <c r="GX88" s="122"/>
      <c r="GY88" s="122"/>
      <c r="GZ88" s="122"/>
      <c r="HA88" s="122"/>
      <c r="HB88" s="122"/>
      <c r="HC88" s="122"/>
      <c r="HD88" s="122"/>
      <c r="HE88" s="122"/>
      <c r="HF88" s="122"/>
      <c r="HG88" s="122"/>
      <c r="HH88" s="122"/>
      <c r="HI88" s="122"/>
      <c r="HJ88" s="122"/>
      <c r="HK88" s="122"/>
      <c r="HL88" s="122"/>
      <c r="HM88" s="122"/>
      <c r="HN88" s="122"/>
      <c r="HO88" s="122"/>
      <c r="HP88" s="122"/>
      <c r="HQ88" s="122"/>
      <c r="HR88" s="122"/>
      <c r="HS88" s="122"/>
      <c r="HT88" s="122"/>
      <c r="HU88" s="122"/>
      <c r="HV88" s="122"/>
      <c r="HW88" s="122"/>
      <c r="HX88" s="122"/>
      <c r="HY88" s="122"/>
      <c r="HZ88" s="122"/>
      <c r="IA88" s="122"/>
      <c r="IB88" s="122"/>
      <c r="IC88" s="122"/>
      <c r="ID88" s="122"/>
      <c r="IE88" s="122"/>
      <c r="IF88" s="122"/>
      <c r="IG88" s="122"/>
      <c r="IH88" s="122"/>
      <c r="II88" s="122"/>
      <c r="IJ88" s="122"/>
      <c r="IK88" s="122"/>
      <c r="IL88" s="122"/>
      <c r="IM88" s="122"/>
      <c r="IN88" s="122"/>
      <c r="IO88" s="122"/>
      <c r="IP88" s="122"/>
      <c r="IQ88" s="122"/>
      <c r="IR88" s="122"/>
      <c r="IS88" s="122"/>
      <c r="IT88" s="122"/>
      <c r="IU88" s="122"/>
      <c r="IV88" s="122"/>
    </row>
    <row r="89" spans="1:256" x14ac:dyDescent="0.25">
      <c r="A89" s="122"/>
      <c r="B89" s="131"/>
      <c r="C89" s="131"/>
      <c r="D89" s="122"/>
      <c r="E89" s="122"/>
      <c r="F89" s="131"/>
      <c r="G89" s="131"/>
      <c r="H89" s="131"/>
      <c r="I89" s="131"/>
      <c r="J89" s="122"/>
      <c r="K89" s="131"/>
      <c r="L89" s="131"/>
      <c r="M89" s="122"/>
      <c r="N89" s="122"/>
      <c r="O89" s="122"/>
      <c r="P89" s="122"/>
      <c r="Q89" s="122"/>
      <c r="R89" s="122"/>
      <c r="S89" s="122"/>
      <c r="T89" s="122"/>
      <c r="U89" s="122"/>
      <c r="V89" s="122"/>
      <c r="W89" s="122"/>
      <c r="X89" s="122"/>
      <c r="Y89" s="122"/>
      <c r="Z89" s="122"/>
      <c r="AA89" s="122"/>
      <c r="AB89" s="122"/>
      <c r="AC89" s="122"/>
      <c r="AD89" s="122"/>
      <c r="AE89" s="122"/>
      <c r="AF89" s="122"/>
      <c r="AG89" s="122"/>
      <c r="AH89" s="122"/>
      <c r="AI89" s="122"/>
      <c r="AJ89" s="122"/>
      <c r="AK89" s="122"/>
      <c r="AL89" s="122"/>
      <c r="AM89" s="122"/>
      <c r="AN89" s="122"/>
      <c r="AO89" s="122"/>
      <c r="AP89" s="122"/>
      <c r="AQ89" s="122"/>
      <c r="AR89" s="122"/>
      <c r="AS89" s="122"/>
      <c r="AT89" s="122"/>
      <c r="AU89" s="122"/>
      <c r="AV89" s="122"/>
      <c r="AW89" s="122"/>
      <c r="AX89" s="122"/>
      <c r="AY89" s="122"/>
      <c r="AZ89" s="122"/>
      <c r="BA89" s="122"/>
      <c r="BB89" s="122"/>
      <c r="BC89" s="122"/>
      <c r="BD89" s="122"/>
      <c r="BE89" s="122"/>
      <c r="BF89" s="122"/>
      <c r="BG89" s="122"/>
      <c r="BH89" s="122"/>
      <c r="BI89" s="122"/>
      <c r="BJ89" s="122"/>
      <c r="BK89" s="122"/>
      <c r="BL89" s="122"/>
      <c r="BM89" s="122"/>
      <c r="BN89" s="122"/>
      <c r="BO89" s="122"/>
      <c r="BP89" s="122"/>
      <c r="BQ89" s="122"/>
      <c r="BR89" s="122"/>
      <c r="BS89" s="122"/>
      <c r="BT89" s="122"/>
      <c r="BU89" s="122"/>
      <c r="BV89" s="122"/>
      <c r="BW89" s="122"/>
      <c r="BX89" s="122"/>
      <c r="BY89" s="122"/>
      <c r="BZ89" s="122"/>
      <c r="CA89" s="122"/>
      <c r="CB89" s="122"/>
      <c r="CC89" s="122"/>
      <c r="CD89" s="122"/>
      <c r="CE89" s="122"/>
      <c r="CF89" s="122"/>
      <c r="CG89" s="122"/>
      <c r="CH89" s="122"/>
      <c r="CI89" s="122"/>
      <c r="CJ89" s="122"/>
      <c r="CK89" s="122"/>
      <c r="CL89" s="122"/>
      <c r="CM89" s="122"/>
      <c r="CN89" s="122"/>
      <c r="CO89" s="122"/>
      <c r="CP89" s="122"/>
      <c r="CQ89" s="122"/>
      <c r="CR89" s="122"/>
      <c r="CS89" s="122"/>
      <c r="CT89" s="122"/>
      <c r="CU89" s="122"/>
      <c r="CV89" s="122"/>
      <c r="CW89" s="122"/>
      <c r="CX89" s="122"/>
      <c r="CY89" s="122"/>
      <c r="CZ89" s="122"/>
      <c r="DA89" s="122"/>
      <c r="DB89" s="122"/>
      <c r="DC89" s="122"/>
      <c r="DD89" s="122"/>
      <c r="DE89" s="122"/>
      <c r="DF89" s="122"/>
      <c r="DG89" s="122"/>
      <c r="DH89" s="122"/>
      <c r="DI89" s="122"/>
      <c r="DJ89" s="122"/>
      <c r="DK89" s="122"/>
      <c r="DL89" s="122"/>
      <c r="DM89" s="122"/>
      <c r="DN89" s="122"/>
      <c r="DO89" s="122"/>
      <c r="DP89" s="122"/>
      <c r="DQ89" s="122"/>
      <c r="DR89" s="122"/>
      <c r="DS89" s="122"/>
      <c r="DT89" s="122"/>
      <c r="DU89" s="122"/>
      <c r="DV89" s="122"/>
      <c r="DW89" s="122"/>
      <c r="DX89" s="122"/>
      <c r="DY89" s="122"/>
      <c r="DZ89" s="122"/>
      <c r="EA89" s="122"/>
      <c r="EB89" s="122"/>
      <c r="EC89" s="122"/>
      <c r="ED89" s="122"/>
      <c r="EE89" s="122"/>
      <c r="EF89" s="122"/>
      <c r="EG89" s="122"/>
      <c r="EH89" s="122"/>
      <c r="EI89" s="122"/>
      <c r="EJ89" s="122"/>
      <c r="EK89" s="122"/>
      <c r="EL89" s="122"/>
      <c r="EM89" s="122"/>
      <c r="EN89" s="122"/>
      <c r="EO89" s="122"/>
      <c r="EP89" s="122"/>
      <c r="EQ89" s="122"/>
      <c r="ER89" s="122"/>
      <c r="ES89" s="122"/>
      <c r="ET89" s="122"/>
      <c r="EU89" s="122"/>
      <c r="EV89" s="122"/>
      <c r="EW89" s="122"/>
      <c r="EX89" s="122"/>
      <c r="EY89" s="122"/>
      <c r="EZ89" s="122"/>
      <c r="FA89" s="122"/>
      <c r="FB89" s="122"/>
      <c r="FC89" s="122"/>
      <c r="FD89" s="122"/>
      <c r="FE89" s="122"/>
      <c r="FF89" s="122"/>
      <c r="FG89" s="122"/>
      <c r="FH89" s="122"/>
      <c r="FI89" s="122"/>
      <c r="FJ89" s="122"/>
      <c r="FK89" s="122"/>
      <c r="FL89" s="122"/>
      <c r="FM89" s="122"/>
      <c r="FN89" s="122"/>
      <c r="FO89" s="122"/>
      <c r="FP89" s="122"/>
      <c r="FQ89" s="122"/>
      <c r="FR89" s="122"/>
      <c r="FS89" s="122"/>
      <c r="FT89" s="122"/>
      <c r="FU89" s="122"/>
      <c r="FV89" s="122"/>
      <c r="FW89" s="122"/>
      <c r="FX89" s="122"/>
      <c r="FY89" s="122"/>
      <c r="FZ89" s="122"/>
      <c r="GA89" s="122"/>
      <c r="GB89" s="122"/>
      <c r="GC89" s="122"/>
      <c r="GD89" s="122"/>
      <c r="GE89" s="122"/>
      <c r="GF89" s="122"/>
      <c r="GG89" s="122"/>
      <c r="GH89" s="122"/>
      <c r="GI89" s="122"/>
      <c r="GJ89" s="122"/>
      <c r="GK89" s="122"/>
      <c r="GL89" s="122"/>
      <c r="GM89" s="122"/>
      <c r="GN89" s="122"/>
      <c r="GO89" s="122"/>
      <c r="GP89" s="122"/>
      <c r="GQ89" s="122"/>
      <c r="GR89" s="122"/>
      <c r="GS89" s="122"/>
      <c r="GT89" s="122"/>
      <c r="GU89" s="122"/>
      <c r="GV89" s="122"/>
      <c r="GW89" s="122"/>
      <c r="GX89" s="122"/>
      <c r="GY89" s="122"/>
      <c r="GZ89" s="122"/>
      <c r="HA89" s="122"/>
      <c r="HB89" s="122"/>
      <c r="HC89" s="122"/>
      <c r="HD89" s="122"/>
      <c r="HE89" s="122"/>
      <c r="HF89" s="122"/>
      <c r="HG89" s="122"/>
      <c r="HH89" s="122"/>
      <c r="HI89" s="122"/>
      <c r="HJ89" s="122"/>
      <c r="HK89" s="122"/>
      <c r="HL89" s="122"/>
      <c r="HM89" s="122"/>
      <c r="HN89" s="122"/>
      <c r="HO89" s="122"/>
      <c r="HP89" s="122"/>
      <c r="HQ89" s="122"/>
      <c r="HR89" s="122"/>
      <c r="HS89" s="122"/>
      <c r="HT89" s="122"/>
      <c r="HU89" s="122"/>
      <c r="HV89" s="122"/>
      <c r="HW89" s="122"/>
      <c r="HX89" s="122"/>
      <c r="HY89" s="122"/>
      <c r="HZ89" s="122"/>
      <c r="IA89" s="122"/>
      <c r="IB89" s="122"/>
      <c r="IC89" s="122"/>
      <c r="ID89" s="122"/>
      <c r="IE89" s="122"/>
      <c r="IF89" s="122"/>
      <c r="IG89" s="122"/>
      <c r="IH89" s="122"/>
      <c r="II89" s="122"/>
      <c r="IJ89" s="122"/>
      <c r="IK89" s="122"/>
      <c r="IL89" s="122"/>
      <c r="IM89" s="122"/>
      <c r="IN89" s="122"/>
      <c r="IO89" s="122"/>
      <c r="IP89" s="122"/>
      <c r="IQ89" s="122"/>
      <c r="IR89" s="122"/>
      <c r="IS89" s="122"/>
      <c r="IT89" s="122"/>
      <c r="IU89" s="122"/>
      <c r="IV89" s="122"/>
    </row>
    <row r="90" spans="1:256" x14ac:dyDescent="0.25">
      <c r="A90" s="122"/>
      <c r="B90" s="131"/>
      <c r="C90" s="131"/>
      <c r="D90" s="122"/>
      <c r="E90" s="122"/>
      <c r="F90" s="131"/>
      <c r="G90" s="131"/>
      <c r="H90" s="131"/>
      <c r="I90" s="131"/>
      <c r="J90" s="122"/>
      <c r="K90" s="131"/>
      <c r="L90" s="131"/>
      <c r="M90" s="122"/>
      <c r="N90" s="122"/>
      <c r="O90" s="122"/>
      <c r="P90" s="122"/>
      <c r="Q90" s="122"/>
      <c r="R90" s="122"/>
      <c r="S90" s="122"/>
      <c r="T90" s="122"/>
      <c r="U90" s="122"/>
      <c r="V90" s="122"/>
      <c r="W90" s="122"/>
      <c r="X90" s="122"/>
      <c r="Y90" s="122"/>
      <c r="Z90" s="122"/>
      <c r="AA90" s="122"/>
      <c r="AB90" s="122"/>
      <c r="AC90" s="122"/>
      <c r="AD90" s="122"/>
      <c r="AE90" s="122"/>
      <c r="AF90" s="122"/>
      <c r="AG90" s="122"/>
      <c r="AH90" s="122"/>
      <c r="AI90" s="122"/>
      <c r="AJ90" s="122"/>
      <c r="AK90" s="122"/>
      <c r="AL90" s="122"/>
      <c r="AM90" s="122"/>
      <c r="AN90" s="122"/>
      <c r="AO90" s="122"/>
      <c r="AP90" s="122"/>
      <c r="AQ90" s="122"/>
      <c r="AR90" s="122"/>
      <c r="AS90" s="122"/>
      <c r="AT90" s="122"/>
      <c r="AU90" s="122"/>
      <c r="AV90" s="122"/>
      <c r="AW90" s="122"/>
      <c r="AX90" s="122"/>
      <c r="AY90" s="122"/>
      <c r="AZ90" s="122"/>
      <c r="BA90" s="122"/>
      <c r="BB90" s="122"/>
      <c r="BC90" s="122"/>
      <c r="BD90" s="122"/>
      <c r="BE90" s="122"/>
      <c r="BF90" s="122"/>
      <c r="BG90" s="122"/>
      <c r="BH90" s="122"/>
      <c r="BI90" s="122"/>
      <c r="BJ90" s="122"/>
      <c r="BK90" s="122"/>
      <c r="BL90" s="122"/>
      <c r="BM90" s="122"/>
      <c r="BN90" s="122"/>
      <c r="BO90" s="122"/>
      <c r="BP90" s="122"/>
      <c r="BQ90" s="122"/>
      <c r="BR90" s="122"/>
      <c r="BS90" s="122"/>
      <c r="BT90" s="122"/>
      <c r="BU90" s="122"/>
      <c r="BV90" s="122"/>
      <c r="BW90" s="122"/>
      <c r="BX90" s="122"/>
      <c r="BY90" s="122"/>
      <c r="BZ90" s="122"/>
      <c r="CA90" s="122"/>
      <c r="CB90" s="122"/>
      <c r="CC90" s="122"/>
      <c r="CD90" s="122"/>
      <c r="CE90" s="122"/>
      <c r="CF90" s="122"/>
      <c r="CG90" s="122"/>
      <c r="CH90" s="122"/>
      <c r="CI90" s="122"/>
      <c r="CJ90" s="122"/>
      <c r="CK90" s="122"/>
      <c r="CL90" s="122"/>
      <c r="CM90" s="122"/>
      <c r="CN90" s="122"/>
      <c r="CO90" s="122"/>
      <c r="CP90" s="122"/>
      <c r="CQ90" s="122"/>
      <c r="CR90" s="122"/>
      <c r="CS90" s="122"/>
      <c r="CT90" s="122"/>
      <c r="CU90" s="122"/>
      <c r="CV90" s="122"/>
      <c r="CW90" s="122"/>
      <c r="CX90" s="122"/>
      <c r="CY90" s="122"/>
      <c r="CZ90" s="122"/>
      <c r="DA90" s="122"/>
      <c r="DB90" s="122"/>
      <c r="DC90" s="122"/>
      <c r="DD90" s="122"/>
      <c r="DE90" s="122"/>
      <c r="DF90" s="122"/>
      <c r="DG90" s="122"/>
      <c r="DH90" s="122"/>
      <c r="DI90" s="122"/>
      <c r="DJ90" s="122"/>
      <c r="DK90" s="122"/>
      <c r="DL90" s="122"/>
      <c r="DM90" s="122"/>
      <c r="DN90" s="122"/>
      <c r="DO90" s="122"/>
      <c r="DP90" s="122"/>
      <c r="DQ90" s="122"/>
      <c r="DR90" s="122"/>
      <c r="DS90" s="122"/>
      <c r="DT90" s="122"/>
      <c r="DU90" s="122"/>
      <c r="DV90" s="122"/>
      <c r="DW90" s="122"/>
      <c r="DX90" s="122"/>
      <c r="DY90" s="122"/>
      <c r="DZ90" s="122"/>
      <c r="EA90" s="122"/>
      <c r="EB90" s="122"/>
      <c r="EC90" s="122"/>
      <c r="ED90" s="122"/>
      <c r="EE90" s="122"/>
      <c r="EF90" s="122"/>
      <c r="EG90" s="122"/>
      <c r="EH90" s="122"/>
      <c r="EI90" s="122"/>
      <c r="EJ90" s="122"/>
      <c r="EK90" s="122"/>
      <c r="EL90" s="122"/>
      <c r="EM90" s="122"/>
      <c r="EN90" s="122"/>
      <c r="EO90" s="122"/>
      <c r="EP90" s="122"/>
      <c r="EQ90" s="122"/>
      <c r="ER90" s="122"/>
      <c r="ES90" s="122"/>
      <c r="ET90" s="122"/>
      <c r="EU90" s="122"/>
      <c r="EV90" s="122"/>
      <c r="EW90" s="122"/>
      <c r="EX90" s="122"/>
      <c r="EY90" s="122"/>
      <c r="EZ90" s="122"/>
      <c r="FA90" s="122"/>
      <c r="FB90" s="122"/>
      <c r="FC90" s="122"/>
      <c r="FD90" s="122"/>
      <c r="FE90" s="122"/>
      <c r="FF90" s="122"/>
      <c r="FG90" s="122"/>
      <c r="FH90" s="122"/>
      <c r="FI90" s="122"/>
      <c r="FJ90" s="122"/>
      <c r="FK90" s="122"/>
      <c r="FL90" s="122"/>
      <c r="FM90" s="122"/>
      <c r="FN90" s="122"/>
      <c r="FO90" s="122"/>
      <c r="FP90" s="122"/>
      <c r="FQ90" s="122"/>
      <c r="FR90" s="122"/>
      <c r="FS90" s="122"/>
      <c r="FT90" s="122"/>
      <c r="FU90" s="122"/>
      <c r="FV90" s="122"/>
      <c r="FW90" s="122"/>
      <c r="FX90" s="122"/>
      <c r="FY90" s="122"/>
      <c r="FZ90" s="122"/>
      <c r="GA90" s="122"/>
      <c r="GB90" s="122"/>
      <c r="GC90" s="122"/>
      <c r="GD90" s="122"/>
      <c r="GE90" s="122"/>
      <c r="GF90" s="122"/>
      <c r="GG90" s="122"/>
      <c r="GH90" s="122"/>
      <c r="GI90" s="122"/>
      <c r="GJ90" s="122"/>
      <c r="GK90" s="122"/>
      <c r="GL90" s="122"/>
      <c r="GM90" s="122"/>
      <c r="GN90" s="122"/>
      <c r="GO90" s="122"/>
      <c r="GP90" s="122"/>
      <c r="GQ90" s="122"/>
      <c r="GR90" s="122"/>
      <c r="GS90" s="122"/>
      <c r="GT90" s="122"/>
      <c r="GU90" s="122"/>
      <c r="GV90" s="122"/>
      <c r="GW90" s="122"/>
      <c r="GX90" s="122"/>
      <c r="GY90" s="122"/>
      <c r="GZ90" s="122"/>
      <c r="HA90" s="122"/>
      <c r="HB90" s="122"/>
      <c r="HC90" s="122"/>
      <c r="HD90" s="122"/>
      <c r="HE90" s="122"/>
      <c r="HF90" s="122"/>
      <c r="HG90" s="122"/>
      <c r="HH90" s="122"/>
      <c r="HI90" s="122"/>
      <c r="HJ90" s="122"/>
      <c r="HK90" s="122"/>
      <c r="HL90" s="122"/>
      <c r="HM90" s="122"/>
      <c r="HN90" s="122"/>
      <c r="HO90" s="122"/>
      <c r="HP90" s="122"/>
      <c r="HQ90" s="122"/>
      <c r="HR90" s="122"/>
      <c r="HS90" s="122"/>
      <c r="HT90" s="122"/>
      <c r="HU90" s="122"/>
      <c r="HV90" s="122"/>
      <c r="HW90" s="122"/>
      <c r="HX90" s="122"/>
      <c r="HY90" s="122"/>
      <c r="HZ90" s="122"/>
      <c r="IA90" s="122"/>
      <c r="IB90" s="122"/>
      <c r="IC90" s="122"/>
      <c r="ID90" s="122"/>
      <c r="IE90" s="122"/>
      <c r="IF90" s="122"/>
      <c r="IG90" s="122"/>
      <c r="IH90" s="122"/>
      <c r="II90" s="122"/>
      <c r="IJ90" s="122"/>
      <c r="IK90" s="122"/>
      <c r="IL90" s="122"/>
      <c r="IM90" s="122"/>
      <c r="IN90" s="122"/>
      <c r="IO90" s="122"/>
      <c r="IP90" s="122"/>
      <c r="IQ90" s="122"/>
      <c r="IR90" s="122"/>
      <c r="IS90" s="122"/>
      <c r="IT90" s="122"/>
      <c r="IU90" s="122"/>
      <c r="IV90" s="122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IV298"/>
  <sheetViews>
    <sheetView zoomScale="85" zoomScaleNormal="85" workbookViewId="0">
      <pane ySplit="4" topLeftCell="A5" activePane="bottomLeft" state="frozen"/>
      <selection pane="bottomLeft" activeCell="D22" sqref="D22"/>
    </sheetView>
  </sheetViews>
  <sheetFormatPr defaultRowHeight="15" x14ac:dyDescent="0.25"/>
  <cols>
    <col min="1" max="1" width="6.85546875" style="16" customWidth="1"/>
    <col min="2" max="2" width="5.85546875" style="304" customWidth="1"/>
    <col min="3" max="3" width="4.7109375" style="304" customWidth="1"/>
    <col min="4" max="4" width="18.85546875" customWidth="1"/>
    <col min="5" max="5" width="46.42578125" customWidth="1"/>
    <col min="6" max="6" width="25" style="98" customWidth="1"/>
    <col min="7" max="7" width="8.85546875" style="98"/>
    <col min="8" max="8" width="19" style="98" customWidth="1"/>
    <col min="9" max="9" width="10.28515625" style="98" customWidth="1"/>
    <col min="10" max="10" width="36.5703125" style="111" customWidth="1"/>
    <col min="11" max="11" width="11.42578125" style="305" customWidth="1"/>
    <col min="12" max="12" width="7.28515625" style="99" customWidth="1"/>
    <col min="13" max="13" width="63.28515625" customWidth="1"/>
    <col min="14" max="14" width="15.140625" customWidth="1"/>
    <col min="15" max="15" width="16.5703125" customWidth="1"/>
    <col min="16" max="16" width="19.140625" customWidth="1"/>
    <col min="17" max="17" width="23" customWidth="1"/>
  </cols>
  <sheetData>
    <row r="1" spans="1:18" ht="14.45" x14ac:dyDescent="0.3">
      <c r="A1" s="14"/>
    </row>
    <row r="2" spans="1:18" ht="14.45" x14ac:dyDescent="0.3">
      <c r="A2" s="14"/>
      <c r="B2" s="304" t="s">
        <v>21</v>
      </c>
      <c r="C2" s="304" t="s">
        <v>119</v>
      </c>
    </row>
    <row r="3" spans="1:18" ht="77.25" x14ac:dyDescent="0.25">
      <c r="A3" s="14"/>
      <c r="B3" s="77" t="s">
        <v>117</v>
      </c>
      <c r="C3" s="76" t="s">
        <v>118</v>
      </c>
    </row>
    <row r="4" spans="1:18" s="2" customFormat="1" ht="15" customHeight="1" x14ac:dyDescent="0.3">
      <c r="A4" s="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306" t="s">
        <v>7</v>
      </c>
      <c r="L4" s="4" t="s">
        <v>19</v>
      </c>
      <c r="M4" s="5" t="s">
        <v>12</v>
      </c>
      <c r="N4" s="4" t="s">
        <v>13</v>
      </c>
      <c r="O4" s="4"/>
      <c r="P4" s="4"/>
      <c r="Q4" s="5"/>
      <c r="R4" s="4"/>
    </row>
    <row r="5" spans="1:18" s="102" customFormat="1" x14ac:dyDescent="0.25">
      <c r="A5" s="66" t="s">
        <v>22</v>
      </c>
      <c r="B5" s="103">
        <v>1</v>
      </c>
      <c r="C5" s="103">
        <v>1</v>
      </c>
      <c r="D5" s="102" t="s">
        <v>32</v>
      </c>
      <c r="F5" s="103" t="s">
        <v>24</v>
      </c>
      <c r="G5" s="103">
        <v>1024</v>
      </c>
      <c r="H5" s="103" t="s">
        <v>23</v>
      </c>
      <c r="I5" s="103" t="s">
        <v>26</v>
      </c>
      <c r="J5" s="103" t="s">
        <v>18</v>
      </c>
      <c r="K5" s="307" t="s">
        <v>33</v>
      </c>
      <c r="L5" s="103"/>
      <c r="M5" s="103" t="s">
        <v>33</v>
      </c>
    </row>
    <row r="6" spans="1:18" s="198" customFormat="1" x14ac:dyDescent="0.25">
      <c r="A6" s="198" t="s">
        <v>22</v>
      </c>
      <c r="B6" s="213">
        <v>1</v>
      </c>
      <c r="C6" s="213">
        <v>1</v>
      </c>
      <c r="D6" s="458" t="s">
        <v>184</v>
      </c>
      <c r="E6" s="225" t="s">
        <v>189</v>
      </c>
      <c r="F6" s="199" t="s">
        <v>88</v>
      </c>
      <c r="G6" s="213">
        <v>1024</v>
      </c>
      <c r="H6" s="199" t="s">
        <v>23</v>
      </c>
      <c r="I6" s="213" t="s">
        <v>155</v>
      </c>
      <c r="J6" s="213" t="s">
        <v>284</v>
      </c>
      <c r="K6" s="308">
        <v>90</v>
      </c>
      <c r="L6" s="213" t="s">
        <v>180</v>
      </c>
      <c r="M6" s="459" t="s">
        <v>570</v>
      </c>
    </row>
    <row r="7" spans="1:18" s="198" customFormat="1" x14ac:dyDescent="0.25">
      <c r="A7" s="198" t="s">
        <v>22</v>
      </c>
      <c r="B7" s="213">
        <v>1</v>
      </c>
      <c r="C7" s="213">
        <v>1</v>
      </c>
      <c r="D7" s="458" t="s">
        <v>185</v>
      </c>
      <c r="E7" s="225" t="s">
        <v>190</v>
      </c>
      <c r="F7" s="199" t="s">
        <v>89</v>
      </c>
      <c r="G7" s="213">
        <v>1024</v>
      </c>
      <c r="H7" s="199" t="s">
        <v>23</v>
      </c>
      <c r="I7" s="213" t="s">
        <v>155</v>
      </c>
      <c r="J7" s="213" t="s">
        <v>284</v>
      </c>
      <c r="K7" s="308">
        <v>75</v>
      </c>
      <c r="L7" s="213" t="s">
        <v>180</v>
      </c>
      <c r="M7" s="459" t="s">
        <v>571</v>
      </c>
    </row>
    <row r="8" spans="1:18" s="198" customFormat="1" x14ac:dyDescent="0.25">
      <c r="A8" s="198" t="s">
        <v>22</v>
      </c>
      <c r="B8" s="213">
        <v>1</v>
      </c>
      <c r="C8" s="213">
        <v>1</v>
      </c>
      <c r="D8" s="458" t="s">
        <v>187</v>
      </c>
      <c r="E8" s="225" t="s">
        <v>191</v>
      </c>
      <c r="F8" s="199" t="s">
        <v>88</v>
      </c>
      <c r="G8" s="213">
        <v>1024</v>
      </c>
      <c r="H8" s="199" t="s">
        <v>23</v>
      </c>
      <c r="I8" s="213" t="s">
        <v>155</v>
      </c>
      <c r="J8" s="213" t="s">
        <v>284</v>
      </c>
      <c r="K8" s="308">
        <v>90</v>
      </c>
      <c r="L8" s="213" t="s">
        <v>180</v>
      </c>
      <c r="M8" s="459" t="s">
        <v>572</v>
      </c>
    </row>
    <row r="9" spans="1:18" s="198" customFormat="1" x14ac:dyDescent="0.25">
      <c r="A9" s="198" t="s">
        <v>22</v>
      </c>
      <c r="B9" s="213">
        <v>1</v>
      </c>
      <c r="C9" s="213">
        <v>1</v>
      </c>
      <c r="D9" s="458" t="s">
        <v>188</v>
      </c>
      <c r="E9" s="225" t="s">
        <v>192</v>
      </c>
      <c r="F9" s="199" t="s">
        <v>89</v>
      </c>
      <c r="G9" s="213">
        <v>1024</v>
      </c>
      <c r="H9" s="199" t="s">
        <v>23</v>
      </c>
      <c r="I9" s="213" t="s">
        <v>155</v>
      </c>
      <c r="J9" s="213" t="s">
        <v>284</v>
      </c>
      <c r="K9" s="308">
        <v>75</v>
      </c>
      <c r="L9" s="213" t="s">
        <v>180</v>
      </c>
      <c r="M9" s="459" t="s">
        <v>573</v>
      </c>
    </row>
    <row r="10" spans="1:18" s="229" customFormat="1" x14ac:dyDescent="0.25">
      <c r="A10" s="198" t="s">
        <v>22</v>
      </c>
      <c r="B10" s="213">
        <v>1</v>
      </c>
      <c r="C10" s="213">
        <v>1</v>
      </c>
      <c r="D10" s="458" t="s">
        <v>562</v>
      </c>
      <c r="E10" s="225" t="s">
        <v>240</v>
      </c>
      <c r="F10" s="199" t="s">
        <v>88</v>
      </c>
      <c r="G10" s="213">
        <v>1024</v>
      </c>
      <c r="H10" s="199" t="s">
        <v>23</v>
      </c>
      <c r="I10" s="213" t="s">
        <v>155</v>
      </c>
      <c r="J10" s="213" t="s">
        <v>284</v>
      </c>
      <c r="K10" s="308">
        <v>1440</v>
      </c>
      <c r="L10" s="213" t="s">
        <v>177</v>
      </c>
      <c r="M10" s="459" t="s">
        <v>574</v>
      </c>
      <c r="N10" s="198"/>
    </row>
    <row r="11" spans="1:18" s="229" customFormat="1" x14ac:dyDescent="0.25">
      <c r="A11" s="198" t="s">
        <v>22</v>
      </c>
      <c r="B11" s="213">
        <v>1</v>
      </c>
      <c r="C11" s="213">
        <v>1</v>
      </c>
      <c r="D11" s="458" t="s">
        <v>563</v>
      </c>
      <c r="E11" s="225" t="s">
        <v>241</v>
      </c>
      <c r="F11" s="199" t="s">
        <v>88</v>
      </c>
      <c r="G11" s="213">
        <v>1024</v>
      </c>
      <c r="H11" s="199" t="s">
        <v>23</v>
      </c>
      <c r="I11" s="213" t="s">
        <v>155</v>
      </c>
      <c r="J11" s="213" t="s">
        <v>284</v>
      </c>
      <c r="K11" s="308">
        <v>1</v>
      </c>
      <c r="L11" s="213" t="s">
        <v>177</v>
      </c>
      <c r="M11" s="459" t="s">
        <v>575</v>
      </c>
      <c r="N11" s="198"/>
    </row>
    <row r="12" spans="1:18" s="229" customFormat="1" x14ac:dyDescent="0.25">
      <c r="A12" s="198" t="s">
        <v>22</v>
      </c>
      <c r="B12" s="213">
        <v>1</v>
      </c>
      <c r="C12" s="213">
        <v>1</v>
      </c>
      <c r="D12" s="458" t="s">
        <v>564</v>
      </c>
      <c r="E12" s="225" t="s">
        <v>242</v>
      </c>
      <c r="F12" s="199" t="s">
        <v>88</v>
      </c>
      <c r="G12" s="213">
        <v>1024</v>
      </c>
      <c r="H12" s="199" t="s">
        <v>23</v>
      </c>
      <c r="I12" s="213" t="s">
        <v>155</v>
      </c>
      <c r="J12" s="213" t="s">
        <v>284</v>
      </c>
      <c r="K12" s="308">
        <v>31</v>
      </c>
      <c r="L12" s="213" t="s">
        <v>248</v>
      </c>
      <c r="M12" s="459" t="s">
        <v>576</v>
      </c>
      <c r="N12" s="198"/>
    </row>
    <row r="13" spans="1:18" s="229" customFormat="1" x14ac:dyDescent="0.25">
      <c r="A13" s="198" t="s">
        <v>22</v>
      </c>
      <c r="B13" s="213">
        <v>1</v>
      </c>
      <c r="C13" s="213">
        <v>1</v>
      </c>
      <c r="D13" s="458" t="s">
        <v>565</v>
      </c>
      <c r="E13" s="225" t="s">
        <v>243</v>
      </c>
      <c r="F13" s="199" t="s">
        <v>88</v>
      </c>
      <c r="G13" s="213">
        <v>1024</v>
      </c>
      <c r="H13" s="199" t="s">
        <v>23</v>
      </c>
      <c r="I13" s="213" t="s">
        <v>155</v>
      </c>
      <c r="J13" s="213" t="s">
        <v>284</v>
      </c>
      <c r="K13" s="308">
        <v>1</v>
      </c>
      <c r="L13" s="213" t="s">
        <v>248</v>
      </c>
      <c r="M13" s="459" t="s">
        <v>577</v>
      </c>
      <c r="N13" s="198"/>
    </row>
    <row r="14" spans="1:18" s="229" customFormat="1" x14ac:dyDescent="0.25">
      <c r="A14" s="198" t="s">
        <v>22</v>
      </c>
      <c r="B14" s="213">
        <v>1</v>
      </c>
      <c r="C14" s="213">
        <v>1</v>
      </c>
      <c r="D14" s="458" t="s">
        <v>566</v>
      </c>
      <c r="E14" s="225" t="s">
        <v>244</v>
      </c>
      <c r="F14" s="199" t="s">
        <v>88</v>
      </c>
      <c r="G14" s="213">
        <v>1024</v>
      </c>
      <c r="H14" s="199" t="s">
        <v>23</v>
      </c>
      <c r="I14" s="213" t="s">
        <v>155</v>
      </c>
      <c r="J14" s="213" t="s">
        <v>284</v>
      </c>
      <c r="K14" s="308">
        <v>100</v>
      </c>
      <c r="L14" s="213"/>
      <c r="M14" s="459" t="s">
        <v>578</v>
      </c>
      <c r="N14" s="198"/>
    </row>
    <row r="15" spans="1:18" s="229" customFormat="1" x14ac:dyDescent="0.25">
      <c r="A15" s="198" t="s">
        <v>22</v>
      </c>
      <c r="B15" s="213">
        <v>1</v>
      </c>
      <c r="C15" s="213">
        <v>1</v>
      </c>
      <c r="D15" s="458" t="s">
        <v>567</v>
      </c>
      <c r="E15" s="225" t="s">
        <v>245</v>
      </c>
      <c r="F15" s="199" t="s">
        <v>88</v>
      </c>
      <c r="G15" s="213">
        <v>1024</v>
      </c>
      <c r="H15" s="199" t="s">
        <v>23</v>
      </c>
      <c r="I15" s="213" t="s">
        <v>155</v>
      </c>
      <c r="J15" s="213" t="s">
        <v>284</v>
      </c>
      <c r="K15" s="308">
        <v>1</v>
      </c>
      <c r="L15" s="213"/>
      <c r="M15" s="459" t="s">
        <v>579</v>
      </c>
      <c r="N15" s="198"/>
    </row>
    <row r="16" spans="1:18" s="229" customFormat="1" x14ac:dyDescent="0.25">
      <c r="A16" s="198" t="s">
        <v>22</v>
      </c>
      <c r="B16" s="213">
        <v>1</v>
      </c>
      <c r="C16" s="213">
        <v>1</v>
      </c>
      <c r="D16" s="458" t="s">
        <v>568</v>
      </c>
      <c r="E16" s="225" t="s">
        <v>246</v>
      </c>
      <c r="F16" s="199" t="s">
        <v>88</v>
      </c>
      <c r="G16" s="213">
        <v>1024</v>
      </c>
      <c r="H16" s="199" t="s">
        <v>23</v>
      </c>
      <c r="I16" s="213" t="s">
        <v>155</v>
      </c>
      <c r="J16" s="213" t="s">
        <v>284</v>
      </c>
      <c r="K16" s="308">
        <v>2000</v>
      </c>
      <c r="L16" s="213" t="s">
        <v>179</v>
      </c>
      <c r="M16" s="459" t="s">
        <v>580</v>
      </c>
      <c r="N16" s="198"/>
    </row>
    <row r="17" spans="1:256" s="229" customFormat="1" x14ac:dyDescent="0.25">
      <c r="A17" s="198" t="s">
        <v>22</v>
      </c>
      <c r="B17" s="213">
        <v>1</v>
      </c>
      <c r="C17" s="213">
        <v>1</v>
      </c>
      <c r="D17" s="458" t="s">
        <v>569</v>
      </c>
      <c r="E17" s="225" t="s">
        <v>247</v>
      </c>
      <c r="F17" s="199" t="s">
        <v>88</v>
      </c>
      <c r="G17" s="213">
        <v>1024</v>
      </c>
      <c r="H17" s="199" t="s">
        <v>23</v>
      </c>
      <c r="I17" s="213" t="s">
        <v>155</v>
      </c>
      <c r="J17" s="213" t="s">
        <v>284</v>
      </c>
      <c r="K17" s="308">
        <v>1</v>
      </c>
      <c r="L17" s="213" t="s">
        <v>179</v>
      </c>
      <c r="M17" s="459" t="s">
        <v>581</v>
      </c>
      <c r="N17" s="198"/>
    </row>
    <row r="18" spans="1:256" s="455" customFormat="1" x14ac:dyDescent="0.25">
      <c r="A18" s="453" t="s">
        <v>22</v>
      </c>
      <c r="B18" s="264">
        <v>1</v>
      </c>
      <c r="C18" s="264">
        <v>1</v>
      </c>
      <c r="D18" s="265" t="s">
        <v>585</v>
      </c>
      <c r="E18" s="340" t="s">
        <v>506</v>
      </c>
      <c r="F18" s="275" t="s">
        <v>89</v>
      </c>
      <c r="G18" s="275">
        <v>1024</v>
      </c>
      <c r="H18" s="275" t="s">
        <v>23</v>
      </c>
      <c r="I18" s="275" t="s">
        <v>17</v>
      </c>
      <c r="J18" s="275" t="s">
        <v>286</v>
      </c>
      <c r="K18" s="454">
        <v>60</v>
      </c>
      <c r="L18" s="264" t="s">
        <v>27</v>
      </c>
      <c r="M18" s="265" t="s">
        <v>638</v>
      </c>
      <c r="N18" s="453"/>
    </row>
    <row r="19" spans="1:256" s="455" customFormat="1" x14ac:dyDescent="0.25">
      <c r="A19" s="453" t="s">
        <v>22</v>
      </c>
      <c r="B19" s="264">
        <v>1</v>
      </c>
      <c r="C19" s="264">
        <v>1</v>
      </c>
      <c r="D19" s="265" t="s">
        <v>586</v>
      </c>
      <c r="E19" s="340" t="s">
        <v>507</v>
      </c>
      <c r="F19" s="275" t="s">
        <v>89</v>
      </c>
      <c r="G19" s="275">
        <v>1024</v>
      </c>
      <c r="H19" s="275" t="s">
        <v>23</v>
      </c>
      <c r="I19" s="275" t="s">
        <v>17</v>
      </c>
      <c r="J19" s="275" t="s">
        <v>286</v>
      </c>
      <c r="K19" s="454">
        <v>50</v>
      </c>
      <c r="L19" s="264" t="s">
        <v>27</v>
      </c>
      <c r="M19" s="265" t="s">
        <v>639</v>
      </c>
      <c r="N19" s="453"/>
    </row>
    <row r="20" spans="1:256" s="455" customFormat="1" x14ac:dyDescent="0.25">
      <c r="A20" s="453" t="s">
        <v>22</v>
      </c>
      <c r="B20" s="264">
        <v>1</v>
      </c>
      <c r="C20" s="264">
        <v>1</v>
      </c>
      <c r="D20" s="265" t="s">
        <v>587</v>
      </c>
      <c r="E20" s="340" t="s">
        <v>508</v>
      </c>
      <c r="F20" s="275" t="s">
        <v>89</v>
      </c>
      <c r="G20" s="275">
        <v>1024</v>
      </c>
      <c r="H20" s="275" t="s">
        <v>23</v>
      </c>
      <c r="I20" s="275" t="s">
        <v>17</v>
      </c>
      <c r="J20" s="275" t="s">
        <v>286</v>
      </c>
      <c r="K20" s="454">
        <v>10</v>
      </c>
      <c r="L20" s="264" t="s">
        <v>27</v>
      </c>
      <c r="M20" s="265" t="s">
        <v>640</v>
      </c>
      <c r="N20" s="453"/>
    </row>
    <row r="21" spans="1:256" s="455" customFormat="1" x14ac:dyDescent="0.25">
      <c r="A21" s="453" t="s">
        <v>22</v>
      </c>
      <c r="B21" s="264">
        <v>1</v>
      </c>
      <c r="C21" s="264">
        <v>1</v>
      </c>
      <c r="D21" s="265" t="s">
        <v>588</v>
      </c>
      <c r="E21" s="340" t="s">
        <v>509</v>
      </c>
      <c r="F21" s="275" t="s">
        <v>89</v>
      </c>
      <c r="G21" s="275">
        <v>1024</v>
      </c>
      <c r="H21" s="275" t="s">
        <v>23</v>
      </c>
      <c r="I21" s="275" t="s">
        <v>17</v>
      </c>
      <c r="J21" s="275" t="s">
        <v>286</v>
      </c>
      <c r="K21" s="454">
        <v>0</v>
      </c>
      <c r="L21" s="264" t="s">
        <v>27</v>
      </c>
      <c r="M21" s="265" t="s">
        <v>641</v>
      </c>
      <c r="N21" s="453"/>
    </row>
    <row r="22" spans="1:256" s="451" customFormat="1" x14ac:dyDescent="0.25">
      <c r="A22" s="445" t="s">
        <v>22</v>
      </c>
      <c r="B22" s="446">
        <v>2</v>
      </c>
      <c r="C22" s="446">
        <v>1</v>
      </c>
      <c r="D22" s="447" t="s">
        <v>490</v>
      </c>
      <c r="E22" s="448" t="s">
        <v>297</v>
      </c>
      <c r="F22" s="446" t="s">
        <v>89</v>
      </c>
      <c r="G22" s="446">
        <v>1024</v>
      </c>
      <c r="H22" s="446" t="s">
        <v>23</v>
      </c>
      <c r="I22" s="446" t="s">
        <v>17</v>
      </c>
      <c r="J22" s="446" t="s">
        <v>731</v>
      </c>
      <c r="K22" s="449">
        <v>0</v>
      </c>
      <c r="L22" s="450" t="s">
        <v>20</v>
      </c>
      <c r="M22" s="447" t="s">
        <v>501</v>
      </c>
      <c r="N22" s="448"/>
    </row>
    <row r="23" spans="1:256" s="451" customFormat="1" x14ac:dyDescent="0.25">
      <c r="A23" s="445" t="s">
        <v>22</v>
      </c>
      <c r="B23" s="446"/>
      <c r="C23" s="446">
        <v>1</v>
      </c>
      <c r="D23" s="447" t="s">
        <v>491</v>
      </c>
      <c r="E23" s="448" t="s">
        <v>298</v>
      </c>
      <c r="F23" s="446" t="s">
        <v>89</v>
      </c>
      <c r="G23" s="446">
        <v>1024</v>
      </c>
      <c r="H23" s="446" t="s">
        <v>23</v>
      </c>
      <c r="I23" s="446" t="s">
        <v>17</v>
      </c>
      <c r="J23" s="446" t="s">
        <v>731</v>
      </c>
      <c r="K23" s="449">
        <v>0</v>
      </c>
      <c r="L23" s="450" t="s">
        <v>20</v>
      </c>
      <c r="M23" s="447" t="s">
        <v>500</v>
      </c>
      <c r="N23" s="448"/>
    </row>
    <row r="24" spans="1:256" s="451" customFormat="1" x14ac:dyDescent="0.25">
      <c r="A24" s="445" t="s">
        <v>22</v>
      </c>
      <c r="B24" s="446"/>
      <c r="C24" s="446">
        <v>1</v>
      </c>
      <c r="D24" s="447" t="s">
        <v>492</v>
      </c>
      <c r="E24" s="448" t="s">
        <v>299</v>
      </c>
      <c r="F24" s="446" t="s">
        <v>89</v>
      </c>
      <c r="G24" s="446">
        <v>1024</v>
      </c>
      <c r="H24" s="446" t="s">
        <v>23</v>
      </c>
      <c r="I24" s="446" t="s">
        <v>17</v>
      </c>
      <c r="J24" s="446" t="s">
        <v>730</v>
      </c>
      <c r="K24" s="449">
        <v>0</v>
      </c>
      <c r="L24" s="450" t="s">
        <v>20</v>
      </c>
      <c r="M24" s="447" t="s">
        <v>499</v>
      </c>
      <c r="N24" s="448"/>
    </row>
    <row r="25" spans="1:256" s="451" customFormat="1" x14ac:dyDescent="0.25">
      <c r="A25" s="445" t="s">
        <v>22</v>
      </c>
      <c r="B25" s="446"/>
      <c r="C25" s="446">
        <v>1</v>
      </c>
      <c r="D25" s="447" t="s">
        <v>493</v>
      </c>
      <c r="E25" s="448" t="s">
        <v>300</v>
      </c>
      <c r="F25" s="446" t="s">
        <v>89</v>
      </c>
      <c r="G25" s="446">
        <v>1024</v>
      </c>
      <c r="H25" s="446" t="s">
        <v>23</v>
      </c>
      <c r="I25" s="446" t="s">
        <v>17</v>
      </c>
      <c r="J25" s="446" t="s">
        <v>730</v>
      </c>
      <c r="K25" s="449">
        <v>0</v>
      </c>
      <c r="L25" s="450" t="s">
        <v>20</v>
      </c>
      <c r="M25" s="447" t="s">
        <v>498</v>
      </c>
      <c r="N25" s="448"/>
    </row>
    <row r="26" spans="1:256" s="324" customFormat="1" x14ac:dyDescent="0.25">
      <c r="A26" s="438" t="s">
        <v>22</v>
      </c>
      <c r="B26" s="439"/>
      <c r="C26" s="440">
        <v>1</v>
      </c>
      <c r="D26" s="441" t="s">
        <v>494</v>
      </c>
      <c r="E26" s="442" t="s">
        <v>301</v>
      </c>
      <c r="F26" s="440" t="s">
        <v>89</v>
      </c>
      <c r="G26" s="440">
        <v>1024</v>
      </c>
      <c r="H26" s="440" t="s">
        <v>23</v>
      </c>
      <c r="I26" s="440" t="s">
        <v>17</v>
      </c>
      <c r="J26" s="440" t="s">
        <v>730</v>
      </c>
      <c r="K26" s="443">
        <v>8.1999999999999993</v>
      </c>
      <c r="L26" s="444" t="s">
        <v>20</v>
      </c>
      <c r="M26" s="441" t="s">
        <v>502</v>
      </c>
      <c r="N26" s="442"/>
    </row>
    <row r="27" spans="1:256" s="324" customFormat="1" x14ac:dyDescent="0.25">
      <c r="A27" s="317" t="s">
        <v>22</v>
      </c>
      <c r="B27" s="318"/>
      <c r="C27" s="319">
        <v>1</v>
      </c>
      <c r="D27" s="320" t="s">
        <v>495</v>
      </c>
      <c r="E27" s="321" t="s">
        <v>302</v>
      </c>
      <c r="F27" s="319" t="s">
        <v>89</v>
      </c>
      <c r="G27" s="319">
        <v>1024</v>
      </c>
      <c r="H27" s="319" t="s">
        <v>23</v>
      </c>
      <c r="I27" s="319" t="s">
        <v>17</v>
      </c>
      <c r="J27" s="319" t="s">
        <v>730</v>
      </c>
      <c r="K27" s="322">
        <v>0</v>
      </c>
      <c r="L27" s="323" t="s">
        <v>20</v>
      </c>
      <c r="M27" s="320" t="s">
        <v>503</v>
      </c>
      <c r="N27" s="321"/>
    </row>
    <row r="28" spans="1:256" s="324" customFormat="1" x14ac:dyDescent="0.25">
      <c r="A28" s="317" t="s">
        <v>22</v>
      </c>
      <c r="B28" s="318"/>
      <c r="C28" s="319">
        <v>1</v>
      </c>
      <c r="D28" s="320" t="s">
        <v>496</v>
      </c>
      <c r="E28" s="321" t="s">
        <v>303</v>
      </c>
      <c r="F28" s="319" t="s">
        <v>89</v>
      </c>
      <c r="G28" s="319">
        <v>1024</v>
      </c>
      <c r="H28" s="319" t="s">
        <v>23</v>
      </c>
      <c r="I28" s="319" t="s">
        <v>17</v>
      </c>
      <c r="J28" s="319" t="s">
        <v>730</v>
      </c>
      <c r="K28" s="322">
        <v>-40</v>
      </c>
      <c r="L28" s="323" t="s">
        <v>20</v>
      </c>
      <c r="M28" s="320" t="s">
        <v>504</v>
      </c>
      <c r="N28" s="321"/>
    </row>
    <row r="29" spans="1:256" s="324" customFormat="1" x14ac:dyDescent="0.25">
      <c r="A29" s="317" t="s">
        <v>22</v>
      </c>
      <c r="B29" s="318"/>
      <c r="C29" s="319">
        <v>1</v>
      </c>
      <c r="D29" s="320" t="s">
        <v>497</v>
      </c>
      <c r="E29" s="321" t="s">
        <v>304</v>
      </c>
      <c r="F29" s="319" t="s">
        <v>89</v>
      </c>
      <c r="G29" s="319">
        <v>1024</v>
      </c>
      <c r="H29" s="319" t="s">
        <v>23</v>
      </c>
      <c r="I29" s="319" t="s">
        <v>17</v>
      </c>
      <c r="J29" s="319" t="s">
        <v>730</v>
      </c>
      <c r="K29" s="322">
        <v>-40</v>
      </c>
      <c r="L29" s="323" t="s">
        <v>20</v>
      </c>
      <c r="M29" s="320" t="s">
        <v>505</v>
      </c>
      <c r="N29" s="321"/>
    </row>
    <row r="30" spans="1:256" s="122" customFormat="1" x14ac:dyDescent="0.25">
      <c r="A30" s="194" t="s">
        <v>22</v>
      </c>
      <c r="B30" s="195">
        <v>1</v>
      </c>
      <c r="C30" s="195">
        <v>1</v>
      </c>
      <c r="D30" s="196" t="s">
        <v>257</v>
      </c>
      <c r="E30" s="197" t="s">
        <v>258</v>
      </c>
      <c r="F30" s="195" t="s">
        <v>89</v>
      </c>
      <c r="G30" s="195">
        <v>1024</v>
      </c>
      <c r="H30" s="195" t="s">
        <v>23</v>
      </c>
      <c r="I30" s="195" t="s">
        <v>17</v>
      </c>
      <c r="J30" s="195" t="s">
        <v>286</v>
      </c>
      <c r="K30" s="216">
        <v>50</v>
      </c>
      <c r="L30" s="263" t="s">
        <v>27</v>
      </c>
      <c r="M30" s="196" t="s">
        <v>259</v>
      </c>
      <c r="N30" s="197"/>
      <c r="O30" s="197"/>
      <c r="P30" s="197"/>
      <c r="Q30" s="197"/>
      <c r="R30" s="197"/>
      <c r="S30" s="197"/>
      <c r="T30" s="197"/>
      <c r="U30" s="197"/>
      <c r="V30" s="197"/>
      <c r="W30" s="197"/>
      <c r="X30" s="197"/>
      <c r="Y30" s="197"/>
      <c r="Z30" s="197"/>
      <c r="AA30" s="197"/>
      <c r="AB30" s="197"/>
      <c r="AC30" s="197"/>
      <c r="AD30" s="197"/>
      <c r="AE30" s="197"/>
      <c r="AF30" s="197"/>
      <c r="AG30" s="197"/>
      <c r="AH30" s="197"/>
      <c r="AI30" s="197"/>
      <c r="AJ30" s="197"/>
      <c r="AK30" s="197"/>
      <c r="AL30" s="197"/>
      <c r="AM30" s="197"/>
      <c r="AN30" s="197"/>
      <c r="AO30" s="197"/>
      <c r="AP30" s="197"/>
      <c r="AQ30" s="197"/>
      <c r="AR30" s="197"/>
      <c r="AS30" s="197"/>
      <c r="AT30" s="197"/>
      <c r="AU30" s="197"/>
      <c r="AV30" s="197"/>
      <c r="AW30" s="197"/>
      <c r="AX30" s="197"/>
      <c r="AY30" s="197"/>
      <c r="AZ30" s="197"/>
      <c r="BA30" s="197"/>
      <c r="BB30" s="197"/>
      <c r="BC30" s="197"/>
      <c r="BD30" s="197"/>
      <c r="BE30" s="197"/>
      <c r="BF30" s="197"/>
      <c r="BG30" s="197"/>
      <c r="BH30" s="197"/>
      <c r="BI30" s="197"/>
      <c r="BJ30" s="197"/>
      <c r="BK30" s="197"/>
      <c r="BL30" s="197"/>
      <c r="BM30" s="197"/>
      <c r="BN30" s="197"/>
      <c r="BO30" s="197"/>
      <c r="BP30" s="197"/>
      <c r="BQ30" s="197"/>
      <c r="BR30" s="197"/>
      <c r="BS30" s="197"/>
      <c r="BT30" s="197"/>
      <c r="BU30" s="197"/>
      <c r="BV30" s="197"/>
      <c r="BW30" s="197"/>
      <c r="BX30" s="197"/>
      <c r="BY30" s="197"/>
      <c r="BZ30" s="197"/>
      <c r="CA30" s="197"/>
      <c r="CB30" s="197"/>
      <c r="CC30" s="197"/>
      <c r="CD30" s="197"/>
      <c r="CE30" s="197"/>
      <c r="CF30" s="197"/>
      <c r="CG30" s="197"/>
      <c r="CH30" s="197"/>
      <c r="CI30" s="197"/>
      <c r="CJ30" s="197"/>
      <c r="CK30" s="197"/>
      <c r="CL30" s="197"/>
      <c r="CM30" s="197"/>
      <c r="CN30" s="197"/>
      <c r="CO30" s="197"/>
      <c r="CP30" s="197"/>
      <c r="CQ30" s="197"/>
      <c r="CR30" s="197"/>
      <c r="CS30" s="197"/>
      <c r="CT30" s="197"/>
      <c r="CU30" s="197"/>
      <c r="CV30" s="197"/>
      <c r="CW30" s="197"/>
      <c r="CX30" s="197"/>
      <c r="CY30" s="197"/>
      <c r="CZ30" s="197"/>
      <c r="DA30" s="197"/>
      <c r="DB30" s="197"/>
      <c r="DC30" s="197"/>
      <c r="DD30" s="197"/>
      <c r="DE30" s="197"/>
      <c r="DF30" s="197"/>
      <c r="DG30" s="197"/>
      <c r="DH30" s="197"/>
      <c r="DI30" s="197"/>
      <c r="DJ30" s="197"/>
      <c r="DK30" s="197"/>
      <c r="DL30" s="197"/>
      <c r="DM30" s="197"/>
      <c r="DN30" s="197"/>
      <c r="DO30" s="197"/>
      <c r="DP30" s="197"/>
      <c r="DQ30" s="197"/>
      <c r="DR30" s="197"/>
      <c r="DS30" s="197"/>
      <c r="DT30" s="197"/>
      <c r="DU30" s="197"/>
      <c r="DV30" s="197"/>
      <c r="DW30" s="197"/>
      <c r="DX30" s="197"/>
      <c r="DY30" s="197"/>
      <c r="DZ30" s="197"/>
      <c r="EA30" s="197"/>
      <c r="EB30" s="197"/>
      <c r="EC30" s="197"/>
      <c r="ED30" s="197"/>
      <c r="EE30" s="197"/>
      <c r="EF30" s="197"/>
      <c r="EG30" s="197"/>
      <c r="EH30" s="197"/>
      <c r="EI30" s="197"/>
      <c r="EJ30" s="197"/>
      <c r="EK30" s="197"/>
      <c r="EL30" s="197"/>
      <c r="EM30" s="197"/>
      <c r="EN30" s="197"/>
      <c r="EO30" s="197"/>
      <c r="EP30" s="197"/>
      <c r="EQ30" s="197"/>
      <c r="ER30" s="197"/>
      <c r="ES30" s="197"/>
      <c r="ET30" s="197"/>
      <c r="EU30" s="197"/>
      <c r="EV30" s="197"/>
      <c r="EW30" s="197"/>
      <c r="EX30" s="197"/>
      <c r="EY30" s="197"/>
      <c r="EZ30" s="197"/>
      <c r="FA30" s="197"/>
      <c r="FB30" s="197"/>
      <c r="FC30" s="197"/>
      <c r="FD30" s="197"/>
      <c r="FE30" s="197"/>
      <c r="FF30" s="197"/>
      <c r="FG30" s="197"/>
      <c r="FH30" s="197"/>
      <c r="FI30" s="197"/>
      <c r="FJ30" s="197"/>
      <c r="FK30" s="197"/>
      <c r="FL30" s="197"/>
      <c r="FM30" s="197"/>
      <c r="FN30" s="197"/>
      <c r="FO30" s="197"/>
      <c r="FP30" s="197"/>
      <c r="FQ30" s="197"/>
      <c r="FR30" s="197"/>
      <c r="FS30" s="197"/>
      <c r="FT30" s="197"/>
      <c r="FU30" s="197"/>
      <c r="FV30" s="197"/>
      <c r="FW30" s="197"/>
      <c r="FX30" s="197"/>
      <c r="FY30" s="197"/>
      <c r="FZ30" s="197"/>
      <c r="GA30" s="197"/>
      <c r="GB30" s="197"/>
      <c r="GC30" s="197"/>
      <c r="GD30" s="197"/>
      <c r="GE30" s="197"/>
      <c r="GF30" s="197"/>
      <c r="GG30" s="197"/>
      <c r="GH30" s="197"/>
      <c r="GI30" s="197"/>
      <c r="GJ30" s="197"/>
      <c r="GK30" s="197"/>
      <c r="GL30" s="197"/>
      <c r="GM30" s="197"/>
      <c r="GN30" s="197"/>
      <c r="GO30" s="197"/>
      <c r="GP30" s="197"/>
      <c r="GQ30" s="197"/>
      <c r="GR30" s="197"/>
      <c r="GS30" s="197"/>
      <c r="GT30" s="197"/>
      <c r="GU30" s="197"/>
      <c r="GV30" s="197"/>
      <c r="GW30" s="197"/>
      <c r="GX30" s="197"/>
      <c r="GY30" s="197"/>
      <c r="GZ30" s="197"/>
      <c r="HA30" s="197"/>
      <c r="HB30" s="197"/>
      <c r="HC30" s="197"/>
      <c r="HD30" s="197"/>
      <c r="HE30" s="197"/>
      <c r="HF30" s="197"/>
      <c r="HG30" s="197"/>
      <c r="HH30" s="197"/>
      <c r="HI30" s="197"/>
      <c r="HJ30" s="197"/>
      <c r="HK30" s="197"/>
      <c r="HL30" s="197"/>
      <c r="HM30" s="197"/>
      <c r="HN30" s="197"/>
      <c r="HO30" s="197"/>
      <c r="HP30" s="197"/>
      <c r="HQ30" s="197"/>
      <c r="HR30" s="197"/>
      <c r="HS30" s="197"/>
      <c r="HT30" s="197"/>
      <c r="HU30" s="197"/>
      <c r="HV30" s="197"/>
      <c r="HW30" s="197"/>
      <c r="HX30" s="197"/>
      <c r="HY30" s="197"/>
      <c r="HZ30" s="197"/>
      <c r="IA30" s="197"/>
      <c r="IB30" s="197"/>
      <c r="IC30" s="197"/>
      <c r="ID30" s="197"/>
      <c r="IE30" s="197"/>
      <c r="IF30" s="197"/>
      <c r="IG30" s="197"/>
      <c r="IH30" s="197"/>
      <c r="II30" s="197"/>
      <c r="IJ30" s="197"/>
      <c r="IK30" s="197"/>
      <c r="IL30" s="197"/>
      <c r="IM30" s="197"/>
      <c r="IN30" s="197"/>
      <c r="IO30" s="197"/>
      <c r="IP30" s="197"/>
      <c r="IQ30" s="197"/>
      <c r="IR30" s="197"/>
      <c r="IS30" s="197"/>
      <c r="IT30" s="197"/>
      <c r="IU30" s="197"/>
      <c r="IV30" s="197"/>
    </row>
    <row r="31" spans="1:256" s="122" customFormat="1" x14ac:dyDescent="0.25">
      <c r="A31" s="194" t="s">
        <v>22</v>
      </c>
      <c r="B31" s="195">
        <v>1</v>
      </c>
      <c r="C31" s="195">
        <v>1</v>
      </c>
      <c r="D31" s="196" t="s">
        <v>260</v>
      </c>
      <c r="E31" s="197" t="s">
        <v>261</v>
      </c>
      <c r="F31" s="195" t="s">
        <v>89</v>
      </c>
      <c r="G31" s="195">
        <v>1024</v>
      </c>
      <c r="H31" s="195" t="s">
        <v>23</v>
      </c>
      <c r="I31" s="195" t="s">
        <v>17</v>
      </c>
      <c r="J31" s="195" t="s">
        <v>286</v>
      </c>
      <c r="K31" s="216">
        <v>45</v>
      </c>
      <c r="L31" s="263" t="s">
        <v>27</v>
      </c>
      <c r="M31" s="196" t="s">
        <v>262</v>
      </c>
      <c r="N31" s="197"/>
      <c r="O31" s="197"/>
      <c r="P31" s="197"/>
      <c r="Q31" s="197"/>
      <c r="R31" s="197"/>
      <c r="S31" s="197"/>
      <c r="T31" s="197"/>
      <c r="U31" s="197"/>
      <c r="V31" s="197"/>
      <c r="W31" s="197"/>
      <c r="X31" s="197"/>
      <c r="Y31" s="197"/>
      <c r="Z31" s="197"/>
      <c r="AA31" s="197"/>
      <c r="AB31" s="197"/>
      <c r="AC31" s="197"/>
      <c r="AD31" s="197"/>
      <c r="AE31" s="197"/>
      <c r="AF31" s="197"/>
      <c r="AG31" s="197"/>
      <c r="AH31" s="197"/>
      <c r="AI31" s="197"/>
      <c r="AJ31" s="197"/>
      <c r="AK31" s="197"/>
      <c r="AL31" s="197"/>
      <c r="AM31" s="197"/>
      <c r="AN31" s="197"/>
      <c r="AO31" s="197"/>
      <c r="AP31" s="197"/>
      <c r="AQ31" s="197"/>
      <c r="AR31" s="197"/>
      <c r="AS31" s="197"/>
      <c r="AT31" s="197"/>
      <c r="AU31" s="197"/>
      <c r="AV31" s="197"/>
      <c r="AW31" s="197"/>
      <c r="AX31" s="197"/>
      <c r="AY31" s="197"/>
      <c r="AZ31" s="197"/>
      <c r="BA31" s="197"/>
      <c r="BB31" s="197"/>
      <c r="BC31" s="197"/>
      <c r="BD31" s="197"/>
      <c r="BE31" s="197"/>
      <c r="BF31" s="197"/>
      <c r="BG31" s="197"/>
      <c r="BH31" s="197"/>
      <c r="BI31" s="197"/>
      <c r="BJ31" s="197"/>
      <c r="BK31" s="197"/>
      <c r="BL31" s="197"/>
      <c r="BM31" s="197"/>
      <c r="BN31" s="197"/>
      <c r="BO31" s="197"/>
      <c r="BP31" s="197"/>
      <c r="BQ31" s="197"/>
      <c r="BR31" s="197"/>
      <c r="BS31" s="197"/>
      <c r="BT31" s="197"/>
      <c r="BU31" s="197"/>
      <c r="BV31" s="197"/>
      <c r="BW31" s="197"/>
      <c r="BX31" s="197"/>
      <c r="BY31" s="197"/>
      <c r="BZ31" s="197"/>
      <c r="CA31" s="197"/>
      <c r="CB31" s="197"/>
      <c r="CC31" s="197"/>
      <c r="CD31" s="197"/>
      <c r="CE31" s="197"/>
      <c r="CF31" s="197"/>
      <c r="CG31" s="197"/>
      <c r="CH31" s="197"/>
      <c r="CI31" s="197"/>
      <c r="CJ31" s="197"/>
      <c r="CK31" s="197"/>
      <c r="CL31" s="197"/>
      <c r="CM31" s="197"/>
      <c r="CN31" s="197"/>
      <c r="CO31" s="197"/>
      <c r="CP31" s="197"/>
      <c r="CQ31" s="197"/>
      <c r="CR31" s="197"/>
      <c r="CS31" s="197"/>
      <c r="CT31" s="197"/>
      <c r="CU31" s="197"/>
      <c r="CV31" s="197"/>
      <c r="CW31" s="197"/>
      <c r="CX31" s="197"/>
      <c r="CY31" s="197"/>
      <c r="CZ31" s="197"/>
      <c r="DA31" s="197"/>
      <c r="DB31" s="197"/>
      <c r="DC31" s="197"/>
      <c r="DD31" s="197"/>
      <c r="DE31" s="197"/>
      <c r="DF31" s="197"/>
      <c r="DG31" s="197"/>
      <c r="DH31" s="197"/>
      <c r="DI31" s="197"/>
      <c r="DJ31" s="197"/>
      <c r="DK31" s="197"/>
      <c r="DL31" s="197"/>
      <c r="DM31" s="197"/>
      <c r="DN31" s="197"/>
      <c r="DO31" s="197"/>
      <c r="DP31" s="197"/>
      <c r="DQ31" s="197"/>
      <c r="DR31" s="197"/>
      <c r="DS31" s="197"/>
      <c r="DT31" s="197"/>
      <c r="DU31" s="197"/>
      <c r="DV31" s="197"/>
      <c r="DW31" s="197"/>
      <c r="DX31" s="197"/>
      <c r="DY31" s="197"/>
      <c r="DZ31" s="197"/>
      <c r="EA31" s="197"/>
      <c r="EB31" s="197"/>
      <c r="EC31" s="197"/>
      <c r="ED31" s="197"/>
      <c r="EE31" s="197"/>
      <c r="EF31" s="197"/>
      <c r="EG31" s="197"/>
      <c r="EH31" s="197"/>
      <c r="EI31" s="197"/>
      <c r="EJ31" s="197"/>
      <c r="EK31" s="197"/>
      <c r="EL31" s="197"/>
      <c r="EM31" s="197"/>
      <c r="EN31" s="197"/>
      <c r="EO31" s="197"/>
      <c r="EP31" s="197"/>
      <c r="EQ31" s="197"/>
      <c r="ER31" s="197"/>
      <c r="ES31" s="197"/>
      <c r="ET31" s="197"/>
      <c r="EU31" s="197"/>
      <c r="EV31" s="197"/>
      <c r="EW31" s="197"/>
      <c r="EX31" s="197"/>
      <c r="EY31" s="197"/>
      <c r="EZ31" s="197"/>
      <c r="FA31" s="197"/>
      <c r="FB31" s="197"/>
      <c r="FC31" s="197"/>
      <c r="FD31" s="197"/>
      <c r="FE31" s="197"/>
      <c r="FF31" s="197"/>
      <c r="FG31" s="197"/>
      <c r="FH31" s="197"/>
      <c r="FI31" s="197"/>
      <c r="FJ31" s="197"/>
      <c r="FK31" s="197"/>
      <c r="FL31" s="197"/>
      <c r="FM31" s="197"/>
      <c r="FN31" s="197"/>
      <c r="FO31" s="197"/>
      <c r="FP31" s="197"/>
      <c r="FQ31" s="197"/>
      <c r="FR31" s="197"/>
      <c r="FS31" s="197"/>
      <c r="FT31" s="197"/>
      <c r="FU31" s="197"/>
      <c r="FV31" s="197"/>
      <c r="FW31" s="197"/>
      <c r="FX31" s="197"/>
      <c r="FY31" s="197"/>
      <c r="FZ31" s="197"/>
      <c r="GA31" s="197"/>
      <c r="GB31" s="197"/>
      <c r="GC31" s="197"/>
      <c r="GD31" s="197"/>
      <c r="GE31" s="197"/>
      <c r="GF31" s="197"/>
      <c r="GG31" s="197"/>
      <c r="GH31" s="197"/>
      <c r="GI31" s="197"/>
      <c r="GJ31" s="197"/>
      <c r="GK31" s="197"/>
      <c r="GL31" s="197"/>
      <c r="GM31" s="197"/>
      <c r="GN31" s="197"/>
      <c r="GO31" s="197"/>
      <c r="GP31" s="197"/>
      <c r="GQ31" s="197"/>
      <c r="GR31" s="197"/>
      <c r="GS31" s="197"/>
      <c r="GT31" s="197"/>
      <c r="GU31" s="197"/>
      <c r="GV31" s="197"/>
      <c r="GW31" s="197"/>
      <c r="GX31" s="197"/>
      <c r="GY31" s="197"/>
      <c r="GZ31" s="197"/>
      <c r="HA31" s="197"/>
      <c r="HB31" s="197"/>
      <c r="HC31" s="197"/>
      <c r="HD31" s="197"/>
      <c r="HE31" s="197"/>
      <c r="HF31" s="197"/>
      <c r="HG31" s="197"/>
      <c r="HH31" s="197"/>
      <c r="HI31" s="197"/>
      <c r="HJ31" s="197"/>
      <c r="HK31" s="197"/>
      <c r="HL31" s="197"/>
      <c r="HM31" s="197"/>
      <c r="HN31" s="197"/>
      <c r="HO31" s="197"/>
      <c r="HP31" s="197"/>
      <c r="HQ31" s="197"/>
      <c r="HR31" s="197"/>
      <c r="HS31" s="197"/>
      <c r="HT31" s="197"/>
      <c r="HU31" s="197"/>
      <c r="HV31" s="197"/>
      <c r="HW31" s="197"/>
      <c r="HX31" s="197"/>
      <c r="HY31" s="197"/>
      <c r="HZ31" s="197"/>
      <c r="IA31" s="197"/>
      <c r="IB31" s="197"/>
      <c r="IC31" s="197"/>
      <c r="ID31" s="197"/>
      <c r="IE31" s="197"/>
      <c r="IF31" s="197"/>
      <c r="IG31" s="197"/>
      <c r="IH31" s="197"/>
      <c r="II31" s="197"/>
      <c r="IJ31" s="197"/>
      <c r="IK31" s="197"/>
      <c r="IL31" s="197"/>
      <c r="IM31" s="197"/>
      <c r="IN31" s="197"/>
      <c r="IO31" s="197"/>
      <c r="IP31" s="197"/>
      <c r="IQ31" s="197"/>
      <c r="IR31" s="197"/>
      <c r="IS31" s="197"/>
      <c r="IT31" s="197"/>
      <c r="IU31" s="197"/>
      <c r="IV31" s="197"/>
    </row>
    <row r="32" spans="1:256" s="122" customFormat="1" x14ac:dyDescent="0.25">
      <c r="A32" s="194" t="s">
        <v>22</v>
      </c>
      <c r="B32" s="195">
        <v>1</v>
      </c>
      <c r="C32" s="195">
        <v>1</v>
      </c>
      <c r="D32" s="196" t="s">
        <v>263</v>
      </c>
      <c r="E32" s="197" t="s">
        <v>264</v>
      </c>
      <c r="F32" s="195" t="s">
        <v>89</v>
      </c>
      <c r="G32" s="195">
        <v>1024</v>
      </c>
      <c r="H32" s="195" t="s">
        <v>23</v>
      </c>
      <c r="I32" s="195" t="s">
        <v>17</v>
      </c>
      <c r="J32" s="195" t="s">
        <v>286</v>
      </c>
      <c r="K32" s="216">
        <v>0</v>
      </c>
      <c r="L32" s="263" t="s">
        <v>27</v>
      </c>
      <c r="M32" s="196" t="s">
        <v>265</v>
      </c>
      <c r="N32" s="197"/>
      <c r="O32" s="197"/>
      <c r="P32" s="197"/>
      <c r="Q32" s="197"/>
      <c r="R32" s="197"/>
      <c r="S32" s="197"/>
      <c r="T32" s="197"/>
      <c r="U32" s="197"/>
      <c r="V32" s="197"/>
      <c r="W32" s="197"/>
      <c r="X32" s="197"/>
      <c r="Y32" s="197"/>
      <c r="Z32" s="197"/>
      <c r="AA32" s="197"/>
      <c r="AB32" s="197"/>
      <c r="AC32" s="197"/>
      <c r="AD32" s="197"/>
      <c r="AE32" s="197"/>
      <c r="AF32" s="197"/>
      <c r="AG32" s="197"/>
      <c r="AH32" s="197"/>
      <c r="AI32" s="197"/>
      <c r="AJ32" s="197"/>
      <c r="AK32" s="197"/>
      <c r="AL32" s="197"/>
      <c r="AM32" s="197"/>
      <c r="AN32" s="197"/>
      <c r="AO32" s="197"/>
      <c r="AP32" s="197"/>
      <c r="AQ32" s="197"/>
      <c r="AR32" s="197"/>
      <c r="AS32" s="197"/>
      <c r="AT32" s="197"/>
      <c r="AU32" s="197"/>
      <c r="AV32" s="197"/>
      <c r="AW32" s="197"/>
      <c r="AX32" s="197"/>
      <c r="AY32" s="197"/>
      <c r="AZ32" s="197"/>
      <c r="BA32" s="197"/>
      <c r="BB32" s="197"/>
      <c r="BC32" s="197"/>
      <c r="BD32" s="197"/>
      <c r="BE32" s="197"/>
      <c r="BF32" s="197"/>
      <c r="BG32" s="197"/>
      <c r="BH32" s="197"/>
      <c r="BI32" s="197"/>
      <c r="BJ32" s="197"/>
      <c r="BK32" s="197"/>
      <c r="BL32" s="197"/>
      <c r="BM32" s="197"/>
      <c r="BN32" s="197"/>
      <c r="BO32" s="197"/>
      <c r="BP32" s="197"/>
      <c r="BQ32" s="197"/>
      <c r="BR32" s="197"/>
      <c r="BS32" s="197"/>
      <c r="BT32" s="197"/>
      <c r="BU32" s="197"/>
      <c r="BV32" s="197"/>
      <c r="BW32" s="197"/>
      <c r="BX32" s="197"/>
      <c r="BY32" s="197"/>
      <c r="BZ32" s="197"/>
      <c r="CA32" s="197"/>
      <c r="CB32" s="197"/>
      <c r="CC32" s="197"/>
      <c r="CD32" s="197"/>
      <c r="CE32" s="197"/>
      <c r="CF32" s="197"/>
      <c r="CG32" s="197"/>
      <c r="CH32" s="197"/>
      <c r="CI32" s="197"/>
      <c r="CJ32" s="197"/>
      <c r="CK32" s="197"/>
      <c r="CL32" s="197"/>
      <c r="CM32" s="197"/>
      <c r="CN32" s="197"/>
      <c r="CO32" s="197"/>
      <c r="CP32" s="197"/>
      <c r="CQ32" s="197"/>
      <c r="CR32" s="197"/>
      <c r="CS32" s="197"/>
      <c r="CT32" s="197"/>
      <c r="CU32" s="197"/>
      <c r="CV32" s="197"/>
      <c r="CW32" s="197"/>
      <c r="CX32" s="197"/>
      <c r="CY32" s="197"/>
      <c r="CZ32" s="197"/>
      <c r="DA32" s="197"/>
      <c r="DB32" s="197"/>
      <c r="DC32" s="197"/>
      <c r="DD32" s="197"/>
      <c r="DE32" s="197"/>
      <c r="DF32" s="197"/>
      <c r="DG32" s="197"/>
      <c r="DH32" s="197"/>
      <c r="DI32" s="197"/>
      <c r="DJ32" s="197"/>
      <c r="DK32" s="197"/>
      <c r="DL32" s="197"/>
      <c r="DM32" s="197"/>
      <c r="DN32" s="197"/>
      <c r="DO32" s="197"/>
      <c r="DP32" s="197"/>
      <c r="DQ32" s="197"/>
      <c r="DR32" s="197"/>
      <c r="DS32" s="197"/>
      <c r="DT32" s="197"/>
      <c r="DU32" s="197"/>
      <c r="DV32" s="197"/>
      <c r="DW32" s="197"/>
      <c r="DX32" s="197"/>
      <c r="DY32" s="197"/>
      <c r="DZ32" s="197"/>
      <c r="EA32" s="197"/>
      <c r="EB32" s="197"/>
      <c r="EC32" s="197"/>
      <c r="ED32" s="197"/>
      <c r="EE32" s="197"/>
      <c r="EF32" s="197"/>
      <c r="EG32" s="197"/>
      <c r="EH32" s="197"/>
      <c r="EI32" s="197"/>
      <c r="EJ32" s="197"/>
      <c r="EK32" s="197"/>
      <c r="EL32" s="197"/>
      <c r="EM32" s="197"/>
      <c r="EN32" s="197"/>
      <c r="EO32" s="197"/>
      <c r="EP32" s="197"/>
      <c r="EQ32" s="197"/>
      <c r="ER32" s="197"/>
      <c r="ES32" s="197"/>
      <c r="ET32" s="197"/>
      <c r="EU32" s="197"/>
      <c r="EV32" s="197"/>
      <c r="EW32" s="197"/>
      <c r="EX32" s="197"/>
      <c r="EY32" s="197"/>
      <c r="EZ32" s="197"/>
      <c r="FA32" s="197"/>
      <c r="FB32" s="197"/>
      <c r="FC32" s="197"/>
      <c r="FD32" s="197"/>
      <c r="FE32" s="197"/>
      <c r="FF32" s="197"/>
      <c r="FG32" s="197"/>
      <c r="FH32" s="197"/>
      <c r="FI32" s="197"/>
      <c r="FJ32" s="197"/>
      <c r="FK32" s="197"/>
      <c r="FL32" s="197"/>
      <c r="FM32" s="197"/>
      <c r="FN32" s="197"/>
      <c r="FO32" s="197"/>
      <c r="FP32" s="197"/>
      <c r="FQ32" s="197"/>
      <c r="FR32" s="197"/>
      <c r="FS32" s="197"/>
      <c r="FT32" s="197"/>
      <c r="FU32" s="197"/>
      <c r="FV32" s="197"/>
      <c r="FW32" s="197"/>
      <c r="FX32" s="197"/>
      <c r="FY32" s="197"/>
      <c r="FZ32" s="197"/>
      <c r="GA32" s="197"/>
      <c r="GB32" s="197"/>
      <c r="GC32" s="197"/>
      <c r="GD32" s="197"/>
      <c r="GE32" s="197"/>
      <c r="GF32" s="197"/>
      <c r="GG32" s="197"/>
      <c r="GH32" s="197"/>
      <c r="GI32" s="197"/>
      <c r="GJ32" s="197"/>
      <c r="GK32" s="197"/>
      <c r="GL32" s="197"/>
      <c r="GM32" s="197"/>
      <c r="GN32" s="197"/>
      <c r="GO32" s="197"/>
      <c r="GP32" s="197"/>
      <c r="GQ32" s="197"/>
      <c r="GR32" s="197"/>
      <c r="GS32" s="197"/>
      <c r="GT32" s="197"/>
      <c r="GU32" s="197"/>
      <c r="GV32" s="197"/>
      <c r="GW32" s="197"/>
      <c r="GX32" s="197"/>
      <c r="GY32" s="197"/>
      <c r="GZ32" s="197"/>
      <c r="HA32" s="197"/>
      <c r="HB32" s="197"/>
      <c r="HC32" s="197"/>
      <c r="HD32" s="197"/>
      <c r="HE32" s="197"/>
      <c r="HF32" s="197"/>
      <c r="HG32" s="197"/>
      <c r="HH32" s="197"/>
      <c r="HI32" s="197"/>
      <c r="HJ32" s="197"/>
      <c r="HK32" s="197"/>
      <c r="HL32" s="197"/>
      <c r="HM32" s="197"/>
      <c r="HN32" s="197"/>
      <c r="HO32" s="197"/>
      <c r="HP32" s="197"/>
      <c r="HQ32" s="197"/>
      <c r="HR32" s="197"/>
      <c r="HS32" s="197"/>
      <c r="HT32" s="197"/>
      <c r="HU32" s="197"/>
      <c r="HV32" s="197"/>
      <c r="HW32" s="197"/>
      <c r="HX32" s="197"/>
      <c r="HY32" s="197"/>
      <c r="HZ32" s="197"/>
      <c r="IA32" s="197"/>
      <c r="IB32" s="197"/>
      <c r="IC32" s="197"/>
      <c r="ID32" s="197"/>
      <c r="IE32" s="197"/>
      <c r="IF32" s="197"/>
      <c r="IG32" s="197"/>
      <c r="IH32" s="197"/>
      <c r="II32" s="197"/>
      <c r="IJ32" s="197"/>
      <c r="IK32" s="197"/>
      <c r="IL32" s="197"/>
      <c r="IM32" s="197"/>
      <c r="IN32" s="197"/>
      <c r="IO32" s="197"/>
      <c r="IP32" s="197"/>
      <c r="IQ32" s="197"/>
      <c r="IR32" s="197"/>
      <c r="IS32" s="197"/>
      <c r="IT32" s="197"/>
      <c r="IU32" s="197"/>
      <c r="IV32" s="197"/>
    </row>
    <row r="33" spans="1:256" s="122" customFormat="1" x14ac:dyDescent="0.25">
      <c r="A33" s="194" t="s">
        <v>22</v>
      </c>
      <c r="B33" s="195">
        <v>1</v>
      </c>
      <c r="C33" s="195">
        <v>1</v>
      </c>
      <c r="D33" s="196" t="s">
        <v>266</v>
      </c>
      <c r="E33" s="197" t="s">
        <v>267</v>
      </c>
      <c r="F33" s="195" t="s">
        <v>89</v>
      </c>
      <c r="G33" s="195">
        <v>1024</v>
      </c>
      <c r="H33" s="195" t="s">
        <v>23</v>
      </c>
      <c r="I33" s="195" t="s">
        <v>17</v>
      </c>
      <c r="J33" s="195" t="s">
        <v>286</v>
      </c>
      <c r="K33" s="216">
        <v>-10</v>
      </c>
      <c r="L33" s="263" t="s">
        <v>27</v>
      </c>
      <c r="M33" s="196" t="s">
        <v>268</v>
      </c>
      <c r="N33" s="197"/>
      <c r="O33" s="197"/>
      <c r="P33" s="197"/>
      <c r="Q33" s="197"/>
      <c r="R33" s="197"/>
      <c r="S33" s="269"/>
      <c r="T33" s="269"/>
      <c r="U33" s="269"/>
      <c r="V33" s="269"/>
      <c r="W33" s="269"/>
      <c r="X33" s="269"/>
      <c r="Y33" s="269"/>
      <c r="Z33" s="269"/>
      <c r="AA33" s="269"/>
      <c r="AB33" s="269"/>
      <c r="AC33" s="269"/>
      <c r="AD33" s="269"/>
      <c r="AE33" s="269"/>
      <c r="AF33" s="269"/>
      <c r="AG33" s="269"/>
      <c r="AH33" s="269"/>
      <c r="AI33" s="269"/>
      <c r="AJ33" s="269"/>
      <c r="AK33" s="269"/>
      <c r="AL33" s="269"/>
      <c r="AM33" s="269"/>
      <c r="AN33" s="269"/>
      <c r="AO33" s="269"/>
      <c r="AP33" s="269"/>
      <c r="AQ33" s="269"/>
      <c r="AR33" s="269"/>
      <c r="AS33" s="269"/>
      <c r="AT33" s="269"/>
      <c r="AU33" s="269"/>
      <c r="AV33" s="269"/>
      <c r="AW33" s="269"/>
      <c r="AX33" s="269"/>
      <c r="AY33" s="269"/>
      <c r="AZ33" s="269"/>
      <c r="BA33" s="269"/>
      <c r="BB33" s="269"/>
      <c r="BC33" s="269"/>
      <c r="BD33" s="269"/>
      <c r="BE33" s="269"/>
      <c r="BF33" s="269"/>
      <c r="BG33" s="269"/>
      <c r="BH33" s="269"/>
      <c r="BI33" s="269"/>
      <c r="BJ33" s="269"/>
      <c r="BK33" s="269"/>
      <c r="BL33" s="269"/>
      <c r="BM33" s="269"/>
      <c r="BN33" s="269"/>
      <c r="BO33" s="269"/>
      <c r="BP33" s="269"/>
      <c r="BQ33" s="269"/>
      <c r="BR33" s="269"/>
      <c r="BS33" s="269"/>
      <c r="BT33" s="269"/>
      <c r="BU33" s="269"/>
      <c r="BV33" s="269"/>
      <c r="BW33" s="269"/>
      <c r="BX33" s="269"/>
      <c r="BY33" s="269"/>
      <c r="BZ33" s="269"/>
      <c r="CA33" s="269"/>
      <c r="CB33" s="269"/>
      <c r="CC33" s="269"/>
      <c r="CD33" s="269"/>
      <c r="CE33" s="269"/>
      <c r="CF33" s="269"/>
      <c r="CG33" s="269"/>
      <c r="CH33" s="269"/>
      <c r="CI33" s="269"/>
      <c r="CJ33" s="269"/>
      <c r="CK33" s="269"/>
      <c r="CL33" s="269"/>
      <c r="CM33" s="269"/>
      <c r="CN33" s="269"/>
      <c r="CO33" s="269"/>
      <c r="CP33" s="269"/>
      <c r="CQ33" s="269"/>
      <c r="CR33" s="269"/>
      <c r="CS33" s="269"/>
      <c r="CT33" s="269"/>
      <c r="CU33" s="269"/>
      <c r="CV33" s="269"/>
      <c r="CW33" s="269"/>
      <c r="CX33" s="269"/>
      <c r="CY33" s="269"/>
      <c r="CZ33" s="269"/>
      <c r="DA33" s="269"/>
      <c r="DB33" s="269"/>
      <c r="DC33" s="269"/>
      <c r="DD33" s="269"/>
      <c r="DE33" s="269"/>
      <c r="DF33" s="269"/>
      <c r="DG33" s="269"/>
      <c r="DH33" s="269"/>
      <c r="DI33" s="269"/>
      <c r="DJ33" s="269"/>
      <c r="DK33" s="269"/>
      <c r="DL33" s="269"/>
      <c r="DM33" s="269"/>
      <c r="DN33" s="269"/>
      <c r="DO33" s="269"/>
      <c r="DP33" s="269"/>
      <c r="DQ33" s="269"/>
      <c r="DR33" s="269"/>
      <c r="DS33" s="269"/>
      <c r="DT33" s="269"/>
      <c r="DU33" s="269"/>
      <c r="DV33" s="269"/>
      <c r="DW33" s="269"/>
      <c r="DX33" s="269"/>
      <c r="DY33" s="269"/>
      <c r="DZ33" s="269"/>
      <c r="EA33" s="269"/>
      <c r="EB33" s="269"/>
      <c r="EC33" s="269"/>
      <c r="ED33" s="269"/>
      <c r="EE33" s="269"/>
      <c r="EF33" s="269"/>
      <c r="EG33" s="269"/>
      <c r="EH33" s="269"/>
      <c r="EI33" s="269"/>
      <c r="EJ33" s="269"/>
      <c r="EK33" s="269"/>
      <c r="EL33" s="269"/>
      <c r="EM33" s="269"/>
      <c r="EN33" s="269"/>
      <c r="EO33" s="269"/>
      <c r="EP33" s="269"/>
      <c r="EQ33" s="269"/>
      <c r="ER33" s="269"/>
      <c r="ES33" s="269"/>
      <c r="ET33" s="269"/>
      <c r="EU33" s="269"/>
      <c r="EV33" s="269"/>
      <c r="EW33" s="269"/>
      <c r="EX33" s="269"/>
      <c r="EY33" s="269"/>
      <c r="EZ33" s="269"/>
      <c r="FA33" s="269"/>
      <c r="FB33" s="269"/>
      <c r="FC33" s="269"/>
      <c r="FD33" s="269"/>
      <c r="FE33" s="269"/>
      <c r="FF33" s="269"/>
      <c r="FG33" s="269"/>
      <c r="FH33" s="269"/>
      <c r="FI33" s="269"/>
      <c r="FJ33" s="269"/>
      <c r="FK33" s="269"/>
      <c r="FL33" s="269"/>
      <c r="FM33" s="269"/>
      <c r="FN33" s="269"/>
      <c r="FO33" s="269"/>
      <c r="FP33" s="269"/>
      <c r="FQ33" s="269"/>
      <c r="FR33" s="269"/>
      <c r="FS33" s="269"/>
      <c r="FT33" s="269"/>
      <c r="FU33" s="269"/>
      <c r="FV33" s="269"/>
      <c r="FW33" s="269"/>
      <c r="FX33" s="269"/>
      <c r="FY33" s="269"/>
      <c r="FZ33" s="269"/>
      <c r="GA33" s="269"/>
      <c r="GB33" s="269"/>
      <c r="GC33" s="269"/>
      <c r="GD33" s="269"/>
      <c r="GE33" s="269"/>
      <c r="GF33" s="269"/>
      <c r="GG33" s="269"/>
      <c r="GH33" s="269"/>
      <c r="GI33" s="269"/>
      <c r="GJ33" s="269"/>
      <c r="GK33" s="269"/>
      <c r="GL33" s="269"/>
      <c r="GM33" s="269"/>
      <c r="GN33" s="269"/>
      <c r="GO33" s="269"/>
      <c r="GP33" s="269"/>
      <c r="GQ33" s="269"/>
      <c r="GR33" s="269"/>
      <c r="GS33" s="269"/>
      <c r="GT33" s="269"/>
      <c r="GU33" s="269"/>
      <c r="GV33" s="269"/>
      <c r="GW33" s="269"/>
      <c r="GX33" s="269"/>
      <c r="GY33" s="269"/>
      <c r="GZ33" s="269"/>
      <c r="HA33" s="269"/>
      <c r="HB33" s="269"/>
      <c r="HC33" s="269"/>
      <c r="HD33" s="269"/>
      <c r="HE33" s="269"/>
      <c r="HF33" s="269"/>
      <c r="HG33" s="269"/>
      <c r="HH33" s="269"/>
      <c r="HI33" s="269"/>
      <c r="HJ33" s="269"/>
      <c r="HK33" s="269"/>
      <c r="HL33" s="269"/>
      <c r="HM33" s="269"/>
      <c r="HN33" s="269"/>
      <c r="HO33" s="269"/>
      <c r="HP33" s="269"/>
      <c r="HQ33" s="269"/>
      <c r="HR33" s="269"/>
      <c r="HS33" s="269"/>
      <c r="HT33" s="269"/>
      <c r="HU33" s="269"/>
      <c r="HV33" s="269"/>
      <c r="HW33" s="269"/>
      <c r="HX33" s="269"/>
      <c r="HY33" s="269"/>
      <c r="HZ33" s="269"/>
      <c r="IA33" s="269"/>
      <c r="IB33" s="269"/>
      <c r="IC33" s="269"/>
      <c r="ID33" s="269"/>
      <c r="IE33" s="269"/>
      <c r="IF33" s="269"/>
      <c r="IG33" s="269"/>
      <c r="IH33" s="269"/>
      <c r="II33" s="269"/>
      <c r="IJ33" s="269"/>
      <c r="IK33" s="269"/>
      <c r="IL33" s="269"/>
      <c r="IM33" s="269"/>
      <c r="IN33" s="269"/>
      <c r="IO33" s="269"/>
      <c r="IP33" s="269"/>
      <c r="IQ33" s="269"/>
      <c r="IR33" s="269"/>
      <c r="IS33" s="269"/>
      <c r="IT33" s="269"/>
      <c r="IU33" s="269"/>
      <c r="IV33" s="269"/>
    </row>
    <row r="34" spans="1:256" s="122" customFormat="1" x14ac:dyDescent="0.25">
      <c r="A34" s="194" t="s">
        <v>22</v>
      </c>
      <c r="B34" s="195">
        <v>1</v>
      </c>
      <c r="C34" s="195">
        <v>1</v>
      </c>
      <c r="D34" s="196" t="s">
        <v>270</v>
      </c>
      <c r="E34" s="197" t="s">
        <v>271</v>
      </c>
      <c r="F34" s="195" t="s">
        <v>89</v>
      </c>
      <c r="G34" s="195">
        <v>1024</v>
      </c>
      <c r="H34" s="195" t="s">
        <v>23</v>
      </c>
      <c r="I34" s="195" t="s">
        <v>17</v>
      </c>
      <c r="J34" s="195" t="s">
        <v>286</v>
      </c>
      <c r="K34" s="216">
        <v>13</v>
      </c>
      <c r="L34" s="263" t="s">
        <v>79</v>
      </c>
      <c r="M34" s="196" t="s">
        <v>272</v>
      </c>
      <c r="N34" s="197"/>
      <c r="O34" s="197"/>
      <c r="P34" s="197"/>
      <c r="Q34" s="197"/>
      <c r="R34" s="197"/>
      <c r="S34" s="269"/>
      <c r="T34" s="269"/>
      <c r="U34" s="269"/>
      <c r="V34" s="269"/>
      <c r="W34" s="269"/>
      <c r="X34" s="269"/>
      <c r="Y34" s="269"/>
      <c r="Z34" s="269"/>
      <c r="AA34" s="269"/>
      <c r="AB34" s="269"/>
      <c r="AC34" s="269"/>
      <c r="AD34" s="269"/>
      <c r="AE34" s="269"/>
      <c r="AF34" s="269"/>
      <c r="AG34" s="269"/>
      <c r="AH34" s="269"/>
      <c r="AI34" s="269"/>
      <c r="AJ34" s="269"/>
      <c r="AK34" s="269"/>
      <c r="AL34" s="269"/>
      <c r="AM34" s="269"/>
      <c r="AN34" s="269"/>
      <c r="AO34" s="269"/>
      <c r="AP34" s="269"/>
      <c r="AQ34" s="269"/>
      <c r="AR34" s="269"/>
      <c r="AS34" s="269"/>
      <c r="AT34" s="269"/>
      <c r="AU34" s="269"/>
      <c r="AV34" s="269"/>
      <c r="AW34" s="269"/>
      <c r="AX34" s="269"/>
      <c r="AY34" s="269"/>
      <c r="AZ34" s="269"/>
      <c r="BA34" s="269"/>
      <c r="BB34" s="269"/>
      <c r="BC34" s="269"/>
      <c r="BD34" s="269"/>
      <c r="BE34" s="269"/>
      <c r="BF34" s="269"/>
      <c r="BG34" s="269"/>
      <c r="BH34" s="269"/>
      <c r="BI34" s="269"/>
      <c r="BJ34" s="269"/>
      <c r="BK34" s="269"/>
      <c r="BL34" s="269"/>
      <c r="BM34" s="269"/>
      <c r="BN34" s="269"/>
      <c r="BO34" s="269"/>
      <c r="BP34" s="269"/>
      <c r="BQ34" s="269"/>
      <c r="BR34" s="269"/>
      <c r="BS34" s="269"/>
      <c r="BT34" s="269"/>
      <c r="BU34" s="269"/>
      <c r="BV34" s="269"/>
      <c r="BW34" s="269"/>
      <c r="BX34" s="269"/>
      <c r="BY34" s="269"/>
      <c r="BZ34" s="269"/>
      <c r="CA34" s="269"/>
      <c r="CB34" s="269"/>
      <c r="CC34" s="269"/>
      <c r="CD34" s="269"/>
      <c r="CE34" s="269"/>
      <c r="CF34" s="269"/>
      <c r="CG34" s="269"/>
      <c r="CH34" s="269"/>
      <c r="CI34" s="269"/>
      <c r="CJ34" s="269"/>
      <c r="CK34" s="269"/>
      <c r="CL34" s="269"/>
      <c r="CM34" s="269"/>
      <c r="CN34" s="269"/>
      <c r="CO34" s="269"/>
      <c r="CP34" s="269"/>
      <c r="CQ34" s="269"/>
      <c r="CR34" s="269"/>
      <c r="CS34" s="269"/>
      <c r="CT34" s="269"/>
      <c r="CU34" s="269"/>
      <c r="CV34" s="269"/>
      <c r="CW34" s="269"/>
      <c r="CX34" s="269"/>
      <c r="CY34" s="269"/>
      <c r="CZ34" s="269"/>
      <c r="DA34" s="269"/>
      <c r="DB34" s="269"/>
      <c r="DC34" s="269"/>
      <c r="DD34" s="269"/>
      <c r="DE34" s="269"/>
      <c r="DF34" s="269"/>
      <c r="DG34" s="269"/>
      <c r="DH34" s="269"/>
      <c r="DI34" s="269"/>
      <c r="DJ34" s="269"/>
      <c r="DK34" s="269"/>
      <c r="DL34" s="269"/>
      <c r="DM34" s="269"/>
      <c r="DN34" s="269"/>
      <c r="DO34" s="269"/>
      <c r="DP34" s="269"/>
      <c r="DQ34" s="269"/>
      <c r="DR34" s="269"/>
      <c r="DS34" s="269"/>
      <c r="DT34" s="269"/>
      <c r="DU34" s="269"/>
      <c r="DV34" s="269"/>
      <c r="DW34" s="269"/>
      <c r="DX34" s="269"/>
      <c r="DY34" s="269"/>
      <c r="DZ34" s="269"/>
      <c r="EA34" s="269"/>
      <c r="EB34" s="269"/>
      <c r="EC34" s="269"/>
      <c r="ED34" s="269"/>
      <c r="EE34" s="269"/>
      <c r="EF34" s="269"/>
      <c r="EG34" s="269"/>
      <c r="EH34" s="269"/>
      <c r="EI34" s="269"/>
      <c r="EJ34" s="269"/>
      <c r="EK34" s="269"/>
      <c r="EL34" s="269"/>
      <c r="EM34" s="269"/>
      <c r="EN34" s="269"/>
      <c r="EO34" s="269"/>
      <c r="EP34" s="269"/>
      <c r="EQ34" s="269"/>
      <c r="ER34" s="269"/>
      <c r="ES34" s="269"/>
      <c r="ET34" s="269"/>
      <c r="EU34" s="269"/>
      <c r="EV34" s="269"/>
      <c r="EW34" s="269"/>
      <c r="EX34" s="269"/>
      <c r="EY34" s="269"/>
      <c r="EZ34" s="269"/>
      <c r="FA34" s="269"/>
      <c r="FB34" s="269"/>
      <c r="FC34" s="269"/>
      <c r="FD34" s="269"/>
      <c r="FE34" s="269"/>
      <c r="FF34" s="269"/>
      <c r="FG34" s="269"/>
      <c r="FH34" s="269"/>
      <c r="FI34" s="269"/>
      <c r="FJ34" s="269"/>
      <c r="FK34" s="269"/>
      <c r="FL34" s="269"/>
      <c r="FM34" s="269"/>
      <c r="FN34" s="269"/>
      <c r="FO34" s="269"/>
      <c r="FP34" s="269"/>
      <c r="FQ34" s="269"/>
      <c r="FR34" s="269"/>
      <c r="FS34" s="269"/>
      <c r="FT34" s="269"/>
      <c r="FU34" s="269"/>
      <c r="FV34" s="269"/>
      <c r="FW34" s="269"/>
      <c r="FX34" s="269"/>
      <c r="FY34" s="269"/>
      <c r="FZ34" s="269"/>
      <c r="GA34" s="269"/>
      <c r="GB34" s="269"/>
      <c r="GC34" s="269"/>
      <c r="GD34" s="269"/>
      <c r="GE34" s="269"/>
      <c r="GF34" s="269"/>
      <c r="GG34" s="269"/>
      <c r="GH34" s="269"/>
      <c r="GI34" s="269"/>
      <c r="GJ34" s="269"/>
      <c r="GK34" s="269"/>
      <c r="GL34" s="269"/>
      <c r="GM34" s="269"/>
      <c r="GN34" s="269"/>
      <c r="GO34" s="269"/>
      <c r="GP34" s="269"/>
      <c r="GQ34" s="269"/>
      <c r="GR34" s="269"/>
      <c r="GS34" s="269"/>
      <c r="GT34" s="269"/>
      <c r="GU34" s="269"/>
      <c r="GV34" s="269"/>
      <c r="GW34" s="269"/>
      <c r="GX34" s="269"/>
      <c r="GY34" s="269"/>
      <c r="GZ34" s="269"/>
      <c r="HA34" s="269"/>
      <c r="HB34" s="269"/>
      <c r="HC34" s="269"/>
      <c r="HD34" s="269"/>
      <c r="HE34" s="269"/>
      <c r="HF34" s="269"/>
      <c r="HG34" s="269"/>
      <c r="HH34" s="269"/>
      <c r="HI34" s="269"/>
      <c r="HJ34" s="269"/>
      <c r="HK34" s="269"/>
      <c r="HL34" s="269"/>
      <c r="HM34" s="269"/>
      <c r="HN34" s="269"/>
      <c r="HO34" s="269"/>
      <c r="HP34" s="269"/>
      <c r="HQ34" s="269"/>
      <c r="HR34" s="269"/>
      <c r="HS34" s="269"/>
      <c r="HT34" s="269"/>
      <c r="HU34" s="269"/>
      <c r="HV34" s="269"/>
      <c r="HW34" s="269"/>
      <c r="HX34" s="269"/>
      <c r="HY34" s="269"/>
      <c r="HZ34" s="269"/>
      <c r="IA34" s="269"/>
      <c r="IB34" s="269"/>
      <c r="IC34" s="269"/>
      <c r="ID34" s="269"/>
      <c r="IE34" s="269"/>
      <c r="IF34" s="269"/>
      <c r="IG34" s="269"/>
      <c r="IH34" s="269"/>
      <c r="II34" s="269"/>
      <c r="IJ34" s="269"/>
      <c r="IK34" s="269"/>
      <c r="IL34" s="269"/>
      <c r="IM34" s="269"/>
      <c r="IN34" s="269"/>
      <c r="IO34" s="269"/>
      <c r="IP34" s="269"/>
      <c r="IQ34" s="269"/>
      <c r="IR34" s="269"/>
      <c r="IS34" s="269"/>
      <c r="IT34" s="269"/>
      <c r="IU34" s="269"/>
      <c r="IV34" s="269"/>
    </row>
    <row r="35" spans="1:256" s="122" customFormat="1" x14ac:dyDescent="0.25">
      <c r="A35" s="194" t="s">
        <v>22</v>
      </c>
      <c r="B35" s="195">
        <v>1</v>
      </c>
      <c r="C35" s="195">
        <v>1</v>
      </c>
      <c r="D35" s="196" t="s">
        <v>273</v>
      </c>
      <c r="E35" s="197" t="s">
        <v>274</v>
      </c>
      <c r="F35" s="195" t="s">
        <v>89</v>
      </c>
      <c r="G35" s="195">
        <v>1024</v>
      </c>
      <c r="H35" s="195" t="s">
        <v>23</v>
      </c>
      <c r="I35" s="195" t="s">
        <v>17</v>
      </c>
      <c r="J35" s="195" t="s">
        <v>286</v>
      </c>
      <c r="K35" s="216">
        <v>12.5</v>
      </c>
      <c r="L35" s="263" t="s">
        <v>79</v>
      </c>
      <c r="M35" s="196" t="s">
        <v>275</v>
      </c>
      <c r="N35" s="269"/>
      <c r="O35" s="269"/>
      <c r="P35" s="269"/>
      <c r="Q35" s="269"/>
      <c r="R35" s="269"/>
      <c r="S35" s="269"/>
      <c r="T35" s="269"/>
      <c r="U35" s="269"/>
      <c r="V35" s="269"/>
      <c r="W35" s="269"/>
      <c r="X35" s="269"/>
      <c r="Y35" s="269"/>
      <c r="Z35" s="269"/>
      <c r="AA35" s="269"/>
      <c r="AB35" s="269"/>
      <c r="AC35" s="269"/>
      <c r="AD35" s="269"/>
      <c r="AE35" s="269"/>
      <c r="AF35" s="269"/>
      <c r="AG35" s="269"/>
      <c r="AH35" s="269"/>
      <c r="AI35" s="269"/>
      <c r="AJ35" s="269"/>
      <c r="AK35" s="269"/>
      <c r="AL35" s="269"/>
      <c r="AM35" s="269"/>
      <c r="AN35" s="269"/>
      <c r="AO35" s="269"/>
      <c r="AP35" s="269"/>
      <c r="AQ35" s="269"/>
      <c r="AR35" s="269"/>
      <c r="AS35" s="269"/>
      <c r="AT35" s="269"/>
      <c r="AU35" s="269"/>
      <c r="AV35" s="269"/>
      <c r="AW35" s="269"/>
      <c r="AX35" s="269"/>
      <c r="AY35" s="269"/>
      <c r="AZ35" s="269"/>
      <c r="BA35" s="269"/>
      <c r="BB35" s="269"/>
      <c r="BC35" s="269"/>
      <c r="BD35" s="269"/>
      <c r="BE35" s="269"/>
      <c r="BF35" s="269"/>
      <c r="BG35" s="269"/>
      <c r="BH35" s="269"/>
      <c r="BI35" s="269"/>
      <c r="BJ35" s="269"/>
      <c r="BK35" s="269"/>
      <c r="BL35" s="269"/>
      <c r="BM35" s="269"/>
      <c r="BN35" s="269"/>
      <c r="BO35" s="269"/>
      <c r="BP35" s="269"/>
      <c r="BQ35" s="269"/>
      <c r="BR35" s="269"/>
      <c r="BS35" s="269"/>
      <c r="BT35" s="269"/>
      <c r="BU35" s="269"/>
      <c r="BV35" s="269"/>
      <c r="BW35" s="269"/>
      <c r="BX35" s="269"/>
      <c r="BY35" s="269"/>
      <c r="BZ35" s="269"/>
      <c r="CA35" s="269"/>
      <c r="CB35" s="269"/>
      <c r="CC35" s="269"/>
      <c r="CD35" s="269"/>
      <c r="CE35" s="269"/>
      <c r="CF35" s="269"/>
      <c r="CG35" s="269"/>
      <c r="CH35" s="269"/>
      <c r="CI35" s="269"/>
      <c r="CJ35" s="269"/>
      <c r="CK35" s="269"/>
      <c r="CL35" s="269"/>
      <c r="CM35" s="269"/>
      <c r="CN35" s="269"/>
      <c r="CO35" s="269"/>
      <c r="CP35" s="269"/>
      <c r="CQ35" s="269"/>
      <c r="CR35" s="269"/>
      <c r="CS35" s="269"/>
      <c r="CT35" s="269"/>
      <c r="CU35" s="269"/>
      <c r="CV35" s="269"/>
      <c r="CW35" s="269"/>
      <c r="CX35" s="269"/>
      <c r="CY35" s="269"/>
      <c r="CZ35" s="269"/>
      <c r="DA35" s="269"/>
      <c r="DB35" s="269"/>
      <c r="DC35" s="269"/>
      <c r="DD35" s="269"/>
      <c r="DE35" s="269"/>
      <c r="DF35" s="269"/>
      <c r="DG35" s="269"/>
      <c r="DH35" s="269"/>
      <c r="DI35" s="269"/>
      <c r="DJ35" s="269"/>
      <c r="DK35" s="269"/>
      <c r="DL35" s="269"/>
      <c r="DM35" s="269"/>
      <c r="DN35" s="269"/>
      <c r="DO35" s="269"/>
      <c r="DP35" s="269"/>
      <c r="DQ35" s="269"/>
      <c r="DR35" s="269"/>
      <c r="DS35" s="269"/>
      <c r="DT35" s="269"/>
      <c r="DU35" s="269"/>
      <c r="DV35" s="269"/>
      <c r="DW35" s="269"/>
      <c r="DX35" s="269"/>
      <c r="DY35" s="269"/>
      <c r="DZ35" s="269"/>
      <c r="EA35" s="269"/>
      <c r="EB35" s="269"/>
      <c r="EC35" s="269"/>
      <c r="ED35" s="269"/>
      <c r="EE35" s="269"/>
      <c r="EF35" s="269"/>
      <c r="EG35" s="269"/>
      <c r="EH35" s="269"/>
      <c r="EI35" s="269"/>
      <c r="EJ35" s="269"/>
      <c r="EK35" s="269"/>
      <c r="EL35" s="269"/>
      <c r="EM35" s="269"/>
      <c r="EN35" s="269"/>
      <c r="EO35" s="269"/>
      <c r="EP35" s="269"/>
      <c r="EQ35" s="269"/>
      <c r="ER35" s="269"/>
      <c r="ES35" s="269"/>
      <c r="ET35" s="269"/>
      <c r="EU35" s="269"/>
      <c r="EV35" s="269"/>
      <c r="EW35" s="269"/>
      <c r="EX35" s="269"/>
      <c r="EY35" s="269"/>
      <c r="EZ35" s="269"/>
      <c r="FA35" s="269"/>
      <c r="FB35" s="269"/>
      <c r="FC35" s="269"/>
      <c r="FD35" s="269"/>
      <c r="FE35" s="269"/>
      <c r="FF35" s="269"/>
      <c r="FG35" s="269"/>
      <c r="FH35" s="269"/>
      <c r="FI35" s="269"/>
      <c r="FJ35" s="269"/>
      <c r="FK35" s="269"/>
      <c r="FL35" s="269"/>
      <c r="FM35" s="269"/>
      <c r="FN35" s="269"/>
      <c r="FO35" s="269"/>
      <c r="FP35" s="269"/>
      <c r="FQ35" s="269"/>
      <c r="FR35" s="269"/>
      <c r="FS35" s="269"/>
      <c r="FT35" s="269"/>
      <c r="FU35" s="269"/>
      <c r="FV35" s="269"/>
      <c r="FW35" s="269"/>
      <c r="FX35" s="269"/>
      <c r="FY35" s="269"/>
      <c r="FZ35" s="269"/>
      <c r="GA35" s="269"/>
      <c r="GB35" s="269"/>
      <c r="GC35" s="269"/>
      <c r="GD35" s="269"/>
      <c r="GE35" s="269"/>
      <c r="GF35" s="269"/>
      <c r="GG35" s="269"/>
      <c r="GH35" s="269"/>
      <c r="GI35" s="269"/>
      <c r="GJ35" s="269"/>
      <c r="GK35" s="269"/>
      <c r="GL35" s="269"/>
      <c r="GM35" s="269"/>
      <c r="GN35" s="269"/>
      <c r="GO35" s="269"/>
      <c r="GP35" s="269"/>
      <c r="GQ35" s="269"/>
      <c r="GR35" s="269"/>
      <c r="GS35" s="269"/>
      <c r="GT35" s="269"/>
      <c r="GU35" s="269"/>
      <c r="GV35" s="269"/>
      <c r="GW35" s="269"/>
      <c r="GX35" s="269"/>
      <c r="GY35" s="269"/>
      <c r="GZ35" s="269"/>
      <c r="HA35" s="269"/>
      <c r="HB35" s="269"/>
      <c r="HC35" s="269"/>
      <c r="HD35" s="269"/>
      <c r="HE35" s="269"/>
      <c r="HF35" s="269"/>
      <c r="HG35" s="269"/>
      <c r="HH35" s="269"/>
      <c r="HI35" s="269"/>
      <c r="HJ35" s="269"/>
      <c r="HK35" s="269"/>
      <c r="HL35" s="269"/>
      <c r="HM35" s="269"/>
      <c r="HN35" s="269"/>
      <c r="HO35" s="269"/>
      <c r="HP35" s="269"/>
      <c r="HQ35" s="269"/>
      <c r="HR35" s="269"/>
      <c r="HS35" s="269"/>
      <c r="HT35" s="269"/>
      <c r="HU35" s="269"/>
      <c r="HV35" s="269"/>
      <c r="HW35" s="269"/>
      <c r="HX35" s="269"/>
      <c r="HY35" s="269"/>
      <c r="HZ35" s="269"/>
      <c r="IA35" s="269"/>
      <c r="IB35" s="269"/>
      <c r="IC35" s="269"/>
      <c r="ID35" s="269"/>
      <c r="IE35" s="269"/>
      <c r="IF35" s="269"/>
      <c r="IG35" s="269"/>
      <c r="IH35" s="269"/>
      <c r="II35" s="269"/>
      <c r="IJ35" s="269"/>
      <c r="IK35" s="269"/>
      <c r="IL35" s="269"/>
      <c r="IM35" s="269"/>
      <c r="IN35" s="269"/>
      <c r="IO35" s="269"/>
      <c r="IP35" s="269"/>
      <c r="IQ35" s="269"/>
      <c r="IR35" s="269"/>
      <c r="IS35" s="269"/>
      <c r="IT35" s="269"/>
      <c r="IU35" s="269"/>
      <c r="IV35" s="269"/>
    </row>
    <row r="36" spans="1:256" s="122" customFormat="1" x14ac:dyDescent="0.25">
      <c r="A36" s="194" t="s">
        <v>22</v>
      </c>
      <c r="B36" s="195">
        <v>1</v>
      </c>
      <c r="C36" s="195">
        <v>1</v>
      </c>
      <c r="D36" s="196" t="s">
        <v>276</v>
      </c>
      <c r="E36" s="197" t="s">
        <v>277</v>
      </c>
      <c r="F36" s="195" t="s">
        <v>89</v>
      </c>
      <c r="G36" s="195">
        <v>1024</v>
      </c>
      <c r="H36" s="195" t="s">
        <v>23</v>
      </c>
      <c r="I36" s="195" t="s">
        <v>17</v>
      </c>
      <c r="J36" s="195" t="s">
        <v>286</v>
      </c>
      <c r="K36" s="216">
        <v>11.5</v>
      </c>
      <c r="L36" s="263" t="s">
        <v>79</v>
      </c>
      <c r="M36" s="196" t="s">
        <v>278</v>
      </c>
      <c r="N36" s="269"/>
      <c r="O36" s="269"/>
      <c r="P36" s="269"/>
      <c r="Q36" s="269"/>
      <c r="R36" s="269"/>
      <c r="S36" s="269"/>
      <c r="T36" s="269"/>
      <c r="U36" s="269"/>
      <c r="V36" s="269"/>
      <c r="W36" s="269"/>
      <c r="X36" s="269"/>
      <c r="Y36" s="269"/>
      <c r="Z36" s="269"/>
      <c r="AA36" s="269"/>
      <c r="AB36" s="269"/>
      <c r="AC36" s="269"/>
      <c r="AD36" s="269"/>
      <c r="AE36" s="269"/>
      <c r="AF36" s="269"/>
      <c r="AG36" s="269"/>
      <c r="AH36" s="269"/>
      <c r="AI36" s="269"/>
      <c r="AJ36" s="269"/>
      <c r="AK36" s="269"/>
      <c r="AL36" s="269"/>
      <c r="AM36" s="269"/>
      <c r="AN36" s="269"/>
      <c r="AO36" s="269"/>
      <c r="AP36" s="269"/>
      <c r="AQ36" s="269"/>
      <c r="AR36" s="269"/>
      <c r="AS36" s="269"/>
      <c r="AT36" s="269"/>
      <c r="AU36" s="269"/>
      <c r="AV36" s="269"/>
      <c r="AW36" s="269"/>
      <c r="AX36" s="269"/>
      <c r="AY36" s="269"/>
      <c r="AZ36" s="269"/>
      <c r="BA36" s="269"/>
      <c r="BB36" s="269"/>
      <c r="BC36" s="269"/>
      <c r="BD36" s="269"/>
      <c r="BE36" s="269"/>
      <c r="BF36" s="269"/>
      <c r="BG36" s="269"/>
      <c r="BH36" s="269"/>
      <c r="BI36" s="269"/>
      <c r="BJ36" s="269"/>
      <c r="BK36" s="269"/>
      <c r="BL36" s="269"/>
      <c r="BM36" s="269"/>
      <c r="BN36" s="269"/>
      <c r="BO36" s="269"/>
      <c r="BP36" s="269"/>
      <c r="BQ36" s="269"/>
      <c r="BR36" s="269"/>
      <c r="BS36" s="269"/>
      <c r="BT36" s="269"/>
      <c r="BU36" s="269"/>
      <c r="BV36" s="269"/>
      <c r="BW36" s="269"/>
      <c r="BX36" s="269"/>
      <c r="BY36" s="269"/>
      <c r="BZ36" s="269"/>
      <c r="CA36" s="269"/>
      <c r="CB36" s="269"/>
      <c r="CC36" s="269"/>
      <c r="CD36" s="269"/>
      <c r="CE36" s="269"/>
      <c r="CF36" s="269"/>
      <c r="CG36" s="269"/>
      <c r="CH36" s="269"/>
      <c r="CI36" s="269"/>
      <c r="CJ36" s="269"/>
      <c r="CK36" s="269"/>
      <c r="CL36" s="269"/>
      <c r="CM36" s="269"/>
      <c r="CN36" s="269"/>
      <c r="CO36" s="269"/>
      <c r="CP36" s="269"/>
      <c r="CQ36" s="269"/>
      <c r="CR36" s="269"/>
      <c r="CS36" s="269"/>
      <c r="CT36" s="269"/>
      <c r="CU36" s="269"/>
      <c r="CV36" s="269"/>
      <c r="CW36" s="269"/>
      <c r="CX36" s="269"/>
      <c r="CY36" s="269"/>
      <c r="CZ36" s="269"/>
      <c r="DA36" s="269"/>
      <c r="DB36" s="269"/>
      <c r="DC36" s="269"/>
      <c r="DD36" s="269"/>
      <c r="DE36" s="269"/>
      <c r="DF36" s="269"/>
      <c r="DG36" s="269"/>
      <c r="DH36" s="269"/>
      <c r="DI36" s="269"/>
      <c r="DJ36" s="269"/>
      <c r="DK36" s="269"/>
      <c r="DL36" s="269"/>
      <c r="DM36" s="269"/>
      <c r="DN36" s="269"/>
      <c r="DO36" s="269"/>
      <c r="DP36" s="269"/>
      <c r="DQ36" s="269"/>
      <c r="DR36" s="269"/>
      <c r="DS36" s="269"/>
      <c r="DT36" s="269"/>
      <c r="DU36" s="269"/>
      <c r="DV36" s="269"/>
      <c r="DW36" s="269"/>
      <c r="DX36" s="269"/>
      <c r="DY36" s="269"/>
      <c r="DZ36" s="269"/>
      <c r="EA36" s="269"/>
      <c r="EB36" s="269"/>
      <c r="EC36" s="269"/>
      <c r="ED36" s="269"/>
      <c r="EE36" s="269"/>
      <c r="EF36" s="269"/>
      <c r="EG36" s="269"/>
      <c r="EH36" s="269"/>
      <c r="EI36" s="269"/>
      <c r="EJ36" s="269"/>
      <c r="EK36" s="269"/>
      <c r="EL36" s="269"/>
      <c r="EM36" s="269"/>
      <c r="EN36" s="269"/>
      <c r="EO36" s="269"/>
      <c r="EP36" s="269"/>
      <c r="EQ36" s="269"/>
      <c r="ER36" s="269"/>
      <c r="ES36" s="269"/>
      <c r="ET36" s="269"/>
      <c r="EU36" s="269"/>
      <c r="EV36" s="269"/>
      <c r="EW36" s="269"/>
      <c r="EX36" s="269"/>
      <c r="EY36" s="269"/>
      <c r="EZ36" s="269"/>
      <c r="FA36" s="269"/>
      <c r="FB36" s="269"/>
      <c r="FC36" s="269"/>
      <c r="FD36" s="269"/>
      <c r="FE36" s="269"/>
      <c r="FF36" s="269"/>
      <c r="FG36" s="269"/>
      <c r="FH36" s="269"/>
      <c r="FI36" s="269"/>
      <c r="FJ36" s="269"/>
      <c r="FK36" s="269"/>
      <c r="FL36" s="269"/>
      <c r="FM36" s="269"/>
      <c r="FN36" s="269"/>
      <c r="FO36" s="269"/>
      <c r="FP36" s="269"/>
      <c r="FQ36" s="269"/>
      <c r="FR36" s="269"/>
      <c r="FS36" s="269"/>
      <c r="FT36" s="269"/>
      <c r="FU36" s="269"/>
      <c r="FV36" s="269"/>
      <c r="FW36" s="269"/>
      <c r="FX36" s="269"/>
      <c r="FY36" s="269"/>
      <c r="FZ36" s="269"/>
      <c r="GA36" s="269"/>
      <c r="GB36" s="269"/>
      <c r="GC36" s="269"/>
      <c r="GD36" s="269"/>
      <c r="GE36" s="269"/>
      <c r="GF36" s="269"/>
      <c r="GG36" s="269"/>
      <c r="GH36" s="269"/>
      <c r="GI36" s="269"/>
      <c r="GJ36" s="269"/>
      <c r="GK36" s="269"/>
      <c r="GL36" s="269"/>
      <c r="GM36" s="269"/>
      <c r="GN36" s="269"/>
      <c r="GO36" s="269"/>
      <c r="GP36" s="269"/>
      <c r="GQ36" s="269"/>
      <c r="GR36" s="269"/>
      <c r="GS36" s="269"/>
      <c r="GT36" s="269"/>
      <c r="GU36" s="269"/>
      <c r="GV36" s="269"/>
      <c r="GW36" s="269"/>
      <c r="GX36" s="269"/>
      <c r="GY36" s="269"/>
      <c r="GZ36" s="269"/>
      <c r="HA36" s="269"/>
      <c r="HB36" s="269"/>
      <c r="HC36" s="269"/>
      <c r="HD36" s="269"/>
      <c r="HE36" s="269"/>
      <c r="HF36" s="269"/>
      <c r="HG36" s="269"/>
      <c r="HH36" s="269"/>
      <c r="HI36" s="269"/>
      <c r="HJ36" s="269"/>
      <c r="HK36" s="269"/>
      <c r="HL36" s="269"/>
      <c r="HM36" s="269"/>
      <c r="HN36" s="269"/>
      <c r="HO36" s="269"/>
      <c r="HP36" s="269"/>
      <c r="HQ36" s="269"/>
      <c r="HR36" s="269"/>
      <c r="HS36" s="269"/>
      <c r="HT36" s="269"/>
      <c r="HU36" s="269"/>
      <c r="HV36" s="269"/>
      <c r="HW36" s="269"/>
      <c r="HX36" s="269"/>
      <c r="HY36" s="269"/>
      <c r="HZ36" s="269"/>
      <c r="IA36" s="269"/>
      <c r="IB36" s="269"/>
      <c r="IC36" s="269"/>
      <c r="ID36" s="269"/>
      <c r="IE36" s="269"/>
      <c r="IF36" s="269"/>
      <c r="IG36" s="269"/>
      <c r="IH36" s="269"/>
      <c r="II36" s="269"/>
      <c r="IJ36" s="269"/>
      <c r="IK36" s="269"/>
      <c r="IL36" s="269"/>
      <c r="IM36" s="269"/>
      <c r="IN36" s="269"/>
      <c r="IO36" s="269"/>
      <c r="IP36" s="269"/>
      <c r="IQ36" s="269"/>
      <c r="IR36" s="269"/>
      <c r="IS36" s="269"/>
      <c r="IT36" s="269"/>
      <c r="IU36" s="269"/>
      <c r="IV36" s="269"/>
    </row>
    <row r="37" spans="1:256" s="122" customFormat="1" x14ac:dyDescent="0.25">
      <c r="A37" s="467" t="s">
        <v>22</v>
      </c>
      <c r="B37" s="468">
        <v>1</v>
      </c>
      <c r="C37" s="468">
        <v>1</v>
      </c>
      <c r="D37" s="469" t="s">
        <v>279</v>
      </c>
      <c r="E37" s="470" t="s">
        <v>280</v>
      </c>
      <c r="F37" s="468" t="s">
        <v>89</v>
      </c>
      <c r="G37" s="468">
        <v>1024</v>
      </c>
      <c r="H37" s="468" t="s">
        <v>23</v>
      </c>
      <c r="I37" s="468" t="s">
        <v>17</v>
      </c>
      <c r="J37" s="468" t="s">
        <v>286</v>
      </c>
      <c r="K37" s="471">
        <v>11</v>
      </c>
      <c r="L37" s="472" t="s">
        <v>79</v>
      </c>
      <c r="M37" s="469" t="s">
        <v>281</v>
      </c>
      <c r="N37" s="473"/>
      <c r="O37" s="473"/>
      <c r="P37" s="473"/>
      <c r="Q37" s="473"/>
      <c r="R37" s="473"/>
      <c r="S37" s="473"/>
      <c r="T37" s="473"/>
      <c r="U37" s="473"/>
      <c r="V37" s="473"/>
      <c r="W37" s="473"/>
      <c r="X37" s="473"/>
      <c r="Y37" s="473"/>
      <c r="Z37" s="473"/>
      <c r="AA37" s="473"/>
      <c r="AB37" s="473"/>
      <c r="AC37" s="473"/>
      <c r="AD37" s="473"/>
      <c r="AE37" s="473"/>
      <c r="AF37" s="473"/>
      <c r="AG37" s="473"/>
      <c r="AH37" s="473"/>
      <c r="AI37" s="473"/>
      <c r="AJ37" s="473"/>
      <c r="AK37" s="473"/>
      <c r="AL37" s="473"/>
      <c r="AM37" s="473"/>
      <c r="AN37" s="473"/>
      <c r="AO37" s="473"/>
      <c r="AP37" s="473"/>
      <c r="AQ37" s="473"/>
      <c r="AR37" s="473"/>
      <c r="AS37" s="473"/>
      <c r="AT37" s="473"/>
      <c r="AU37" s="473"/>
      <c r="AV37" s="473"/>
      <c r="AW37" s="473"/>
      <c r="AX37" s="473"/>
      <c r="AY37" s="473"/>
      <c r="AZ37" s="473"/>
      <c r="BA37" s="473"/>
      <c r="BB37" s="473"/>
      <c r="BC37" s="473"/>
      <c r="BD37" s="473"/>
      <c r="BE37" s="473"/>
      <c r="BF37" s="473"/>
      <c r="BG37" s="473"/>
      <c r="BH37" s="473"/>
      <c r="BI37" s="473"/>
      <c r="BJ37" s="473"/>
      <c r="BK37" s="473"/>
      <c r="BL37" s="473"/>
      <c r="BM37" s="473"/>
      <c r="BN37" s="473"/>
      <c r="BO37" s="473"/>
      <c r="BP37" s="473"/>
      <c r="BQ37" s="473"/>
      <c r="BR37" s="473"/>
      <c r="BS37" s="473"/>
      <c r="BT37" s="473"/>
      <c r="BU37" s="473"/>
      <c r="BV37" s="473"/>
      <c r="BW37" s="473"/>
      <c r="BX37" s="473"/>
      <c r="BY37" s="473"/>
      <c r="BZ37" s="473"/>
      <c r="CA37" s="473"/>
      <c r="CB37" s="473"/>
      <c r="CC37" s="473"/>
      <c r="CD37" s="473"/>
      <c r="CE37" s="473"/>
      <c r="CF37" s="473"/>
      <c r="CG37" s="473"/>
      <c r="CH37" s="473"/>
      <c r="CI37" s="473"/>
      <c r="CJ37" s="473"/>
      <c r="CK37" s="473"/>
      <c r="CL37" s="473"/>
      <c r="CM37" s="473"/>
      <c r="CN37" s="473"/>
      <c r="CO37" s="473"/>
      <c r="CP37" s="473"/>
      <c r="CQ37" s="473"/>
      <c r="CR37" s="473"/>
      <c r="CS37" s="473"/>
      <c r="CT37" s="473"/>
      <c r="CU37" s="473"/>
      <c r="CV37" s="473"/>
      <c r="CW37" s="473"/>
      <c r="CX37" s="473"/>
      <c r="CY37" s="473"/>
      <c r="CZ37" s="473"/>
      <c r="DA37" s="473"/>
      <c r="DB37" s="473"/>
      <c r="DC37" s="473"/>
      <c r="DD37" s="473"/>
      <c r="DE37" s="473"/>
      <c r="DF37" s="473"/>
      <c r="DG37" s="473"/>
      <c r="DH37" s="473"/>
      <c r="DI37" s="473"/>
      <c r="DJ37" s="473"/>
      <c r="DK37" s="473"/>
      <c r="DL37" s="473"/>
      <c r="DM37" s="473"/>
      <c r="DN37" s="473"/>
      <c r="DO37" s="473"/>
      <c r="DP37" s="473"/>
      <c r="DQ37" s="473"/>
      <c r="DR37" s="473"/>
      <c r="DS37" s="473"/>
      <c r="DT37" s="473"/>
      <c r="DU37" s="473"/>
      <c r="DV37" s="473"/>
      <c r="DW37" s="473"/>
      <c r="DX37" s="473"/>
      <c r="DY37" s="473"/>
      <c r="DZ37" s="473"/>
      <c r="EA37" s="473"/>
      <c r="EB37" s="473"/>
      <c r="EC37" s="473"/>
      <c r="ED37" s="473"/>
      <c r="EE37" s="473"/>
      <c r="EF37" s="473"/>
      <c r="EG37" s="473"/>
      <c r="EH37" s="473"/>
      <c r="EI37" s="473"/>
      <c r="EJ37" s="473"/>
      <c r="EK37" s="473"/>
      <c r="EL37" s="473"/>
      <c r="EM37" s="473"/>
      <c r="EN37" s="473"/>
      <c r="EO37" s="473"/>
      <c r="EP37" s="473"/>
      <c r="EQ37" s="473"/>
      <c r="ER37" s="473"/>
      <c r="ES37" s="473"/>
      <c r="ET37" s="473"/>
      <c r="EU37" s="473"/>
      <c r="EV37" s="473"/>
      <c r="EW37" s="473"/>
      <c r="EX37" s="473"/>
      <c r="EY37" s="473"/>
      <c r="EZ37" s="473"/>
      <c r="FA37" s="473"/>
      <c r="FB37" s="473"/>
      <c r="FC37" s="473"/>
      <c r="FD37" s="473"/>
      <c r="FE37" s="473"/>
      <c r="FF37" s="473"/>
      <c r="FG37" s="473"/>
      <c r="FH37" s="473"/>
      <c r="FI37" s="473"/>
      <c r="FJ37" s="473"/>
      <c r="FK37" s="473"/>
      <c r="FL37" s="473"/>
      <c r="FM37" s="473"/>
      <c r="FN37" s="473"/>
      <c r="FO37" s="473"/>
      <c r="FP37" s="473"/>
      <c r="FQ37" s="473"/>
      <c r="FR37" s="473"/>
      <c r="FS37" s="473"/>
      <c r="FT37" s="473"/>
      <c r="FU37" s="473"/>
      <c r="FV37" s="473"/>
      <c r="FW37" s="473"/>
      <c r="FX37" s="473"/>
      <c r="FY37" s="473"/>
      <c r="FZ37" s="473"/>
      <c r="GA37" s="473"/>
      <c r="GB37" s="473"/>
      <c r="GC37" s="473"/>
      <c r="GD37" s="473"/>
      <c r="GE37" s="473"/>
      <c r="GF37" s="473"/>
      <c r="GG37" s="473"/>
      <c r="GH37" s="473"/>
      <c r="GI37" s="473"/>
      <c r="GJ37" s="473"/>
      <c r="GK37" s="473"/>
      <c r="GL37" s="473"/>
      <c r="GM37" s="473"/>
      <c r="GN37" s="473"/>
      <c r="GO37" s="473"/>
      <c r="GP37" s="473"/>
      <c r="GQ37" s="473"/>
      <c r="GR37" s="473"/>
      <c r="GS37" s="473"/>
      <c r="GT37" s="473"/>
      <c r="GU37" s="473"/>
      <c r="GV37" s="473"/>
      <c r="GW37" s="473"/>
      <c r="GX37" s="473"/>
      <c r="GY37" s="473"/>
      <c r="GZ37" s="473"/>
      <c r="HA37" s="473"/>
      <c r="HB37" s="473"/>
      <c r="HC37" s="473"/>
      <c r="HD37" s="473"/>
      <c r="HE37" s="473"/>
      <c r="HF37" s="473"/>
      <c r="HG37" s="473"/>
      <c r="HH37" s="473"/>
      <c r="HI37" s="473"/>
      <c r="HJ37" s="473"/>
      <c r="HK37" s="473"/>
      <c r="HL37" s="473"/>
      <c r="HM37" s="473"/>
      <c r="HN37" s="473"/>
      <c r="HO37" s="473"/>
      <c r="HP37" s="473"/>
      <c r="HQ37" s="473"/>
      <c r="HR37" s="473"/>
      <c r="HS37" s="473"/>
      <c r="HT37" s="473"/>
      <c r="HU37" s="473"/>
      <c r="HV37" s="473"/>
      <c r="HW37" s="473"/>
      <c r="HX37" s="473"/>
      <c r="HY37" s="473"/>
      <c r="HZ37" s="473"/>
      <c r="IA37" s="473"/>
      <c r="IB37" s="473"/>
      <c r="IC37" s="473"/>
      <c r="ID37" s="473"/>
      <c r="IE37" s="473"/>
      <c r="IF37" s="473"/>
      <c r="IG37" s="473"/>
      <c r="IH37" s="473"/>
      <c r="II37" s="473"/>
      <c r="IJ37" s="473"/>
      <c r="IK37" s="473"/>
      <c r="IL37" s="473"/>
      <c r="IM37" s="473"/>
      <c r="IN37" s="473"/>
      <c r="IO37" s="473"/>
      <c r="IP37" s="473"/>
      <c r="IQ37" s="473"/>
      <c r="IR37" s="473"/>
      <c r="IS37" s="473"/>
      <c r="IT37" s="473"/>
      <c r="IU37" s="473"/>
      <c r="IV37" s="473"/>
    </row>
    <row r="38" spans="1:256" s="474" customFormat="1" x14ac:dyDescent="0.25">
      <c r="A38" s="509" t="s">
        <v>22</v>
      </c>
      <c r="B38" s="506">
        <v>1</v>
      </c>
      <c r="C38" s="506">
        <v>1</v>
      </c>
      <c r="D38" s="507" t="s">
        <v>668</v>
      </c>
      <c r="E38" s="508" t="s">
        <v>669</v>
      </c>
      <c r="F38" s="506" t="s">
        <v>89</v>
      </c>
      <c r="G38" s="506">
        <v>1024</v>
      </c>
      <c r="H38" s="506" t="s">
        <v>23</v>
      </c>
      <c r="I38" s="505" t="s">
        <v>17</v>
      </c>
      <c r="J38" s="506" t="s">
        <v>635</v>
      </c>
      <c r="K38" s="510">
        <v>100</v>
      </c>
      <c r="L38" s="505" t="s">
        <v>180</v>
      </c>
      <c r="M38" s="507" t="s">
        <v>670</v>
      </c>
      <c r="N38" s="511"/>
      <c r="O38" s="511"/>
      <c r="P38" s="511"/>
      <c r="Q38" s="511"/>
      <c r="R38" s="511"/>
      <c r="S38" s="511"/>
      <c r="T38" s="511"/>
      <c r="U38" s="511"/>
      <c r="V38" s="511"/>
      <c r="W38" s="511"/>
      <c r="X38" s="511"/>
      <c r="Y38" s="511"/>
      <c r="Z38" s="511"/>
      <c r="AA38" s="511"/>
      <c r="AB38" s="511"/>
      <c r="AC38" s="511"/>
      <c r="AD38" s="511"/>
      <c r="AE38" s="511"/>
      <c r="AF38" s="511"/>
      <c r="AG38" s="511"/>
      <c r="AH38" s="511"/>
      <c r="AI38" s="511"/>
      <c r="AJ38" s="511"/>
      <c r="AK38" s="511"/>
      <c r="AL38" s="511"/>
      <c r="AM38" s="511"/>
      <c r="AN38" s="511"/>
      <c r="AO38" s="511"/>
      <c r="AP38" s="511"/>
      <c r="AQ38" s="511"/>
      <c r="AR38" s="511"/>
      <c r="AS38" s="511"/>
      <c r="AT38" s="511"/>
      <c r="AU38" s="511"/>
      <c r="AV38" s="511"/>
      <c r="AW38" s="511"/>
      <c r="AX38" s="511"/>
      <c r="AY38" s="511"/>
      <c r="AZ38" s="511"/>
      <c r="BA38" s="511"/>
      <c r="BB38" s="511"/>
      <c r="BC38" s="511"/>
      <c r="BD38" s="511"/>
      <c r="BE38" s="511"/>
      <c r="BF38" s="511"/>
      <c r="BG38" s="511"/>
      <c r="BH38" s="511"/>
      <c r="BI38" s="511"/>
      <c r="BJ38" s="511"/>
      <c r="BK38" s="511"/>
      <c r="BL38" s="511"/>
      <c r="BM38" s="511"/>
      <c r="BN38" s="511"/>
      <c r="BO38" s="511"/>
      <c r="BP38" s="511"/>
      <c r="BQ38" s="511"/>
      <c r="BR38" s="511"/>
      <c r="BS38" s="511"/>
      <c r="BT38" s="511"/>
      <c r="BU38" s="511"/>
      <c r="BV38" s="511"/>
      <c r="BW38" s="511"/>
      <c r="BX38" s="511"/>
      <c r="BY38" s="511"/>
      <c r="BZ38" s="511"/>
      <c r="CA38" s="511"/>
      <c r="CB38" s="511"/>
      <c r="CC38" s="511"/>
      <c r="CD38" s="511"/>
      <c r="CE38" s="511"/>
      <c r="CF38" s="511"/>
      <c r="CG38" s="511"/>
      <c r="CH38" s="511"/>
      <c r="CI38" s="511"/>
      <c r="CJ38" s="511"/>
      <c r="CK38" s="511"/>
      <c r="CL38" s="511"/>
      <c r="CM38" s="511"/>
      <c r="CN38" s="511"/>
      <c r="CO38" s="511"/>
      <c r="CP38" s="511"/>
      <c r="CQ38" s="511"/>
      <c r="CR38" s="511"/>
      <c r="CS38" s="511"/>
      <c r="CT38" s="511"/>
      <c r="CU38" s="511"/>
      <c r="CV38" s="511"/>
      <c r="CW38" s="511"/>
      <c r="CX38" s="511"/>
      <c r="CY38" s="511"/>
      <c r="CZ38" s="511"/>
      <c r="DA38" s="511"/>
      <c r="DB38" s="511"/>
      <c r="DC38" s="511"/>
      <c r="DD38" s="511"/>
      <c r="DE38" s="511"/>
      <c r="DF38" s="511"/>
      <c r="DG38" s="511"/>
      <c r="DH38" s="511"/>
      <c r="DI38" s="511"/>
      <c r="DJ38" s="511"/>
      <c r="DK38" s="511"/>
      <c r="DL38" s="511"/>
      <c r="DM38" s="511"/>
      <c r="DN38" s="511"/>
      <c r="DO38" s="511"/>
      <c r="DP38" s="511"/>
      <c r="DQ38" s="511"/>
      <c r="DR38" s="511"/>
      <c r="DS38" s="511"/>
      <c r="DT38" s="511"/>
      <c r="DU38" s="511"/>
      <c r="DV38" s="511"/>
      <c r="DW38" s="511"/>
      <c r="DX38" s="511"/>
      <c r="DY38" s="511"/>
      <c r="DZ38" s="511"/>
      <c r="EA38" s="511"/>
      <c r="EB38" s="511"/>
      <c r="EC38" s="511"/>
      <c r="ED38" s="511"/>
      <c r="EE38" s="511"/>
      <c r="EF38" s="511"/>
      <c r="EG38" s="511"/>
      <c r="EH38" s="511"/>
      <c r="EI38" s="511"/>
      <c r="EJ38" s="511"/>
      <c r="EK38" s="511"/>
      <c r="EL38" s="511"/>
      <c r="EM38" s="511"/>
      <c r="EN38" s="511"/>
      <c r="EO38" s="511"/>
      <c r="EP38" s="511"/>
      <c r="EQ38" s="511"/>
      <c r="ER38" s="511"/>
      <c r="ES38" s="511"/>
      <c r="ET38" s="511"/>
      <c r="EU38" s="511"/>
      <c r="EV38" s="511"/>
      <c r="EW38" s="511"/>
      <c r="EX38" s="511"/>
      <c r="EY38" s="511"/>
      <c r="EZ38" s="511"/>
      <c r="FA38" s="511"/>
      <c r="FB38" s="511"/>
      <c r="FC38" s="511"/>
      <c r="FD38" s="511"/>
      <c r="FE38" s="511"/>
      <c r="FF38" s="511"/>
      <c r="FG38" s="511"/>
      <c r="FH38" s="511"/>
      <c r="FI38" s="511"/>
      <c r="FJ38" s="511"/>
      <c r="FK38" s="511"/>
      <c r="FL38" s="511"/>
      <c r="FM38" s="511"/>
      <c r="FN38" s="511"/>
      <c r="FO38" s="511"/>
      <c r="FP38" s="511"/>
      <c r="FQ38" s="511"/>
      <c r="FR38" s="511"/>
      <c r="FS38" s="511"/>
      <c r="FT38" s="511"/>
      <c r="FU38" s="511"/>
      <c r="FV38" s="511"/>
      <c r="FW38" s="511"/>
      <c r="FX38" s="511"/>
      <c r="FY38" s="511"/>
      <c r="FZ38" s="511"/>
      <c r="GA38" s="511"/>
      <c r="GB38" s="511"/>
      <c r="GC38" s="511"/>
      <c r="GD38" s="511"/>
      <c r="GE38" s="511"/>
      <c r="GF38" s="511"/>
      <c r="GG38" s="511"/>
      <c r="GH38" s="511"/>
      <c r="GI38" s="511"/>
      <c r="GJ38" s="511"/>
      <c r="GK38" s="511"/>
      <c r="GL38" s="511"/>
      <c r="GM38" s="511"/>
      <c r="GN38" s="511"/>
      <c r="GO38" s="511"/>
      <c r="GP38" s="511"/>
      <c r="GQ38" s="511"/>
      <c r="GR38" s="511"/>
      <c r="GS38" s="511"/>
      <c r="GT38" s="511"/>
      <c r="GU38" s="511"/>
      <c r="GV38" s="511"/>
      <c r="GW38" s="511"/>
      <c r="GX38" s="511"/>
      <c r="GY38" s="511"/>
      <c r="GZ38" s="511"/>
      <c r="HA38" s="511"/>
      <c r="HB38" s="511"/>
      <c r="HC38" s="511"/>
      <c r="HD38" s="511"/>
      <c r="HE38" s="511"/>
      <c r="HF38" s="511"/>
      <c r="HG38" s="511"/>
      <c r="HH38" s="511"/>
      <c r="HI38" s="511"/>
      <c r="HJ38" s="511"/>
      <c r="HK38" s="511"/>
      <c r="HL38" s="511"/>
      <c r="HM38" s="511"/>
      <c r="HN38" s="511"/>
      <c r="HO38" s="511"/>
      <c r="HP38" s="511"/>
      <c r="HQ38" s="511"/>
      <c r="HR38" s="511"/>
      <c r="HS38" s="511"/>
      <c r="HT38" s="511"/>
      <c r="HU38" s="511"/>
      <c r="HV38" s="511"/>
      <c r="HW38" s="511"/>
      <c r="HX38" s="511"/>
      <c r="HY38" s="511"/>
      <c r="HZ38" s="511"/>
      <c r="IA38" s="511"/>
      <c r="IB38" s="511"/>
      <c r="IC38" s="511"/>
      <c r="ID38" s="511"/>
      <c r="IE38" s="511"/>
      <c r="IF38" s="511"/>
      <c r="IG38" s="511"/>
      <c r="IH38" s="511"/>
      <c r="II38" s="511"/>
      <c r="IJ38" s="511"/>
      <c r="IK38" s="511"/>
      <c r="IL38" s="511"/>
      <c r="IM38" s="511"/>
      <c r="IN38" s="511"/>
      <c r="IO38" s="511"/>
      <c r="IP38" s="511"/>
      <c r="IQ38" s="511"/>
      <c r="IR38" s="511"/>
      <c r="IS38" s="511"/>
      <c r="IT38" s="511"/>
      <c r="IU38" s="511"/>
      <c r="IV38" s="511"/>
    </row>
    <row r="39" spans="1:256" s="474" customFormat="1" x14ac:dyDescent="0.25">
      <c r="A39" s="509" t="s">
        <v>22</v>
      </c>
      <c r="B39" s="506">
        <v>1</v>
      </c>
      <c r="C39" s="506">
        <v>1</v>
      </c>
      <c r="D39" s="507" t="s">
        <v>671</v>
      </c>
      <c r="E39" s="508" t="s">
        <v>672</v>
      </c>
      <c r="F39" s="506" t="s">
        <v>89</v>
      </c>
      <c r="G39" s="506">
        <v>1024</v>
      </c>
      <c r="H39" s="506" t="s">
        <v>23</v>
      </c>
      <c r="I39" s="513" t="s">
        <v>17</v>
      </c>
      <c r="J39" s="506" t="s">
        <v>635</v>
      </c>
      <c r="K39" s="510">
        <v>90</v>
      </c>
      <c r="L39" s="505" t="s">
        <v>180</v>
      </c>
      <c r="M39" s="507" t="s">
        <v>673</v>
      </c>
      <c r="N39" s="511"/>
      <c r="O39" s="511"/>
      <c r="P39" s="511"/>
      <c r="Q39" s="511"/>
      <c r="R39" s="511"/>
      <c r="S39" s="511"/>
      <c r="T39" s="511"/>
      <c r="U39" s="511"/>
      <c r="V39" s="511"/>
      <c r="W39" s="511"/>
      <c r="X39" s="511"/>
      <c r="Y39" s="511"/>
      <c r="Z39" s="511"/>
      <c r="AA39" s="511"/>
      <c r="AB39" s="511"/>
      <c r="AC39" s="511"/>
      <c r="AD39" s="511"/>
      <c r="AE39" s="511"/>
      <c r="AF39" s="511"/>
      <c r="AG39" s="511"/>
      <c r="AH39" s="511"/>
      <c r="AI39" s="511"/>
      <c r="AJ39" s="511"/>
      <c r="AK39" s="511"/>
      <c r="AL39" s="511"/>
      <c r="AM39" s="511"/>
      <c r="AN39" s="511"/>
      <c r="AO39" s="511"/>
      <c r="AP39" s="511"/>
      <c r="AQ39" s="511"/>
      <c r="AR39" s="511"/>
      <c r="AS39" s="511"/>
      <c r="AT39" s="511"/>
      <c r="AU39" s="511"/>
      <c r="AV39" s="511"/>
      <c r="AW39" s="511"/>
      <c r="AX39" s="511"/>
      <c r="AY39" s="511"/>
      <c r="AZ39" s="511"/>
      <c r="BA39" s="511"/>
      <c r="BB39" s="511"/>
      <c r="BC39" s="511"/>
      <c r="BD39" s="511"/>
      <c r="BE39" s="511"/>
      <c r="BF39" s="511"/>
      <c r="BG39" s="511"/>
      <c r="BH39" s="511"/>
      <c r="BI39" s="511"/>
      <c r="BJ39" s="511"/>
      <c r="BK39" s="511"/>
      <c r="BL39" s="511"/>
      <c r="BM39" s="511"/>
      <c r="BN39" s="511"/>
      <c r="BO39" s="511"/>
      <c r="BP39" s="511"/>
      <c r="BQ39" s="511"/>
      <c r="BR39" s="511"/>
      <c r="BS39" s="511"/>
      <c r="BT39" s="511"/>
      <c r="BU39" s="511"/>
      <c r="BV39" s="511"/>
      <c r="BW39" s="511"/>
      <c r="BX39" s="511"/>
      <c r="BY39" s="511"/>
      <c r="BZ39" s="511"/>
      <c r="CA39" s="511"/>
      <c r="CB39" s="511"/>
      <c r="CC39" s="511"/>
      <c r="CD39" s="511"/>
      <c r="CE39" s="511"/>
      <c r="CF39" s="511"/>
      <c r="CG39" s="511"/>
      <c r="CH39" s="511"/>
      <c r="CI39" s="511"/>
      <c r="CJ39" s="511"/>
      <c r="CK39" s="511"/>
      <c r="CL39" s="511"/>
      <c r="CM39" s="511"/>
      <c r="CN39" s="511"/>
      <c r="CO39" s="511"/>
      <c r="CP39" s="511"/>
      <c r="CQ39" s="511"/>
      <c r="CR39" s="511"/>
      <c r="CS39" s="511"/>
      <c r="CT39" s="511"/>
      <c r="CU39" s="511"/>
      <c r="CV39" s="511"/>
      <c r="CW39" s="511"/>
      <c r="CX39" s="511"/>
      <c r="CY39" s="511"/>
      <c r="CZ39" s="511"/>
      <c r="DA39" s="511"/>
      <c r="DB39" s="511"/>
      <c r="DC39" s="511"/>
      <c r="DD39" s="511"/>
      <c r="DE39" s="511"/>
      <c r="DF39" s="511"/>
      <c r="DG39" s="511"/>
      <c r="DH39" s="511"/>
      <c r="DI39" s="511"/>
      <c r="DJ39" s="511"/>
      <c r="DK39" s="511"/>
      <c r="DL39" s="511"/>
      <c r="DM39" s="511"/>
      <c r="DN39" s="511"/>
      <c r="DO39" s="511"/>
      <c r="DP39" s="511"/>
      <c r="DQ39" s="511"/>
      <c r="DR39" s="511"/>
      <c r="DS39" s="511"/>
      <c r="DT39" s="511"/>
      <c r="DU39" s="511"/>
      <c r="DV39" s="511"/>
      <c r="DW39" s="511"/>
      <c r="DX39" s="511"/>
      <c r="DY39" s="511"/>
      <c r="DZ39" s="511"/>
      <c r="EA39" s="511"/>
      <c r="EB39" s="511"/>
      <c r="EC39" s="511"/>
      <c r="ED39" s="511"/>
      <c r="EE39" s="511"/>
      <c r="EF39" s="511"/>
      <c r="EG39" s="511"/>
      <c r="EH39" s="511"/>
      <c r="EI39" s="511"/>
      <c r="EJ39" s="511"/>
      <c r="EK39" s="511"/>
      <c r="EL39" s="511"/>
      <c r="EM39" s="511"/>
      <c r="EN39" s="511"/>
      <c r="EO39" s="511"/>
      <c r="EP39" s="511"/>
      <c r="EQ39" s="511"/>
      <c r="ER39" s="511"/>
      <c r="ES39" s="511"/>
      <c r="ET39" s="511"/>
      <c r="EU39" s="511"/>
      <c r="EV39" s="511"/>
      <c r="EW39" s="511"/>
      <c r="EX39" s="511"/>
      <c r="EY39" s="511"/>
      <c r="EZ39" s="511"/>
      <c r="FA39" s="511"/>
      <c r="FB39" s="511"/>
      <c r="FC39" s="511"/>
      <c r="FD39" s="511"/>
      <c r="FE39" s="511"/>
      <c r="FF39" s="511"/>
      <c r="FG39" s="511"/>
      <c r="FH39" s="511"/>
      <c r="FI39" s="511"/>
      <c r="FJ39" s="511"/>
      <c r="FK39" s="511"/>
      <c r="FL39" s="511"/>
      <c r="FM39" s="511"/>
      <c r="FN39" s="511"/>
      <c r="FO39" s="511"/>
      <c r="FP39" s="511"/>
      <c r="FQ39" s="511"/>
      <c r="FR39" s="511"/>
      <c r="FS39" s="511"/>
      <c r="FT39" s="511"/>
      <c r="FU39" s="511"/>
      <c r="FV39" s="511"/>
      <c r="FW39" s="511"/>
      <c r="FX39" s="511"/>
      <c r="FY39" s="511"/>
      <c r="FZ39" s="511"/>
      <c r="GA39" s="511"/>
      <c r="GB39" s="511"/>
      <c r="GC39" s="511"/>
      <c r="GD39" s="511"/>
      <c r="GE39" s="511"/>
      <c r="GF39" s="511"/>
      <c r="GG39" s="511"/>
      <c r="GH39" s="511"/>
      <c r="GI39" s="511"/>
      <c r="GJ39" s="511"/>
      <c r="GK39" s="511"/>
      <c r="GL39" s="511"/>
      <c r="GM39" s="511"/>
      <c r="GN39" s="511"/>
      <c r="GO39" s="511"/>
      <c r="GP39" s="511"/>
      <c r="GQ39" s="511"/>
      <c r="GR39" s="511"/>
      <c r="GS39" s="511"/>
      <c r="GT39" s="511"/>
      <c r="GU39" s="511"/>
      <c r="GV39" s="511"/>
      <c r="GW39" s="511"/>
      <c r="GX39" s="511"/>
      <c r="GY39" s="511"/>
      <c r="GZ39" s="511"/>
      <c r="HA39" s="511"/>
      <c r="HB39" s="511"/>
      <c r="HC39" s="511"/>
      <c r="HD39" s="511"/>
      <c r="HE39" s="511"/>
      <c r="HF39" s="511"/>
      <c r="HG39" s="511"/>
      <c r="HH39" s="511"/>
      <c r="HI39" s="511"/>
      <c r="HJ39" s="511"/>
      <c r="HK39" s="511"/>
      <c r="HL39" s="511"/>
      <c r="HM39" s="511"/>
      <c r="HN39" s="511"/>
      <c r="HO39" s="511"/>
      <c r="HP39" s="511"/>
      <c r="HQ39" s="511"/>
      <c r="HR39" s="511"/>
      <c r="HS39" s="511"/>
      <c r="HT39" s="511"/>
      <c r="HU39" s="511"/>
      <c r="HV39" s="511"/>
      <c r="HW39" s="511"/>
      <c r="HX39" s="511"/>
      <c r="HY39" s="511"/>
      <c r="HZ39" s="511"/>
      <c r="IA39" s="511"/>
      <c r="IB39" s="511"/>
      <c r="IC39" s="511"/>
      <c r="ID39" s="511"/>
      <c r="IE39" s="511"/>
      <c r="IF39" s="511"/>
      <c r="IG39" s="511"/>
      <c r="IH39" s="511"/>
      <c r="II39" s="511"/>
      <c r="IJ39" s="511"/>
      <c r="IK39" s="511"/>
      <c r="IL39" s="511"/>
      <c r="IM39" s="511"/>
      <c r="IN39" s="511"/>
      <c r="IO39" s="511"/>
      <c r="IP39" s="511"/>
      <c r="IQ39" s="511"/>
      <c r="IR39" s="511"/>
      <c r="IS39" s="511"/>
      <c r="IT39" s="511"/>
      <c r="IU39" s="511"/>
      <c r="IV39" s="511"/>
    </row>
    <row r="40" spans="1:256" s="474" customFormat="1" x14ac:dyDescent="0.25">
      <c r="A40" s="509" t="s">
        <v>22</v>
      </c>
      <c r="B40" s="506">
        <v>1</v>
      </c>
      <c r="C40" s="506">
        <v>1</v>
      </c>
      <c r="D40" s="508" t="s">
        <v>674</v>
      </c>
      <c r="E40" s="508" t="s">
        <v>675</v>
      </c>
      <c r="F40" s="506" t="s">
        <v>89</v>
      </c>
      <c r="G40" s="506">
        <v>1024</v>
      </c>
      <c r="H40" s="506" t="s">
        <v>23</v>
      </c>
      <c r="I40" s="513" t="s">
        <v>17</v>
      </c>
      <c r="J40" s="506" t="s">
        <v>635</v>
      </c>
      <c r="K40" s="510">
        <v>10</v>
      </c>
      <c r="L40" s="505" t="s">
        <v>180</v>
      </c>
      <c r="M40" s="508" t="s">
        <v>676</v>
      </c>
      <c r="N40" s="508"/>
      <c r="O40" s="508"/>
      <c r="P40" s="508"/>
      <c r="Q40" s="508"/>
      <c r="R40" s="508"/>
      <c r="S40" s="508"/>
      <c r="T40" s="508"/>
      <c r="U40" s="508"/>
      <c r="V40" s="508"/>
      <c r="W40" s="508"/>
      <c r="X40" s="508"/>
      <c r="Y40" s="508"/>
      <c r="Z40" s="508"/>
      <c r="AA40" s="508"/>
      <c r="AB40" s="508"/>
      <c r="AC40" s="508"/>
      <c r="AD40" s="508"/>
      <c r="AE40" s="508"/>
      <c r="AF40" s="508"/>
      <c r="AG40" s="508"/>
      <c r="AH40" s="508"/>
      <c r="AI40" s="508"/>
      <c r="AJ40" s="508"/>
      <c r="AK40" s="508"/>
      <c r="AL40" s="508"/>
      <c r="AM40" s="508"/>
      <c r="AN40" s="508"/>
      <c r="AO40" s="508"/>
      <c r="AP40" s="508"/>
      <c r="AQ40" s="508"/>
      <c r="AR40" s="508"/>
      <c r="AS40" s="508"/>
      <c r="AT40" s="508"/>
      <c r="AU40" s="508"/>
      <c r="AV40" s="508"/>
      <c r="AW40" s="508"/>
      <c r="AX40" s="508"/>
      <c r="AY40" s="508"/>
      <c r="AZ40" s="508"/>
      <c r="BA40" s="508"/>
      <c r="BB40" s="508"/>
      <c r="BC40" s="508"/>
      <c r="BD40" s="508"/>
      <c r="BE40" s="508"/>
      <c r="BF40" s="508"/>
      <c r="BG40" s="508"/>
      <c r="BH40" s="508"/>
      <c r="BI40" s="508"/>
      <c r="BJ40" s="508"/>
      <c r="BK40" s="508"/>
      <c r="BL40" s="508"/>
      <c r="BM40" s="508"/>
      <c r="BN40" s="508"/>
      <c r="BO40" s="508"/>
      <c r="BP40" s="508"/>
      <c r="BQ40" s="508"/>
      <c r="BR40" s="508"/>
      <c r="BS40" s="508"/>
      <c r="BT40" s="508"/>
      <c r="BU40" s="508"/>
      <c r="BV40" s="508"/>
      <c r="BW40" s="508"/>
      <c r="BX40" s="508"/>
      <c r="BY40" s="508"/>
      <c r="BZ40" s="508"/>
      <c r="CA40" s="508"/>
      <c r="CB40" s="508"/>
      <c r="CC40" s="508"/>
      <c r="CD40" s="508"/>
      <c r="CE40" s="508"/>
      <c r="CF40" s="508"/>
      <c r="CG40" s="508"/>
      <c r="CH40" s="508"/>
      <c r="CI40" s="508"/>
      <c r="CJ40" s="508"/>
      <c r="CK40" s="508"/>
      <c r="CL40" s="508"/>
      <c r="CM40" s="508"/>
      <c r="CN40" s="508"/>
      <c r="CO40" s="508"/>
      <c r="CP40" s="508"/>
      <c r="CQ40" s="508"/>
      <c r="CR40" s="508"/>
      <c r="CS40" s="508"/>
      <c r="CT40" s="508"/>
      <c r="CU40" s="508"/>
      <c r="CV40" s="508"/>
      <c r="CW40" s="508"/>
      <c r="CX40" s="508"/>
      <c r="CY40" s="508"/>
      <c r="CZ40" s="508"/>
      <c r="DA40" s="508"/>
      <c r="DB40" s="508"/>
      <c r="DC40" s="508"/>
      <c r="DD40" s="508"/>
      <c r="DE40" s="508"/>
      <c r="DF40" s="508"/>
      <c r="DG40" s="508"/>
      <c r="DH40" s="508"/>
      <c r="DI40" s="508"/>
      <c r="DJ40" s="508"/>
      <c r="DK40" s="508"/>
      <c r="DL40" s="508"/>
      <c r="DM40" s="508"/>
      <c r="DN40" s="508"/>
      <c r="DO40" s="508"/>
      <c r="DP40" s="508"/>
      <c r="DQ40" s="508"/>
      <c r="DR40" s="508"/>
      <c r="DS40" s="508"/>
      <c r="DT40" s="508"/>
      <c r="DU40" s="508"/>
      <c r="DV40" s="508"/>
      <c r="DW40" s="508"/>
      <c r="DX40" s="508"/>
      <c r="DY40" s="508"/>
      <c r="DZ40" s="508"/>
      <c r="EA40" s="508"/>
      <c r="EB40" s="508"/>
      <c r="EC40" s="508"/>
      <c r="ED40" s="508"/>
      <c r="EE40" s="508"/>
      <c r="EF40" s="508"/>
      <c r="EG40" s="508"/>
      <c r="EH40" s="508"/>
      <c r="EI40" s="508"/>
      <c r="EJ40" s="508"/>
      <c r="EK40" s="508"/>
      <c r="EL40" s="508"/>
      <c r="EM40" s="508"/>
      <c r="EN40" s="508"/>
      <c r="EO40" s="508"/>
      <c r="EP40" s="508"/>
      <c r="EQ40" s="508"/>
      <c r="ER40" s="508"/>
      <c r="ES40" s="508"/>
      <c r="ET40" s="508"/>
      <c r="EU40" s="508"/>
      <c r="EV40" s="508"/>
      <c r="EW40" s="508"/>
      <c r="EX40" s="508"/>
      <c r="EY40" s="508"/>
      <c r="EZ40" s="508"/>
      <c r="FA40" s="508"/>
      <c r="FB40" s="508"/>
      <c r="FC40" s="508"/>
      <c r="FD40" s="508"/>
      <c r="FE40" s="508"/>
      <c r="FF40" s="508"/>
      <c r="FG40" s="508"/>
      <c r="FH40" s="508"/>
      <c r="FI40" s="508"/>
      <c r="FJ40" s="508"/>
      <c r="FK40" s="508"/>
      <c r="FL40" s="508"/>
      <c r="FM40" s="508"/>
      <c r="FN40" s="508"/>
      <c r="FO40" s="508"/>
      <c r="FP40" s="508"/>
      <c r="FQ40" s="508"/>
      <c r="FR40" s="508"/>
      <c r="FS40" s="508"/>
      <c r="FT40" s="508"/>
      <c r="FU40" s="508"/>
      <c r="FV40" s="508"/>
      <c r="FW40" s="508"/>
      <c r="FX40" s="508"/>
      <c r="FY40" s="508"/>
      <c r="FZ40" s="508"/>
      <c r="GA40" s="508"/>
      <c r="GB40" s="508"/>
      <c r="GC40" s="508"/>
      <c r="GD40" s="508"/>
      <c r="GE40" s="508"/>
      <c r="GF40" s="508"/>
      <c r="GG40" s="508"/>
      <c r="GH40" s="508"/>
      <c r="GI40" s="508"/>
      <c r="GJ40" s="508"/>
      <c r="GK40" s="508"/>
      <c r="GL40" s="508"/>
      <c r="GM40" s="508"/>
      <c r="GN40" s="508"/>
      <c r="GO40" s="508"/>
      <c r="GP40" s="508"/>
      <c r="GQ40" s="508"/>
      <c r="GR40" s="508"/>
      <c r="GS40" s="508"/>
      <c r="GT40" s="508"/>
      <c r="GU40" s="508"/>
      <c r="GV40" s="508"/>
      <c r="GW40" s="508"/>
      <c r="GX40" s="508"/>
      <c r="GY40" s="508"/>
      <c r="GZ40" s="508"/>
      <c r="HA40" s="508"/>
      <c r="HB40" s="508"/>
      <c r="HC40" s="508"/>
      <c r="HD40" s="508"/>
      <c r="HE40" s="508"/>
      <c r="HF40" s="508"/>
      <c r="HG40" s="508"/>
      <c r="HH40" s="508"/>
      <c r="HI40" s="508"/>
      <c r="HJ40" s="508"/>
      <c r="HK40" s="508"/>
      <c r="HL40" s="508"/>
      <c r="HM40" s="508"/>
      <c r="HN40" s="508"/>
      <c r="HO40" s="508"/>
      <c r="HP40" s="508"/>
      <c r="HQ40" s="508"/>
      <c r="HR40" s="508"/>
      <c r="HS40" s="508"/>
      <c r="HT40" s="508"/>
      <c r="HU40" s="508"/>
      <c r="HV40" s="508"/>
      <c r="HW40" s="508"/>
      <c r="HX40" s="508"/>
      <c r="HY40" s="508"/>
      <c r="HZ40" s="508"/>
      <c r="IA40" s="508"/>
      <c r="IB40" s="508"/>
      <c r="IC40" s="508"/>
      <c r="ID40" s="508"/>
      <c r="IE40" s="508"/>
      <c r="IF40" s="508"/>
      <c r="IG40" s="508"/>
      <c r="IH40" s="508"/>
      <c r="II40" s="508"/>
      <c r="IJ40" s="508"/>
      <c r="IK40" s="508"/>
      <c r="IL40" s="508"/>
      <c r="IM40" s="508"/>
      <c r="IN40" s="508"/>
      <c r="IO40" s="508"/>
      <c r="IP40" s="508"/>
      <c r="IQ40" s="508"/>
      <c r="IR40" s="508"/>
      <c r="IS40" s="508"/>
      <c r="IT40" s="508"/>
      <c r="IU40" s="508"/>
      <c r="IV40" s="508"/>
    </row>
    <row r="41" spans="1:256" s="474" customFormat="1" x14ac:dyDescent="0.25">
      <c r="A41" s="509" t="s">
        <v>22</v>
      </c>
      <c r="B41" s="506">
        <v>1</v>
      </c>
      <c r="C41" s="506">
        <v>1</v>
      </c>
      <c r="D41" s="508" t="s">
        <v>677</v>
      </c>
      <c r="E41" s="508" t="s">
        <v>678</v>
      </c>
      <c r="F41" s="506" t="s">
        <v>89</v>
      </c>
      <c r="G41" s="506">
        <v>1024</v>
      </c>
      <c r="H41" s="506" t="s">
        <v>23</v>
      </c>
      <c r="I41" s="513" t="s">
        <v>17</v>
      </c>
      <c r="J41" s="506" t="s">
        <v>635</v>
      </c>
      <c r="K41" s="510">
        <v>0</v>
      </c>
      <c r="L41" s="505" t="s">
        <v>180</v>
      </c>
      <c r="M41" s="508" t="s">
        <v>679</v>
      </c>
      <c r="N41" s="511"/>
      <c r="O41" s="511"/>
      <c r="P41" s="511"/>
      <c r="Q41" s="511"/>
      <c r="R41" s="511"/>
      <c r="S41" s="512"/>
      <c r="T41" s="512"/>
      <c r="U41" s="512"/>
      <c r="V41" s="512"/>
      <c r="W41" s="512"/>
      <c r="X41" s="512"/>
      <c r="Y41" s="512"/>
      <c r="Z41" s="512"/>
      <c r="AA41" s="512"/>
      <c r="AB41" s="512"/>
      <c r="AC41" s="512"/>
      <c r="AD41" s="512"/>
      <c r="AE41" s="512"/>
      <c r="AF41" s="512"/>
      <c r="AG41" s="512"/>
      <c r="AH41" s="512"/>
      <c r="AI41" s="512"/>
      <c r="AJ41" s="512"/>
      <c r="AK41" s="512"/>
      <c r="AL41" s="512"/>
      <c r="AM41" s="512"/>
      <c r="AN41" s="512"/>
      <c r="AO41" s="512"/>
      <c r="AP41" s="512"/>
      <c r="AQ41" s="512"/>
      <c r="AR41" s="512"/>
      <c r="AS41" s="512"/>
      <c r="AT41" s="512"/>
      <c r="AU41" s="512"/>
      <c r="AV41" s="512"/>
      <c r="AW41" s="512"/>
      <c r="AX41" s="512"/>
      <c r="AY41" s="512"/>
      <c r="AZ41" s="512"/>
      <c r="BA41" s="512"/>
      <c r="BB41" s="512"/>
      <c r="BC41" s="512"/>
      <c r="BD41" s="512"/>
      <c r="BE41" s="512"/>
      <c r="BF41" s="512"/>
      <c r="BG41" s="512"/>
      <c r="BH41" s="512"/>
      <c r="BI41" s="512"/>
      <c r="BJ41" s="512"/>
      <c r="BK41" s="512"/>
      <c r="BL41" s="512"/>
      <c r="BM41" s="512"/>
      <c r="BN41" s="512"/>
      <c r="BO41" s="512"/>
      <c r="BP41" s="512"/>
      <c r="BQ41" s="512"/>
      <c r="BR41" s="512"/>
      <c r="BS41" s="512"/>
      <c r="BT41" s="512"/>
      <c r="BU41" s="512"/>
      <c r="BV41" s="512"/>
      <c r="BW41" s="512"/>
      <c r="BX41" s="512"/>
      <c r="BY41" s="512"/>
      <c r="BZ41" s="512"/>
      <c r="CA41" s="512"/>
      <c r="CB41" s="512"/>
      <c r="CC41" s="512"/>
      <c r="CD41" s="512"/>
      <c r="CE41" s="512"/>
      <c r="CF41" s="512"/>
      <c r="CG41" s="512"/>
      <c r="CH41" s="512"/>
      <c r="CI41" s="512"/>
      <c r="CJ41" s="512"/>
      <c r="CK41" s="512"/>
      <c r="CL41" s="512"/>
      <c r="CM41" s="512"/>
      <c r="CN41" s="512"/>
      <c r="CO41" s="512"/>
      <c r="CP41" s="512"/>
      <c r="CQ41" s="512"/>
      <c r="CR41" s="512"/>
      <c r="CS41" s="512"/>
      <c r="CT41" s="512"/>
      <c r="CU41" s="512"/>
      <c r="CV41" s="512"/>
      <c r="CW41" s="512"/>
      <c r="CX41" s="512"/>
      <c r="CY41" s="512"/>
      <c r="CZ41" s="512"/>
      <c r="DA41" s="512"/>
      <c r="DB41" s="512"/>
      <c r="DC41" s="512"/>
      <c r="DD41" s="512"/>
      <c r="DE41" s="512"/>
      <c r="DF41" s="512"/>
      <c r="DG41" s="512"/>
      <c r="DH41" s="512"/>
      <c r="DI41" s="512"/>
      <c r="DJ41" s="512"/>
      <c r="DK41" s="512"/>
      <c r="DL41" s="512"/>
      <c r="DM41" s="512"/>
      <c r="DN41" s="512"/>
      <c r="DO41" s="512"/>
      <c r="DP41" s="512"/>
      <c r="DQ41" s="512"/>
      <c r="DR41" s="512"/>
      <c r="DS41" s="512"/>
      <c r="DT41" s="512"/>
      <c r="DU41" s="512"/>
      <c r="DV41" s="512"/>
      <c r="DW41" s="512"/>
      <c r="DX41" s="512"/>
      <c r="DY41" s="512"/>
      <c r="DZ41" s="512"/>
      <c r="EA41" s="512"/>
      <c r="EB41" s="512"/>
      <c r="EC41" s="512"/>
      <c r="ED41" s="512"/>
      <c r="EE41" s="512"/>
      <c r="EF41" s="512"/>
      <c r="EG41" s="512"/>
      <c r="EH41" s="512"/>
      <c r="EI41" s="512"/>
      <c r="EJ41" s="512"/>
      <c r="EK41" s="512"/>
      <c r="EL41" s="512"/>
      <c r="EM41" s="512"/>
      <c r="EN41" s="512"/>
      <c r="EO41" s="512"/>
      <c r="EP41" s="512"/>
      <c r="EQ41" s="512"/>
      <c r="ER41" s="512"/>
      <c r="ES41" s="512"/>
      <c r="ET41" s="512"/>
      <c r="EU41" s="512"/>
      <c r="EV41" s="512"/>
      <c r="EW41" s="512"/>
      <c r="EX41" s="512"/>
      <c r="EY41" s="512"/>
      <c r="EZ41" s="512"/>
      <c r="FA41" s="512"/>
      <c r="FB41" s="512"/>
      <c r="FC41" s="512"/>
      <c r="FD41" s="512"/>
      <c r="FE41" s="512"/>
      <c r="FF41" s="512"/>
      <c r="FG41" s="512"/>
      <c r="FH41" s="512"/>
      <c r="FI41" s="512"/>
      <c r="FJ41" s="512"/>
      <c r="FK41" s="512"/>
      <c r="FL41" s="512"/>
      <c r="FM41" s="512"/>
      <c r="FN41" s="512"/>
      <c r="FO41" s="512"/>
      <c r="FP41" s="512"/>
      <c r="FQ41" s="512"/>
      <c r="FR41" s="512"/>
      <c r="FS41" s="512"/>
      <c r="FT41" s="512"/>
      <c r="FU41" s="512"/>
      <c r="FV41" s="512"/>
      <c r="FW41" s="512"/>
      <c r="FX41" s="512"/>
      <c r="FY41" s="512"/>
      <c r="FZ41" s="512"/>
      <c r="GA41" s="512"/>
      <c r="GB41" s="512"/>
      <c r="GC41" s="512"/>
      <c r="GD41" s="512"/>
      <c r="GE41" s="512"/>
      <c r="GF41" s="512"/>
      <c r="GG41" s="512"/>
      <c r="GH41" s="512"/>
      <c r="GI41" s="512"/>
      <c r="GJ41" s="512"/>
      <c r="GK41" s="512"/>
      <c r="GL41" s="512"/>
      <c r="GM41" s="512"/>
      <c r="GN41" s="512"/>
      <c r="GO41" s="512"/>
      <c r="GP41" s="512"/>
      <c r="GQ41" s="512"/>
      <c r="GR41" s="512"/>
      <c r="GS41" s="512"/>
      <c r="GT41" s="512"/>
      <c r="GU41" s="512"/>
      <c r="GV41" s="512"/>
      <c r="GW41" s="512"/>
      <c r="GX41" s="512"/>
      <c r="GY41" s="512"/>
      <c r="GZ41" s="512"/>
      <c r="HA41" s="512"/>
      <c r="HB41" s="512"/>
      <c r="HC41" s="512"/>
      <c r="HD41" s="512"/>
      <c r="HE41" s="512"/>
      <c r="HF41" s="512"/>
      <c r="HG41" s="512"/>
      <c r="HH41" s="512"/>
      <c r="HI41" s="512"/>
      <c r="HJ41" s="512"/>
      <c r="HK41" s="512"/>
      <c r="HL41" s="512"/>
      <c r="HM41" s="512"/>
      <c r="HN41" s="512"/>
      <c r="HO41" s="512"/>
      <c r="HP41" s="512"/>
      <c r="HQ41" s="512"/>
      <c r="HR41" s="512"/>
      <c r="HS41" s="512"/>
      <c r="HT41" s="512"/>
      <c r="HU41" s="512"/>
      <c r="HV41" s="512"/>
      <c r="HW41" s="512"/>
      <c r="HX41" s="512"/>
      <c r="HY41" s="512"/>
      <c r="HZ41" s="512"/>
      <c r="IA41" s="512"/>
      <c r="IB41" s="512"/>
      <c r="IC41" s="512"/>
      <c r="ID41" s="512"/>
      <c r="IE41" s="512"/>
      <c r="IF41" s="512"/>
      <c r="IG41" s="512"/>
      <c r="IH41" s="512"/>
      <c r="II41" s="512"/>
      <c r="IJ41" s="512"/>
      <c r="IK41" s="512"/>
      <c r="IL41" s="512"/>
      <c r="IM41" s="512"/>
      <c r="IN41" s="512"/>
      <c r="IO41" s="512"/>
      <c r="IP41" s="512"/>
      <c r="IQ41" s="512"/>
      <c r="IR41" s="512"/>
      <c r="IS41" s="512"/>
      <c r="IT41" s="512"/>
      <c r="IU41" s="512"/>
      <c r="IV41" s="512"/>
    </row>
    <row r="42" spans="1:256" s="122" customFormat="1" ht="3" customHeight="1" x14ac:dyDescent="0.25">
      <c r="A42" s="66"/>
      <c r="B42" s="43"/>
      <c r="C42" s="43"/>
      <c r="D42" s="105"/>
      <c r="E42" s="42"/>
      <c r="F42" s="43"/>
      <c r="G42" s="43"/>
      <c r="H42" s="43"/>
      <c r="I42" s="43"/>
      <c r="J42" s="43"/>
      <c r="K42" s="309"/>
      <c r="L42" s="43"/>
      <c r="M42" s="42"/>
      <c r="N42" s="268"/>
      <c r="O42" s="268"/>
      <c r="P42" s="268"/>
      <c r="Q42" s="268"/>
      <c r="R42" s="268"/>
      <c r="S42" s="268"/>
      <c r="T42" s="268"/>
      <c r="U42" s="268"/>
      <c r="V42" s="268"/>
      <c r="W42" s="268"/>
      <c r="X42" s="268"/>
      <c r="Y42" s="268"/>
      <c r="Z42" s="268"/>
      <c r="AA42" s="268"/>
      <c r="AB42" s="268"/>
      <c r="AC42" s="268"/>
      <c r="AD42" s="268"/>
      <c r="AE42" s="268"/>
      <c r="AF42" s="268"/>
      <c r="AG42" s="268"/>
      <c r="AH42" s="268"/>
      <c r="AI42" s="268"/>
      <c r="AJ42" s="268"/>
      <c r="AK42" s="268"/>
      <c r="AL42" s="268"/>
      <c r="AM42" s="268"/>
      <c r="AN42" s="268"/>
      <c r="AO42" s="268"/>
      <c r="AP42" s="268"/>
      <c r="AQ42" s="268"/>
      <c r="AR42" s="268"/>
      <c r="AS42" s="268"/>
      <c r="AT42" s="268"/>
      <c r="AU42" s="268"/>
      <c r="AV42" s="268"/>
      <c r="AW42" s="268"/>
      <c r="AX42" s="268"/>
      <c r="AY42" s="268"/>
      <c r="AZ42" s="268"/>
      <c r="BA42" s="268"/>
      <c r="BB42" s="268"/>
      <c r="BC42" s="268"/>
      <c r="BD42" s="268"/>
      <c r="BE42" s="268"/>
      <c r="BF42" s="268"/>
      <c r="BG42" s="268"/>
      <c r="BH42" s="268"/>
      <c r="BI42" s="268"/>
      <c r="BJ42" s="268"/>
      <c r="BK42" s="268"/>
      <c r="BL42" s="268"/>
      <c r="BM42" s="268"/>
      <c r="BN42" s="268"/>
      <c r="BO42" s="268"/>
      <c r="BP42" s="268"/>
      <c r="BQ42" s="268"/>
      <c r="BR42" s="268"/>
      <c r="BS42" s="268"/>
      <c r="BT42" s="268"/>
      <c r="BU42" s="268"/>
      <c r="BV42" s="268"/>
      <c r="BW42" s="268"/>
      <c r="BX42" s="268"/>
      <c r="BY42" s="268"/>
      <c r="BZ42" s="268"/>
      <c r="CA42" s="268"/>
      <c r="CB42" s="268"/>
      <c r="CC42" s="268"/>
      <c r="CD42" s="268"/>
      <c r="CE42" s="268"/>
      <c r="CF42" s="268"/>
      <c r="CG42" s="268"/>
      <c r="CH42" s="268"/>
      <c r="CI42" s="268"/>
      <c r="CJ42" s="268"/>
      <c r="CK42" s="268"/>
      <c r="CL42" s="268"/>
      <c r="CM42" s="268"/>
      <c r="CN42" s="268"/>
      <c r="CO42" s="268"/>
      <c r="CP42" s="268"/>
      <c r="CQ42" s="268"/>
      <c r="CR42" s="268"/>
      <c r="CS42" s="268"/>
      <c r="CT42" s="268"/>
      <c r="CU42" s="268"/>
      <c r="CV42" s="268"/>
      <c r="CW42" s="268"/>
      <c r="CX42" s="268"/>
      <c r="CY42" s="268"/>
      <c r="CZ42" s="268"/>
      <c r="DA42" s="268"/>
      <c r="DB42" s="268"/>
      <c r="DC42" s="268"/>
      <c r="DD42" s="268"/>
      <c r="DE42" s="268"/>
      <c r="DF42" s="268"/>
      <c r="DG42" s="268"/>
      <c r="DH42" s="268"/>
      <c r="DI42" s="268"/>
      <c r="DJ42" s="268"/>
      <c r="DK42" s="268"/>
      <c r="DL42" s="268"/>
      <c r="DM42" s="268"/>
      <c r="DN42" s="268"/>
      <c r="DO42" s="268"/>
      <c r="DP42" s="268"/>
      <c r="DQ42" s="268"/>
      <c r="DR42" s="268"/>
      <c r="DS42" s="268"/>
      <c r="DT42" s="268"/>
      <c r="DU42" s="268"/>
      <c r="DV42" s="268"/>
      <c r="DW42" s="268"/>
      <c r="DX42" s="268"/>
      <c r="DY42" s="268"/>
      <c r="DZ42" s="268"/>
      <c r="EA42" s="268"/>
      <c r="EB42" s="268"/>
      <c r="EC42" s="268"/>
      <c r="ED42" s="268"/>
      <c r="EE42" s="268"/>
      <c r="EF42" s="268"/>
      <c r="EG42" s="268"/>
      <c r="EH42" s="268"/>
      <c r="EI42" s="268"/>
      <c r="EJ42" s="268"/>
      <c r="EK42" s="268"/>
      <c r="EL42" s="268"/>
      <c r="EM42" s="268"/>
      <c r="EN42" s="268"/>
      <c r="EO42" s="268"/>
      <c r="EP42" s="268"/>
      <c r="EQ42" s="268"/>
      <c r="ER42" s="268"/>
      <c r="ES42" s="268"/>
      <c r="ET42" s="268"/>
      <c r="EU42" s="268"/>
      <c r="EV42" s="268"/>
      <c r="EW42" s="268"/>
      <c r="EX42" s="268"/>
      <c r="EY42" s="268"/>
      <c r="EZ42" s="268"/>
      <c r="FA42" s="268"/>
      <c r="FB42" s="268"/>
      <c r="FC42" s="268"/>
      <c r="FD42" s="268"/>
      <c r="FE42" s="268"/>
      <c r="FF42" s="268"/>
      <c r="FG42" s="268"/>
      <c r="FH42" s="268"/>
      <c r="FI42" s="268"/>
      <c r="FJ42" s="268"/>
      <c r="FK42" s="268"/>
      <c r="FL42" s="268"/>
      <c r="FM42" s="268"/>
      <c r="FN42" s="268"/>
      <c r="FO42" s="268"/>
      <c r="FP42" s="268"/>
      <c r="FQ42" s="268"/>
      <c r="FR42" s="268"/>
      <c r="FS42" s="268"/>
      <c r="FT42" s="268"/>
      <c r="FU42" s="268"/>
      <c r="FV42" s="268"/>
      <c r="FW42" s="268"/>
      <c r="FX42" s="268"/>
      <c r="FY42" s="268"/>
      <c r="FZ42" s="268"/>
      <c r="GA42" s="268"/>
      <c r="GB42" s="268"/>
      <c r="GC42" s="268"/>
      <c r="GD42" s="268"/>
      <c r="GE42" s="268"/>
      <c r="GF42" s="268"/>
      <c r="GG42" s="268"/>
      <c r="GH42" s="268"/>
      <c r="GI42" s="268"/>
      <c r="GJ42" s="268"/>
      <c r="GK42" s="268"/>
      <c r="GL42" s="268"/>
      <c r="GM42" s="268"/>
      <c r="GN42" s="268"/>
      <c r="GO42" s="268"/>
      <c r="GP42" s="268"/>
      <c r="GQ42" s="268"/>
      <c r="GR42" s="268"/>
      <c r="GS42" s="268"/>
      <c r="GT42" s="268"/>
      <c r="GU42" s="268"/>
      <c r="GV42" s="268"/>
      <c r="GW42" s="268"/>
      <c r="GX42" s="268"/>
      <c r="GY42" s="268"/>
      <c r="GZ42" s="268"/>
      <c r="HA42" s="268"/>
      <c r="HB42" s="268"/>
      <c r="HC42" s="268"/>
      <c r="HD42" s="268"/>
      <c r="HE42" s="268"/>
      <c r="HF42" s="268"/>
      <c r="HG42" s="268"/>
      <c r="HH42" s="268"/>
      <c r="HI42" s="268"/>
      <c r="HJ42" s="268"/>
      <c r="HK42" s="268"/>
      <c r="HL42" s="268"/>
      <c r="HM42" s="268"/>
      <c r="HN42" s="268"/>
      <c r="HO42" s="268"/>
      <c r="HP42" s="268"/>
      <c r="HQ42" s="268"/>
      <c r="HR42" s="268"/>
      <c r="HS42" s="268"/>
      <c r="HT42" s="268"/>
      <c r="HU42" s="268"/>
      <c r="HV42" s="268"/>
      <c r="HW42" s="268"/>
      <c r="HX42" s="268"/>
      <c r="HY42" s="268"/>
      <c r="HZ42" s="268"/>
      <c r="IA42" s="268"/>
      <c r="IB42" s="268"/>
      <c r="IC42" s="268"/>
      <c r="ID42" s="268"/>
      <c r="IE42" s="268"/>
      <c r="IF42" s="268"/>
      <c r="IG42" s="268"/>
      <c r="IH42" s="268"/>
      <c r="II42" s="268"/>
      <c r="IJ42" s="268"/>
      <c r="IK42" s="268"/>
      <c r="IL42" s="268"/>
      <c r="IM42" s="268"/>
      <c r="IN42" s="268"/>
      <c r="IO42" s="268"/>
      <c r="IP42" s="268"/>
      <c r="IQ42" s="268"/>
      <c r="IR42" s="268"/>
      <c r="IS42" s="268"/>
      <c r="IT42" s="268"/>
      <c r="IU42" s="268"/>
      <c r="IV42" s="268"/>
    </row>
    <row r="43" spans="1:256" s="122" customFormat="1" x14ac:dyDescent="0.25">
      <c r="A43" s="130"/>
      <c r="B43" s="131"/>
      <c r="C43" s="131"/>
      <c r="F43" s="101"/>
      <c r="G43" s="101"/>
      <c r="H43" s="101"/>
      <c r="I43" s="101"/>
      <c r="J43" s="101"/>
      <c r="K43" s="217"/>
      <c r="L43" s="131"/>
      <c r="N43" s="169"/>
      <c r="O43" s="169"/>
      <c r="P43" s="169"/>
      <c r="Q43" s="169"/>
      <c r="R43" s="169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71"/>
      <c r="AE43" s="171"/>
      <c r="AF43" s="171"/>
      <c r="AG43" s="171"/>
      <c r="AH43" s="171"/>
      <c r="AI43" s="171"/>
      <c r="AJ43" s="171"/>
      <c r="AK43" s="171"/>
      <c r="AL43" s="171"/>
      <c r="AM43" s="171"/>
      <c r="AN43" s="171"/>
      <c r="AO43" s="171"/>
      <c r="AP43" s="171"/>
      <c r="AQ43" s="171"/>
      <c r="AR43" s="171"/>
      <c r="AS43" s="171"/>
      <c r="AT43" s="171"/>
      <c r="AU43" s="171"/>
      <c r="AV43" s="171"/>
      <c r="AW43" s="171"/>
      <c r="AX43" s="171"/>
      <c r="AY43" s="171"/>
      <c r="AZ43" s="171"/>
      <c r="BA43" s="171"/>
      <c r="BB43" s="171"/>
      <c r="BC43" s="171"/>
      <c r="BD43" s="171"/>
      <c r="BE43" s="171"/>
      <c r="BF43" s="171"/>
      <c r="BG43" s="171"/>
      <c r="BH43" s="171"/>
      <c r="BI43" s="171"/>
      <c r="BJ43" s="171"/>
      <c r="BK43" s="171"/>
      <c r="BL43" s="171"/>
      <c r="BM43" s="171"/>
      <c r="BN43" s="171"/>
      <c r="BO43" s="171"/>
      <c r="BP43" s="171"/>
      <c r="BQ43" s="171"/>
      <c r="BR43" s="171"/>
      <c r="BS43" s="171"/>
      <c r="BT43" s="171"/>
      <c r="BU43" s="171"/>
      <c r="BV43" s="171"/>
      <c r="BW43" s="171"/>
      <c r="BX43" s="171"/>
      <c r="BY43" s="171"/>
      <c r="BZ43" s="171"/>
      <c r="CA43" s="171"/>
      <c r="CB43" s="171"/>
      <c r="CC43" s="171"/>
      <c r="CD43" s="171"/>
      <c r="CE43" s="171"/>
      <c r="CF43" s="171"/>
      <c r="CG43" s="171"/>
      <c r="CH43" s="171"/>
      <c r="CI43" s="171"/>
      <c r="CJ43" s="171"/>
      <c r="CK43" s="171"/>
      <c r="CL43" s="171"/>
      <c r="CM43" s="171"/>
      <c r="CN43" s="171"/>
      <c r="CO43" s="171"/>
      <c r="CP43" s="171"/>
      <c r="CQ43" s="171"/>
      <c r="CR43" s="171"/>
      <c r="CS43" s="171"/>
      <c r="CT43" s="171"/>
      <c r="CU43" s="171"/>
      <c r="CV43" s="171"/>
      <c r="CW43" s="171"/>
      <c r="CX43" s="171"/>
      <c r="CY43" s="171"/>
      <c r="CZ43" s="171"/>
      <c r="DA43" s="171"/>
      <c r="DB43" s="171"/>
      <c r="DC43" s="171"/>
      <c r="DD43" s="171"/>
      <c r="DE43" s="171"/>
      <c r="DF43" s="171"/>
      <c r="DG43" s="171"/>
      <c r="DH43" s="171"/>
      <c r="DI43" s="171"/>
      <c r="DJ43" s="171"/>
      <c r="DK43" s="171"/>
      <c r="DL43" s="171"/>
      <c r="DM43" s="171"/>
      <c r="DN43" s="171"/>
      <c r="DO43" s="171"/>
      <c r="DP43" s="171"/>
      <c r="DQ43" s="171"/>
      <c r="DR43" s="171"/>
      <c r="DS43" s="171"/>
      <c r="DT43" s="171"/>
      <c r="DU43" s="171"/>
      <c r="DV43" s="171"/>
      <c r="DW43" s="171"/>
      <c r="DX43" s="171"/>
      <c r="DY43" s="171"/>
      <c r="DZ43" s="171"/>
      <c r="EA43" s="171"/>
      <c r="EB43" s="171"/>
      <c r="EC43" s="171"/>
      <c r="ED43" s="171"/>
      <c r="EE43" s="171"/>
      <c r="EF43" s="171"/>
      <c r="EG43" s="171"/>
      <c r="EH43" s="171"/>
      <c r="EI43" s="171"/>
      <c r="EJ43" s="171"/>
      <c r="EK43" s="171"/>
      <c r="EL43" s="171"/>
      <c r="EM43" s="171"/>
      <c r="EN43" s="171"/>
      <c r="EO43" s="171"/>
      <c r="EP43" s="171"/>
      <c r="EQ43" s="171"/>
      <c r="ER43" s="171"/>
      <c r="ES43" s="171"/>
      <c r="ET43" s="171"/>
      <c r="EU43" s="171"/>
      <c r="EV43" s="171"/>
      <c r="EW43" s="171"/>
      <c r="EX43" s="171"/>
      <c r="EY43" s="171"/>
      <c r="EZ43" s="171"/>
      <c r="FA43" s="171"/>
      <c r="FB43" s="171"/>
      <c r="FC43" s="171"/>
      <c r="FD43" s="171"/>
      <c r="FE43" s="171"/>
      <c r="FF43" s="171"/>
      <c r="FG43" s="171"/>
      <c r="FH43" s="171"/>
      <c r="FI43" s="171"/>
      <c r="FJ43" s="171"/>
      <c r="FK43" s="171"/>
      <c r="FL43" s="171"/>
      <c r="FM43" s="171"/>
      <c r="FN43" s="171"/>
      <c r="FO43" s="171"/>
      <c r="FP43" s="171"/>
      <c r="FQ43" s="171"/>
      <c r="FR43" s="171"/>
      <c r="FS43" s="171"/>
      <c r="FT43" s="171"/>
      <c r="FU43" s="171"/>
      <c r="FV43" s="171"/>
      <c r="FW43" s="171"/>
      <c r="FX43" s="171"/>
      <c r="FY43" s="171"/>
      <c r="FZ43" s="171"/>
      <c r="GA43" s="171"/>
      <c r="GB43" s="171"/>
      <c r="GC43" s="171"/>
      <c r="GD43" s="171"/>
      <c r="GE43" s="171"/>
      <c r="GF43" s="171"/>
      <c r="GG43" s="171"/>
      <c r="GH43" s="171"/>
      <c r="GI43" s="171"/>
      <c r="GJ43" s="171"/>
      <c r="GK43" s="171"/>
      <c r="GL43" s="171"/>
      <c r="GM43" s="171"/>
      <c r="GN43" s="171"/>
      <c r="GO43" s="171"/>
      <c r="GP43" s="171"/>
      <c r="GQ43" s="171"/>
      <c r="GR43" s="171"/>
      <c r="GS43" s="171"/>
      <c r="GT43" s="171"/>
      <c r="GU43" s="171"/>
      <c r="GV43" s="171"/>
      <c r="GW43" s="171"/>
      <c r="GX43" s="171"/>
      <c r="GY43" s="171"/>
      <c r="GZ43" s="171"/>
      <c r="HA43" s="171"/>
      <c r="HB43" s="171"/>
      <c r="HC43" s="171"/>
      <c r="HD43" s="171"/>
      <c r="HE43" s="171"/>
      <c r="HF43" s="171"/>
      <c r="HG43" s="171"/>
      <c r="HH43" s="171"/>
      <c r="HI43" s="171"/>
      <c r="HJ43" s="171"/>
      <c r="HK43" s="171"/>
      <c r="HL43" s="171"/>
      <c r="HM43" s="171"/>
      <c r="HN43" s="171"/>
      <c r="HO43" s="171"/>
      <c r="HP43" s="171"/>
      <c r="HQ43" s="171"/>
      <c r="HR43" s="171"/>
      <c r="HS43" s="171"/>
      <c r="HT43" s="171"/>
      <c r="HU43" s="171"/>
      <c r="HV43" s="171"/>
      <c r="HW43" s="171"/>
      <c r="HX43" s="171"/>
      <c r="HY43" s="171"/>
      <c r="HZ43" s="171"/>
      <c r="IA43" s="171"/>
      <c r="IB43" s="171"/>
      <c r="IC43" s="171"/>
      <c r="ID43" s="171"/>
      <c r="IE43" s="171"/>
      <c r="IF43" s="171"/>
      <c r="IG43" s="171"/>
      <c r="IH43" s="171"/>
      <c r="II43" s="171"/>
      <c r="IJ43" s="171"/>
      <c r="IK43" s="171"/>
      <c r="IL43" s="171"/>
      <c r="IM43" s="171"/>
      <c r="IN43" s="171"/>
      <c r="IO43" s="171"/>
      <c r="IP43" s="171"/>
      <c r="IQ43" s="171"/>
      <c r="IR43" s="171"/>
      <c r="IS43" s="171"/>
      <c r="IT43" s="171"/>
      <c r="IU43" s="171"/>
      <c r="IV43" s="171"/>
    </row>
    <row r="44" spans="1:256" s="122" customFormat="1" x14ac:dyDescent="0.25">
      <c r="A44" s="130"/>
      <c r="B44" s="131"/>
      <c r="C44" s="131"/>
      <c r="F44" s="101"/>
      <c r="G44" s="101"/>
      <c r="H44" s="101"/>
      <c r="I44" s="101"/>
      <c r="J44" s="101"/>
      <c r="K44" s="217"/>
      <c r="L44" s="13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71"/>
      <c r="AE44" s="171"/>
      <c r="AF44" s="171"/>
      <c r="AG44" s="171"/>
      <c r="AH44" s="171"/>
      <c r="AI44" s="171"/>
      <c r="AJ44" s="171"/>
      <c r="AK44" s="171"/>
      <c r="AL44" s="171"/>
      <c r="AM44" s="171"/>
      <c r="AN44" s="171"/>
      <c r="AO44" s="171"/>
      <c r="AP44" s="171"/>
      <c r="AQ44" s="171"/>
      <c r="AR44" s="171"/>
      <c r="AS44" s="171"/>
      <c r="AT44" s="171"/>
      <c r="AU44" s="171"/>
      <c r="AV44" s="171"/>
      <c r="AW44" s="171"/>
      <c r="AX44" s="171"/>
      <c r="AY44" s="171"/>
      <c r="AZ44" s="171"/>
      <c r="BA44" s="171"/>
      <c r="BB44" s="171"/>
      <c r="BC44" s="171"/>
      <c r="BD44" s="171"/>
      <c r="BE44" s="171"/>
      <c r="BF44" s="171"/>
      <c r="BG44" s="171"/>
      <c r="BH44" s="171"/>
      <c r="BI44" s="171"/>
      <c r="BJ44" s="171"/>
      <c r="BK44" s="171"/>
      <c r="BL44" s="171"/>
      <c r="BM44" s="171"/>
      <c r="BN44" s="171"/>
      <c r="BO44" s="171"/>
      <c r="BP44" s="171"/>
      <c r="BQ44" s="171"/>
      <c r="BR44" s="171"/>
      <c r="BS44" s="171"/>
      <c r="BT44" s="171"/>
      <c r="BU44" s="171"/>
      <c r="BV44" s="171"/>
      <c r="BW44" s="171"/>
      <c r="BX44" s="171"/>
      <c r="BY44" s="171"/>
      <c r="BZ44" s="171"/>
      <c r="CA44" s="171"/>
      <c r="CB44" s="171"/>
      <c r="CC44" s="171"/>
      <c r="CD44" s="171"/>
      <c r="CE44" s="171"/>
      <c r="CF44" s="171"/>
      <c r="CG44" s="171"/>
      <c r="CH44" s="171"/>
      <c r="CI44" s="171"/>
      <c r="CJ44" s="171"/>
      <c r="CK44" s="171"/>
      <c r="CL44" s="171"/>
      <c r="CM44" s="171"/>
      <c r="CN44" s="171"/>
      <c r="CO44" s="171"/>
      <c r="CP44" s="171"/>
      <c r="CQ44" s="171"/>
      <c r="CR44" s="171"/>
      <c r="CS44" s="171"/>
      <c r="CT44" s="171"/>
      <c r="CU44" s="171"/>
      <c r="CV44" s="171"/>
      <c r="CW44" s="171"/>
      <c r="CX44" s="171"/>
      <c r="CY44" s="171"/>
      <c r="CZ44" s="171"/>
      <c r="DA44" s="171"/>
      <c r="DB44" s="171"/>
      <c r="DC44" s="171"/>
      <c r="DD44" s="171"/>
      <c r="DE44" s="171"/>
      <c r="DF44" s="171"/>
      <c r="DG44" s="171"/>
      <c r="DH44" s="171"/>
      <c r="DI44" s="171"/>
      <c r="DJ44" s="171"/>
      <c r="DK44" s="171"/>
      <c r="DL44" s="171"/>
      <c r="DM44" s="171"/>
      <c r="DN44" s="171"/>
      <c r="DO44" s="171"/>
      <c r="DP44" s="171"/>
      <c r="DQ44" s="171"/>
      <c r="DR44" s="171"/>
      <c r="DS44" s="171"/>
      <c r="DT44" s="171"/>
      <c r="DU44" s="171"/>
      <c r="DV44" s="171"/>
      <c r="DW44" s="171"/>
      <c r="DX44" s="171"/>
      <c r="DY44" s="171"/>
      <c r="DZ44" s="171"/>
      <c r="EA44" s="171"/>
      <c r="EB44" s="171"/>
      <c r="EC44" s="171"/>
      <c r="ED44" s="171"/>
      <c r="EE44" s="171"/>
      <c r="EF44" s="171"/>
      <c r="EG44" s="171"/>
      <c r="EH44" s="171"/>
      <c r="EI44" s="171"/>
      <c r="EJ44" s="171"/>
      <c r="EK44" s="171"/>
      <c r="EL44" s="171"/>
      <c r="EM44" s="171"/>
      <c r="EN44" s="171"/>
      <c r="EO44" s="171"/>
      <c r="EP44" s="171"/>
      <c r="EQ44" s="171"/>
      <c r="ER44" s="171"/>
      <c r="ES44" s="171"/>
      <c r="ET44" s="171"/>
      <c r="EU44" s="171"/>
      <c r="EV44" s="171"/>
      <c r="EW44" s="171"/>
      <c r="EX44" s="171"/>
      <c r="EY44" s="171"/>
      <c r="EZ44" s="171"/>
      <c r="FA44" s="171"/>
      <c r="FB44" s="171"/>
      <c r="FC44" s="171"/>
      <c r="FD44" s="171"/>
      <c r="FE44" s="171"/>
      <c r="FF44" s="171"/>
      <c r="FG44" s="171"/>
      <c r="FH44" s="171"/>
      <c r="FI44" s="171"/>
      <c r="FJ44" s="171"/>
      <c r="FK44" s="171"/>
      <c r="FL44" s="171"/>
      <c r="FM44" s="171"/>
      <c r="FN44" s="171"/>
      <c r="FO44" s="171"/>
      <c r="FP44" s="171"/>
      <c r="FQ44" s="171"/>
      <c r="FR44" s="171"/>
      <c r="FS44" s="171"/>
      <c r="FT44" s="171"/>
      <c r="FU44" s="171"/>
      <c r="FV44" s="171"/>
      <c r="FW44" s="171"/>
      <c r="FX44" s="171"/>
      <c r="FY44" s="171"/>
      <c r="FZ44" s="171"/>
      <c r="GA44" s="171"/>
      <c r="GB44" s="171"/>
      <c r="GC44" s="171"/>
      <c r="GD44" s="171"/>
      <c r="GE44" s="171"/>
      <c r="GF44" s="171"/>
      <c r="GG44" s="171"/>
      <c r="GH44" s="171"/>
      <c r="GI44" s="171"/>
      <c r="GJ44" s="171"/>
      <c r="GK44" s="171"/>
      <c r="GL44" s="171"/>
      <c r="GM44" s="171"/>
      <c r="GN44" s="171"/>
      <c r="GO44" s="171"/>
      <c r="GP44" s="171"/>
      <c r="GQ44" s="171"/>
      <c r="GR44" s="171"/>
      <c r="GS44" s="171"/>
      <c r="GT44" s="171"/>
      <c r="GU44" s="171"/>
      <c r="GV44" s="171"/>
      <c r="GW44" s="171"/>
      <c r="GX44" s="171"/>
      <c r="GY44" s="171"/>
      <c r="GZ44" s="171"/>
      <c r="HA44" s="171"/>
      <c r="HB44" s="171"/>
      <c r="HC44" s="171"/>
      <c r="HD44" s="171"/>
      <c r="HE44" s="171"/>
      <c r="HF44" s="171"/>
      <c r="HG44" s="171"/>
      <c r="HH44" s="171"/>
      <c r="HI44" s="171"/>
      <c r="HJ44" s="171"/>
      <c r="HK44" s="171"/>
      <c r="HL44" s="171"/>
      <c r="HM44" s="171"/>
      <c r="HN44" s="171"/>
      <c r="HO44" s="171"/>
      <c r="HP44" s="171"/>
      <c r="HQ44" s="171"/>
      <c r="HR44" s="171"/>
      <c r="HS44" s="171"/>
      <c r="HT44" s="171"/>
      <c r="HU44" s="171"/>
      <c r="HV44" s="171"/>
      <c r="HW44" s="171"/>
      <c r="HX44" s="171"/>
      <c r="HY44" s="171"/>
      <c r="HZ44" s="171"/>
      <c r="IA44" s="171"/>
      <c r="IB44" s="171"/>
      <c r="IC44" s="171"/>
      <c r="ID44" s="171"/>
      <c r="IE44" s="171"/>
      <c r="IF44" s="171"/>
      <c r="IG44" s="171"/>
      <c r="IH44" s="171"/>
      <c r="II44" s="171"/>
      <c r="IJ44" s="171"/>
      <c r="IK44" s="171"/>
      <c r="IL44" s="171"/>
      <c r="IM44" s="171"/>
      <c r="IN44" s="171"/>
      <c r="IO44" s="171"/>
      <c r="IP44" s="171"/>
      <c r="IQ44" s="171"/>
      <c r="IR44" s="171"/>
      <c r="IS44" s="171"/>
      <c r="IT44" s="171"/>
      <c r="IU44" s="171"/>
      <c r="IV44" s="171"/>
    </row>
    <row r="45" spans="1:256" s="122" customFormat="1" x14ac:dyDescent="0.25">
      <c r="A45" s="130"/>
      <c r="B45" s="131"/>
      <c r="C45" s="131"/>
      <c r="F45" s="101"/>
      <c r="G45" s="101"/>
      <c r="H45" s="101"/>
      <c r="I45" s="101"/>
      <c r="J45" s="101"/>
      <c r="K45" s="217"/>
      <c r="L45" s="131"/>
      <c r="N45" s="171"/>
      <c r="O45" s="171"/>
      <c r="P45" s="171"/>
      <c r="Q45" s="171"/>
      <c r="R45" s="171"/>
    </row>
    <row r="46" spans="1:256" s="122" customFormat="1" x14ac:dyDescent="0.25">
      <c r="A46" s="130"/>
      <c r="B46" s="170"/>
      <c r="C46" s="170"/>
      <c r="E46" s="169"/>
      <c r="F46" s="101"/>
      <c r="G46" s="101"/>
      <c r="H46" s="101"/>
      <c r="I46" s="101"/>
      <c r="J46" s="101"/>
      <c r="K46" s="310"/>
      <c r="L46" s="170"/>
      <c r="M46" s="169"/>
      <c r="N46" s="171"/>
      <c r="O46" s="171"/>
      <c r="P46" s="171"/>
      <c r="Q46" s="171"/>
      <c r="R46" s="171"/>
    </row>
    <row r="47" spans="1:256" s="122" customFormat="1" x14ac:dyDescent="0.25">
      <c r="A47" s="130"/>
      <c r="B47" s="170"/>
      <c r="C47" s="170"/>
      <c r="D47" s="169"/>
      <c r="E47" s="169"/>
      <c r="F47" s="101"/>
      <c r="G47" s="101"/>
      <c r="H47" s="101"/>
      <c r="I47" s="101"/>
      <c r="J47" s="101"/>
      <c r="K47" s="310"/>
      <c r="L47" s="170"/>
      <c r="M47" s="169"/>
      <c r="N47" s="171"/>
      <c r="O47" s="171"/>
      <c r="P47" s="171"/>
      <c r="Q47" s="171"/>
      <c r="R47" s="171"/>
    </row>
    <row r="48" spans="1:256" s="122" customFormat="1" x14ac:dyDescent="0.25">
      <c r="A48" s="130"/>
      <c r="B48" s="170"/>
      <c r="C48" s="170"/>
      <c r="D48" s="169"/>
      <c r="E48" s="169"/>
      <c r="F48" s="101"/>
      <c r="G48" s="101"/>
      <c r="H48" s="101"/>
      <c r="I48" s="101"/>
      <c r="J48" s="101"/>
      <c r="K48" s="310"/>
      <c r="L48" s="170"/>
      <c r="M48" s="169"/>
    </row>
    <row r="49" spans="1:256" s="122" customFormat="1" x14ac:dyDescent="0.25">
      <c r="A49" s="130"/>
      <c r="B49" s="170"/>
      <c r="C49" s="170"/>
      <c r="D49" s="169"/>
      <c r="E49" s="169"/>
      <c r="F49" s="101"/>
      <c r="G49" s="101"/>
      <c r="H49" s="101"/>
      <c r="I49" s="101"/>
      <c r="J49" s="101"/>
      <c r="K49" s="310"/>
      <c r="L49" s="170"/>
      <c r="M49" s="169"/>
    </row>
    <row r="50" spans="1:256" s="122" customFormat="1" x14ac:dyDescent="0.25">
      <c r="A50" s="130"/>
      <c r="B50" s="170"/>
      <c r="C50" s="170"/>
      <c r="D50" s="169"/>
      <c r="E50" s="169"/>
      <c r="F50" s="101"/>
      <c r="G50" s="101"/>
      <c r="H50" s="101"/>
      <c r="I50" s="101"/>
      <c r="J50" s="101"/>
      <c r="K50" s="310"/>
      <c r="L50" s="170"/>
      <c r="M50" s="169"/>
    </row>
    <row r="51" spans="1:256" s="122" customFormat="1" x14ac:dyDescent="0.25">
      <c r="A51" s="130"/>
      <c r="B51" s="170"/>
      <c r="C51" s="170"/>
      <c r="D51" s="169"/>
      <c r="E51" s="169"/>
      <c r="F51" s="101"/>
      <c r="G51" s="101"/>
      <c r="H51" s="101"/>
      <c r="I51" s="101"/>
      <c r="J51" s="101"/>
      <c r="K51" s="310"/>
      <c r="L51" s="170"/>
      <c r="M51" s="169"/>
    </row>
    <row r="52" spans="1:256" s="122" customFormat="1" x14ac:dyDescent="0.25">
      <c r="A52" s="130"/>
      <c r="B52" s="170"/>
      <c r="C52" s="170"/>
      <c r="D52" s="169"/>
      <c r="E52" s="169"/>
      <c r="F52" s="101"/>
      <c r="G52" s="101"/>
      <c r="H52" s="101"/>
      <c r="I52" s="101"/>
      <c r="J52" s="101"/>
      <c r="K52" s="310"/>
      <c r="L52" s="170"/>
      <c r="M52" s="169"/>
    </row>
    <row r="53" spans="1:256" s="122" customFormat="1" x14ac:dyDescent="0.25">
      <c r="A53" s="130"/>
      <c r="B53" s="170"/>
      <c r="C53" s="170"/>
      <c r="D53" s="169"/>
      <c r="E53" s="169"/>
      <c r="F53" s="101"/>
      <c r="G53" s="101"/>
      <c r="H53" s="101"/>
      <c r="I53" s="101"/>
      <c r="J53" s="101"/>
      <c r="K53" s="310"/>
      <c r="L53" s="170"/>
      <c r="M53" s="169"/>
    </row>
    <row r="54" spans="1:256" s="122" customFormat="1" x14ac:dyDescent="0.25">
      <c r="A54" s="130"/>
      <c r="B54" s="172"/>
      <c r="C54" s="172"/>
      <c r="D54" s="169"/>
      <c r="E54" s="171"/>
      <c r="F54" s="101"/>
      <c r="G54" s="101"/>
      <c r="H54" s="101"/>
      <c r="I54" s="101"/>
      <c r="J54" s="101"/>
      <c r="K54" s="311"/>
      <c r="L54" s="172"/>
      <c r="M54" s="171"/>
    </row>
    <row r="55" spans="1:256" s="122" customFormat="1" x14ac:dyDescent="0.25">
      <c r="A55" s="130"/>
      <c r="B55" s="172"/>
      <c r="C55" s="172"/>
      <c r="D55" s="171"/>
      <c r="E55" s="171"/>
      <c r="F55" s="101"/>
      <c r="G55" s="101"/>
      <c r="H55" s="101"/>
      <c r="I55" s="101"/>
      <c r="J55" s="101"/>
      <c r="K55" s="311"/>
      <c r="L55" s="172"/>
      <c r="M55" s="171"/>
    </row>
    <row r="56" spans="1:256" s="122" customFormat="1" x14ac:dyDescent="0.25">
      <c r="A56" s="130"/>
      <c r="B56" s="172"/>
      <c r="C56" s="172"/>
      <c r="D56" s="171"/>
      <c r="E56" s="171"/>
      <c r="F56" s="101"/>
      <c r="G56" s="101"/>
      <c r="H56" s="101"/>
      <c r="I56" s="101"/>
      <c r="J56" s="101"/>
      <c r="K56" s="311"/>
      <c r="L56" s="172"/>
      <c r="M56" s="171"/>
    </row>
    <row r="57" spans="1:256" s="122" customFormat="1" x14ac:dyDescent="0.25">
      <c r="A57" s="130"/>
      <c r="B57" s="172"/>
      <c r="C57" s="172"/>
      <c r="D57" s="171"/>
      <c r="E57" s="171"/>
      <c r="F57" s="101"/>
      <c r="G57" s="101"/>
      <c r="H57" s="101"/>
      <c r="I57" s="101"/>
      <c r="J57" s="101"/>
      <c r="K57" s="311"/>
      <c r="L57" s="172"/>
      <c r="M57" s="171"/>
    </row>
    <row r="58" spans="1:256" s="122" customFormat="1" x14ac:dyDescent="0.25">
      <c r="A58" s="130"/>
      <c r="B58" s="131"/>
      <c r="C58" s="131"/>
      <c r="D58" s="171"/>
      <c r="F58" s="101"/>
      <c r="G58" s="101"/>
      <c r="H58" s="101"/>
      <c r="I58" s="101"/>
      <c r="J58" s="101"/>
      <c r="K58" s="217"/>
      <c r="L58" s="131"/>
    </row>
    <row r="59" spans="1:256" s="122" customFormat="1" x14ac:dyDescent="0.25">
      <c r="A59" s="130"/>
      <c r="B59" s="131"/>
      <c r="C59" s="131"/>
      <c r="F59" s="101"/>
      <c r="G59" s="101"/>
      <c r="H59" s="101"/>
      <c r="I59" s="101"/>
      <c r="J59" s="101"/>
      <c r="K59" s="217"/>
      <c r="L59" s="131"/>
    </row>
    <row r="60" spans="1:256" s="122" customFormat="1" x14ac:dyDescent="0.25">
      <c r="A60" s="130"/>
      <c r="B60" s="131"/>
      <c r="C60" s="131"/>
      <c r="F60" s="101"/>
      <c r="G60" s="101"/>
      <c r="H60" s="101"/>
      <c r="I60" s="101"/>
      <c r="J60" s="101"/>
      <c r="K60" s="217"/>
      <c r="L60" s="131"/>
    </row>
    <row r="61" spans="1:256" s="122" customFormat="1" x14ac:dyDescent="0.25">
      <c r="A61" s="130"/>
      <c r="B61" s="131"/>
      <c r="C61" s="131"/>
      <c r="F61" s="101"/>
      <c r="G61" s="101"/>
      <c r="H61" s="101"/>
      <c r="I61" s="101"/>
      <c r="J61" s="101"/>
      <c r="K61" s="217"/>
      <c r="L61" s="131"/>
    </row>
    <row r="62" spans="1:256" s="122" customFormat="1" x14ac:dyDescent="0.25">
      <c r="A62" s="130"/>
      <c r="B62" s="131"/>
      <c r="C62" s="131"/>
      <c r="F62" s="173"/>
      <c r="G62" s="131"/>
      <c r="H62" s="131"/>
      <c r="I62" s="131"/>
      <c r="J62" s="131"/>
      <c r="K62" s="217"/>
      <c r="L62" s="131"/>
    </row>
    <row r="63" spans="1:256" s="122" customFormat="1" x14ac:dyDescent="0.25">
      <c r="A63" s="16"/>
      <c r="B63" s="304"/>
      <c r="C63" s="304"/>
      <c r="D63"/>
      <c r="E63"/>
      <c r="F63" s="98"/>
      <c r="G63" s="98"/>
      <c r="H63" s="98"/>
      <c r="I63" s="98"/>
      <c r="J63" s="111"/>
      <c r="K63" s="305"/>
      <c r="L63" s="99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</row>
    <row r="64" spans="1:256" s="122" customFormat="1" x14ac:dyDescent="0.25">
      <c r="A64" s="130"/>
      <c r="B64" s="131"/>
      <c r="C64" s="131"/>
      <c r="F64" s="173"/>
      <c r="G64" s="131"/>
      <c r="H64" s="131"/>
      <c r="I64" s="131"/>
      <c r="J64" s="131"/>
      <c r="K64" s="217"/>
      <c r="L64" s="131"/>
      <c r="M64" s="132"/>
    </row>
    <row r="65" spans="1:13" s="122" customFormat="1" x14ac:dyDescent="0.25">
      <c r="A65" s="130"/>
      <c r="B65" s="131"/>
      <c r="C65" s="131"/>
      <c r="F65" s="173"/>
      <c r="G65" s="131"/>
      <c r="H65" s="131"/>
      <c r="I65" s="131"/>
      <c r="J65" s="131"/>
      <c r="K65" s="217"/>
      <c r="L65" s="131"/>
      <c r="M65" s="132"/>
    </row>
    <row r="66" spans="1:13" s="122" customFormat="1" x14ac:dyDescent="0.25">
      <c r="A66" s="130"/>
      <c r="B66" s="131"/>
      <c r="C66" s="131"/>
      <c r="F66" s="173"/>
      <c r="G66" s="131"/>
      <c r="H66" s="131"/>
      <c r="I66" s="131"/>
      <c r="J66" s="131"/>
      <c r="K66" s="217"/>
      <c r="L66" s="131"/>
      <c r="M66" s="132"/>
    </row>
    <row r="67" spans="1:13" s="122" customFormat="1" x14ac:dyDescent="0.25">
      <c r="A67" s="130"/>
      <c r="B67" s="131"/>
      <c r="C67" s="131"/>
      <c r="F67" s="173"/>
      <c r="G67" s="131"/>
      <c r="H67" s="131"/>
      <c r="I67" s="131"/>
      <c r="J67" s="131"/>
      <c r="K67" s="217"/>
      <c r="L67" s="131"/>
      <c r="M67" s="132"/>
    </row>
    <row r="68" spans="1:13" s="122" customFormat="1" x14ac:dyDescent="0.25">
      <c r="A68" s="130"/>
      <c r="B68" s="131"/>
      <c r="C68" s="131"/>
      <c r="F68" s="173"/>
      <c r="G68" s="131"/>
      <c r="H68" s="131"/>
      <c r="I68" s="131"/>
      <c r="J68" s="131"/>
      <c r="K68" s="217"/>
      <c r="L68" s="131"/>
    </row>
    <row r="69" spans="1:13" s="122" customFormat="1" x14ac:dyDescent="0.25">
      <c r="A69" s="130"/>
      <c r="B69" s="131"/>
      <c r="C69" s="131"/>
      <c r="D69" s="132"/>
      <c r="F69" s="173"/>
      <c r="G69" s="131"/>
      <c r="H69" s="131"/>
      <c r="I69" s="131"/>
      <c r="J69" s="131"/>
      <c r="K69" s="217"/>
      <c r="L69" s="131"/>
    </row>
    <row r="70" spans="1:13" s="122" customFormat="1" x14ac:dyDescent="0.25">
      <c r="A70" s="130"/>
      <c r="B70" s="131"/>
      <c r="C70" s="131"/>
      <c r="F70" s="173"/>
      <c r="G70" s="131"/>
      <c r="H70" s="131"/>
      <c r="I70" s="131"/>
      <c r="J70" s="131"/>
      <c r="K70" s="217"/>
      <c r="L70" s="131"/>
    </row>
    <row r="71" spans="1:13" s="122" customFormat="1" x14ac:dyDescent="0.25">
      <c r="A71" s="130"/>
      <c r="B71" s="131"/>
      <c r="C71" s="131"/>
      <c r="F71" s="173"/>
      <c r="G71" s="131"/>
      <c r="H71" s="131"/>
      <c r="I71" s="131"/>
      <c r="J71" s="131"/>
      <c r="K71" s="217"/>
      <c r="L71" s="131"/>
    </row>
    <row r="72" spans="1:13" s="122" customFormat="1" x14ac:dyDescent="0.25">
      <c r="A72" s="130"/>
      <c r="B72" s="131"/>
      <c r="C72" s="131"/>
      <c r="F72" s="173"/>
      <c r="G72" s="131"/>
      <c r="H72" s="131"/>
      <c r="I72" s="131"/>
      <c r="J72" s="131"/>
      <c r="K72" s="217"/>
      <c r="L72" s="131"/>
    </row>
    <row r="73" spans="1:13" s="122" customFormat="1" x14ac:dyDescent="0.25">
      <c r="A73" s="130"/>
      <c r="B73" s="131"/>
      <c r="C73" s="131"/>
      <c r="D73" s="132"/>
      <c r="F73" s="173"/>
      <c r="G73" s="131"/>
      <c r="H73" s="131"/>
      <c r="I73" s="131"/>
      <c r="J73" s="131"/>
      <c r="K73" s="217"/>
      <c r="L73" s="131"/>
    </row>
    <row r="74" spans="1:13" s="122" customFormat="1" x14ac:dyDescent="0.25">
      <c r="A74" s="130"/>
      <c r="B74" s="131"/>
      <c r="C74" s="131"/>
      <c r="F74" s="173"/>
      <c r="G74" s="131"/>
      <c r="H74" s="131"/>
      <c r="I74" s="131"/>
      <c r="J74" s="131"/>
      <c r="K74" s="217"/>
      <c r="L74" s="131"/>
    </row>
    <row r="75" spans="1:13" s="122" customFormat="1" x14ac:dyDescent="0.25">
      <c r="A75" s="130"/>
      <c r="B75" s="131"/>
      <c r="C75" s="131"/>
      <c r="F75" s="173"/>
      <c r="G75" s="131"/>
      <c r="H75" s="131"/>
      <c r="I75" s="131"/>
      <c r="J75" s="131"/>
      <c r="K75" s="217"/>
      <c r="L75" s="131"/>
    </row>
    <row r="76" spans="1:13" s="122" customFormat="1" x14ac:dyDescent="0.25">
      <c r="A76" s="130"/>
      <c r="B76" s="131"/>
      <c r="C76" s="131"/>
      <c r="F76" s="131"/>
      <c r="G76" s="131"/>
      <c r="H76" s="131"/>
      <c r="I76" s="131"/>
      <c r="J76" s="131"/>
      <c r="K76" s="217"/>
      <c r="L76" s="131"/>
    </row>
    <row r="77" spans="1:13" s="122" customFormat="1" x14ac:dyDescent="0.25">
      <c r="A77" s="130"/>
      <c r="B77" s="131"/>
      <c r="C77" s="131"/>
      <c r="F77" s="131"/>
      <c r="G77" s="131"/>
      <c r="H77" s="131"/>
      <c r="I77" s="131"/>
      <c r="J77" s="131"/>
      <c r="K77" s="217"/>
      <c r="L77" s="131"/>
    </row>
    <row r="78" spans="1:13" s="122" customFormat="1" x14ac:dyDescent="0.25">
      <c r="A78" s="130"/>
      <c r="B78" s="131"/>
      <c r="C78" s="131"/>
      <c r="F78" s="131"/>
      <c r="G78" s="131"/>
      <c r="H78" s="131"/>
      <c r="I78" s="131"/>
      <c r="J78" s="131"/>
      <c r="K78" s="217"/>
      <c r="L78" s="131"/>
    </row>
    <row r="79" spans="1:13" s="122" customFormat="1" x14ac:dyDescent="0.25">
      <c r="A79" s="130"/>
      <c r="B79" s="131"/>
      <c r="C79" s="131"/>
      <c r="F79" s="131"/>
      <c r="G79" s="131"/>
      <c r="H79" s="131"/>
      <c r="I79" s="131"/>
      <c r="J79" s="131"/>
      <c r="K79" s="217"/>
      <c r="L79" s="131"/>
    </row>
    <row r="80" spans="1:13" s="122" customFormat="1" x14ac:dyDescent="0.25">
      <c r="A80" s="130"/>
      <c r="B80" s="131"/>
      <c r="C80" s="131"/>
      <c r="F80" s="131"/>
      <c r="G80" s="131"/>
      <c r="H80" s="131"/>
      <c r="I80" s="131"/>
      <c r="J80" s="131"/>
      <c r="K80" s="217"/>
      <c r="L80" s="131"/>
    </row>
    <row r="81" spans="1:256" s="122" customFormat="1" x14ac:dyDescent="0.25">
      <c r="A81" s="130"/>
      <c r="B81" s="131"/>
      <c r="C81" s="131"/>
      <c r="F81" s="131"/>
      <c r="G81" s="131"/>
      <c r="H81" s="131"/>
      <c r="I81" s="131"/>
      <c r="J81" s="131"/>
      <c r="K81" s="217"/>
      <c r="L81" s="131"/>
    </row>
    <row r="82" spans="1:256" s="122" customFormat="1" x14ac:dyDescent="0.25">
      <c r="A82" s="130"/>
      <c r="B82" s="131"/>
      <c r="C82" s="131"/>
      <c r="F82" s="131"/>
      <c r="G82" s="131"/>
      <c r="H82" s="131"/>
      <c r="I82" s="131"/>
      <c r="J82" s="131"/>
      <c r="K82" s="217"/>
      <c r="L82" s="131"/>
    </row>
    <row r="83" spans="1:256" s="122" customFormat="1" x14ac:dyDescent="0.25">
      <c r="A83" s="130"/>
      <c r="B83" s="131"/>
      <c r="C83" s="131"/>
      <c r="F83" s="131"/>
      <c r="G83" s="131"/>
      <c r="H83" s="131"/>
      <c r="I83" s="131"/>
      <c r="J83" s="131"/>
      <c r="K83" s="217"/>
      <c r="L83" s="131"/>
    </row>
    <row r="84" spans="1:256" s="122" customFormat="1" x14ac:dyDescent="0.25">
      <c r="A84" s="130"/>
      <c r="B84" s="131"/>
      <c r="C84" s="131"/>
      <c r="F84" s="131"/>
      <c r="G84" s="131"/>
      <c r="H84" s="131"/>
      <c r="I84" s="131"/>
      <c r="J84" s="131"/>
      <c r="K84" s="217"/>
      <c r="L84" s="131"/>
    </row>
    <row r="85" spans="1:256" s="122" customFormat="1" x14ac:dyDescent="0.25">
      <c r="A85" s="130"/>
      <c r="B85" s="131"/>
      <c r="C85" s="131"/>
      <c r="D85" s="150"/>
      <c r="F85" s="131"/>
      <c r="G85" s="131"/>
      <c r="H85" s="131"/>
      <c r="I85" s="131"/>
      <c r="J85" s="131"/>
      <c r="K85" s="217"/>
      <c r="L85" s="131"/>
    </row>
    <row r="86" spans="1:256" s="122" customFormat="1" x14ac:dyDescent="0.25">
      <c r="A86" s="130"/>
      <c r="B86" s="131"/>
      <c r="C86" s="131"/>
      <c r="F86" s="131"/>
      <c r="G86" s="131"/>
      <c r="H86" s="131"/>
      <c r="I86" s="131"/>
      <c r="J86" s="131"/>
      <c r="K86" s="217"/>
      <c r="L86" s="131"/>
    </row>
    <row r="87" spans="1:256" s="127" customFormat="1" x14ac:dyDescent="0.25">
      <c r="A87" s="130"/>
      <c r="B87" s="131"/>
      <c r="C87" s="131"/>
      <c r="D87" s="122"/>
      <c r="E87" s="122"/>
      <c r="F87" s="131"/>
      <c r="G87" s="131"/>
      <c r="H87" s="131"/>
      <c r="I87" s="131"/>
      <c r="J87" s="131"/>
      <c r="K87" s="217"/>
      <c r="L87" s="131"/>
      <c r="M87" s="122"/>
      <c r="N87" s="122"/>
      <c r="O87" s="122"/>
      <c r="P87" s="122"/>
      <c r="Q87" s="122"/>
      <c r="R87" s="122"/>
      <c r="S87" s="122"/>
      <c r="T87" s="122"/>
      <c r="U87" s="122"/>
      <c r="V87" s="122"/>
      <c r="W87" s="122"/>
      <c r="X87" s="122"/>
      <c r="Y87" s="122"/>
      <c r="Z87" s="122"/>
      <c r="AA87" s="122"/>
      <c r="AB87" s="122"/>
      <c r="AC87" s="122"/>
      <c r="AD87" s="122"/>
      <c r="AE87" s="122"/>
      <c r="AF87" s="122"/>
      <c r="AG87" s="122"/>
      <c r="AH87" s="122"/>
      <c r="AI87" s="122"/>
      <c r="AJ87" s="122"/>
      <c r="AK87" s="122"/>
      <c r="AL87" s="122"/>
      <c r="AM87" s="122"/>
      <c r="AN87" s="122"/>
      <c r="AO87" s="122"/>
      <c r="AP87" s="122"/>
      <c r="AQ87" s="122"/>
      <c r="AR87" s="122"/>
      <c r="AS87" s="122"/>
      <c r="AT87" s="122"/>
      <c r="AU87" s="122"/>
      <c r="AV87" s="122"/>
      <c r="AW87" s="122"/>
      <c r="AX87" s="122"/>
      <c r="AY87" s="122"/>
      <c r="AZ87" s="122"/>
      <c r="BA87" s="122"/>
      <c r="BB87" s="122"/>
      <c r="BC87" s="122"/>
      <c r="BD87" s="122"/>
      <c r="BE87" s="122"/>
      <c r="BF87" s="122"/>
      <c r="BG87" s="122"/>
      <c r="BH87" s="122"/>
      <c r="BI87" s="122"/>
      <c r="BJ87" s="122"/>
      <c r="BK87" s="122"/>
      <c r="BL87" s="122"/>
      <c r="BM87" s="122"/>
      <c r="BN87" s="122"/>
      <c r="BO87" s="122"/>
      <c r="BP87" s="122"/>
      <c r="BQ87" s="122"/>
      <c r="BR87" s="122"/>
      <c r="BS87" s="122"/>
      <c r="BT87" s="122"/>
      <c r="BU87" s="122"/>
      <c r="BV87" s="122"/>
      <c r="BW87" s="122"/>
      <c r="BX87" s="122"/>
      <c r="BY87" s="122"/>
      <c r="BZ87" s="122"/>
      <c r="CA87" s="122"/>
      <c r="CB87" s="122"/>
      <c r="CC87" s="122"/>
      <c r="CD87" s="122"/>
      <c r="CE87" s="122"/>
      <c r="CF87" s="122"/>
      <c r="CG87" s="122"/>
      <c r="CH87" s="122"/>
      <c r="CI87" s="122"/>
      <c r="CJ87" s="122"/>
      <c r="CK87" s="122"/>
      <c r="CL87" s="122"/>
      <c r="CM87" s="122"/>
      <c r="CN87" s="122"/>
      <c r="CO87" s="122"/>
      <c r="CP87" s="122"/>
      <c r="CQ87" s="122"/>
      <c r="CR87" s="122"/>
      <c r="CS87" s="122"/>
      <c r="CT87" s="122"/>
      <c r="CU87" s="122"/>
      <c r="CV87" s="122"/>
      <c r="CW87" s="122"/>
      <c r="CX87" s="122"/>
      <c r="CY87" s="122"/>
      <c r="CZ87" s="122"/>
      <c r="DA87" s="122"/>
      <c r="DB87" s="122"/>
      <c r="DC87" s="122"/>
      <c r="DD87" s="122"/>
      <c r="DE87" s="122"/>
      <c r="DF87" s="122"/>
      <c r="DG87" s="122"/>
      <c r="DH87" s="122"/>
      <c r="DI87" s="122"/>
      <c r="DJ87" s="122"/>
      <c r="DK87" s="122"/>
      <c r="DL87" s="122"/>
      <c r="DM87" s="122"/>
      <c r="DN87" s="122"/>
      <c r="DO87" s="122"/>
      <c r="DP87" s="122"/>
      <c r="DQ87" s="122"/>
      <c r="DR87" s="122"/>
      <c r="DS87" s="122"/>
      <c r="DT87" s="122"/>
      <c r="DU87" s="122"/>
      <c r="DV87" s="122"/>
      <c r="DW87" s="122"/>
      <c r="DX87" s="122"/>
      <c r="DY87" s="122"/>
      <c r="DZ87" s="122"/>
      <c r="EA87" s="122"/>
      <c r="EB87" s="122"/>
      <c r="EC87" s="122"/>
      <c r="ED87" s="122"/>
      <c r="EE87" s="122"/>
      <c r="EF87" s="122"/>
      <c r="EG87" s="122"/>
      <c r="EH87" s="122"/>
      <c r="EI87" s="122"/>
      <c r="EJ87" s="122"/>
      <c r="EK87" s="122"/>
      <c r="EL87" s="122"/>
      <c r="EM87" s="122"/>
      <c r="EN87" s="122"/>
      <c r="EO87" s="122"/>
      <c r="EP87" s="122"/>
      <c r="EQ87" s="122"/>
      <c r="ER87" s="122"/>
      <c r="ES87" s="122"/>
      <c r="ET87" s="122"/>
      <c r="EU87" s="122"/>
      <c r="EV87" s="122"/>
      <c r="EW87" s="122"/>
      <c r="EX87" s="122"/>
      <c r="EY87" s="122"/>
      <c r="EZ87" s="122"/>
      <c r="FA87" s="122"/>
      <c r="FB87" s="122"/>
      <c r="FC87" s="122"/>
      <c r="FD87" s="122"/>
      <c r="FE87" s="122"/>
      <c r="FF87" s="122"/>
      <c r="FG87" s="122"/>
      <c r="FH87" s="122"/>
      <c r="FI87" s="122"/>
      <c r="FJ87" s="122"/>
      <c r="FK87" s="122"/>
      <c r="FL87" s="122"/>
      <c r="FM87" s="122"/>
      <c r="FN87" s="122"/>
      <c r="FO87" s="122"/>
      <c r="FP87" s="122"/>
      <c r="FQ87" s="122"/>
      <c r="FR87" s="122"/>
      <c r="FS87" s="122"/>
      <c r="FT87" s="122"/>
      <c r="FU87" s="122"/>
      <c r="FV87" s="122"/>
      <c r="FW87" s="122"/>
      <c r="FX87" s="122"/>
      <c r="FY87" s="122"/>
      <c r="FZ87" s="122"/>
      <c r="GA87" s="122"/>
      <c r="GB87" s="122"/>
      <c r="GC87" s="122"/>
      <c r="GD87" s="122"/>
      <c r="GE87" s="122"/>
      <c r="GF87" s="122"/>
      <c r="GG87" s="122"/>
      <c r="GH87" s="122"/>
      <c r="GI87" s="122"/>
      <c r="GJ87" s="122"/>
      <c r="GK87" s="122"/>
      <c r="GL87" s="122"/>
      <c r="GM87" s="122"/>
      <c r="GN87" s="122"/>
      <c r="GO87" s="122"/>
      <c r="GP87" s="122"/>
      <c r="GQ87" s="122"/>
      <c r="GR87" s="122"/>
      <c r="GS87" s="122"/>
      <c r="GT87" s="122"/>
      <c r="GU87" s="122"/>
      <c r="GV87" s="122"/>
      <c r="GW87" s="122"/>
      <c r="GX87" s="122"/>
      <c r="GY87" s="122"/>
      <c r="GZ87" s="122"/>
      <c r="HA87" s="122"/>
      <c r="HB87" s="122"/>
      <c r="HC87" s="122"/>
      <c r="HD87" s="122"/>
      <c r="HE87" s="122"/>
      <c r="HF87" s="122"/>
      <c r="HG87" s="122"/>
      <c r="HH87" s="122"/>
      <c r="HI87" s="122"/>
      <c r="HJ87" s="122"/>
      <c r="HK87" s="122"/>
      <c r="HL87" s="122"/>
      <c r="HM87" s="122"/>
      <c r="HN87" s="122"/>
      <c r="HO87" s="122"/>
      <c r="HP87" s="122"/>
      <c r="HQ87" s="122"/>
      <c r="HR87" s="122"/>
      <c r="HS87" s="122"/>
      <c r="HT87" s="122"/>
      <c r="HU87" s="122"/>
      <c r="HV87" s="122"/>
      <c r="HW87" s="122"/>
      <c r="HX87" s="122"/>
      <c r="HY87" s="122"/>
      <c r="HZ87" s="122"/>
      <c r="IA87" s="122"/>
      <c r="IB87" s="122"/>
      <c r="IC87" s="122"/>
      <c r="ID87" s="122"/>
      <c r="IE87" s="122"/>
      <c r="IF87" s="122"/>
      <c r="IG87" s="122"/>
      <c r="IH87" s="122"/>
      <c r="II87" s="122"/>
      <c r="IJ87" s="122"/>
      <c r="IK87" s="122"/>
      <c r="IL87" s="122"/>
      <c r="IM87" s="122"/>
      <c r="IN87" s="122"/>
      <c r="IO87" s="122"/>
      <c r="IP87" s="122"/>
      <c r="IQ87" s="122"/>
      <c r="IR87" s="122"/>
      <c r="IS87" s="122"/>
      <c r="IT87" s="122"/>
      <c r="IU87" s="122"/>
      <c r="IV87" s="122"/>
    </row>
    <row r="88" spans="1:256" s="127" customFormat="1" x14ac:dyDescent="0.25">
      <c r="A88" s="130"/>
      <c r="B88" s="131"/>
      <c r="C88" s="131"/>
      <c r="D88" s="122"/>
      <c r="E88" s="122"/>
      <c r="F88" s="131"/>
      <c r="G88" s="131"/>
      <c r="H88" s="131"/>
      <c r="I88" s="131"/>
      <c r="J88" s="131"/>
      <c r="K88" s="217"/>
      <c r="L88" s="131"/>
      <c r="M88" s="122"/>
      <c r="N88" s="122"/>
      <c r="O88" s="122"/>
      <c r="P88" s="122"/>
      <c r="Q88" s="122"/>
      <c r="R88" s="122"/>
      <c r="S88" s="122"/>
      <c r="T88" s="122"/>
      <c r="U88" s="122"/>
      <c r="V88" s="122"/>
      <c r="W88" s="122"/>
      <c r="X88" s="122"/>
      <c r="Y88" s="122"/>
      <c r="Z88" s="122"/>
      <c r="AA88" s="122"/>
      <c r="AB88" s="122"/>
      <c r="AC88" s="122"/>
      <c r="AD88" s="122"/>
      <c r="AE88" s="122"/>
      <c r="AF88" s="122"/>
      <c r="AG88" s="122"/>
      <c r="AH88" s="122"/>
      <c r="AI88" s="122"/>
      <c r="AJ88" s="122"/>
      <c r="AK88" s="122"/>
      <c r="AL88" s="122"/>
      <c r="AM88" s="122"/>
      <c r="AN88" s="122"/>
      <c r="AO88" s="122"/>
      <c r="AP88" s="122"/>
      <c r="AQ88" s="122"/>
      <c r="AR88" s="122"/>
      <c r="AS88" s="122"/>
      <c r="AT88" s="122"/>
      <c r="AU88" s="122"/>
      <c r="AV88" s="122"/>
      <c r="AW88" s="122"/>
      <c r="AX88" s="122"/>
      <c r="AY88" s="122"/>
      <c r="AZ88" s="122"/>
      <c r="BA88" s="122"/>
      <c r="BB88" s="122"/>
      <c r="BC88" s="122"/>
      <c r="BD88" s="122"/>
      <c r="BE88" s="122"/>
      <c r="BF88" s="122"/>
      <c r="BG88" s="122"/>
      <c r="BH88" s="122"/>
      <c r="BI88" s="122"/>
      <c r="BJ88" s="122"/>
      <c r="BK88" s="122"/>
      <c r="BL88" s="122"/>
      <c r="BM88" s="122"/>
      <c r="BN88" s="122"/>
      <c r="BO88" s="122"/>
      <c r="BP88" s="122"/>
      <c r="BQ88" s="122"/>
      <c r="BR88" s="122"/>
      <c r="BS88" s="122"/>
      <c r="BT88" s="122"/>
      <c r="BU88" s="122"/>
      <c r="BV88" s="122"/>
      <c r="BW88" s="122"/>
      <c r="BX88" s="122"/>
      <c r="BY88" s="122"/>
      <c r="BZ88" s="122"/>
      <c r="CA88" s="122"/>
      <c r="CB88" s="122"/>
      <c r="CC88" s="122"/>
      <c r="CD88" s="122"/>
      <c r="CE88" s="122"/>
      <c r="CF88" s="122"/>
      <c r="CG88" s="122"/>
      <c r="CH88" s="122"/>
      <c r="CI88" s="122"/>
      <c r="CJ88" s="122"/>
      <c r="CK88" s="122"/>
      <c r="CL88" s="122"/>
      <c r="CM88" s="122"/>
      <c r="CN88" s="122"/>
      <c r="CO88" s="122"/>
      <c r="CP88" s="122"/>
      <c r="CQ88" s="122"/>
      <c r="CR88" s="122"/>
      <c r="CS88" s="122"/>
      <c r="CT88" s="122"/>
      <c r="CU88" s="122"/>
      <c r="CV88" s="122"/>
      <c r="CW88" s="122"/>
      <c r="CX88" s="122"/>
      <c r="CY88" s="122"/>
      <c r="CZ88" s="122"/>
      <c r="DA88" s="122"/>
      <c r="DB88" s="122"/>
      <c r="DC88" s="122"/>
      <c r="DD88" s="122"/>
      <c r="DE88" s="122"/>
      <c r="DF88" s="122"/>
      <c r="DG88" s="122"/>
      <c r="DH88" s="122"/>
      <c r="DI88" s="122"/>
      <c r="DJ88" s="122"/>
      <c r="DK88" s="122"/>
      <c r="DL88" s="122"/>
      <c r="DM88" s="122"/>
      <c r="DN88" s="122"/>
      <c r="DO88" s="122"/>
      <c r="DP88" s="122"/>
      <c r="DQ88" s="122"/>
      <c r="DR88" s="122"/>
      <c r="DS88" s="122"/>
      <c r="DT88" s="122"/>
      <c r="DU88" s="122"/>
      <c r="DV88" s="122"/>
      <c r="DW88" s="122"/>
      <c r="DX88" s="122"/>
      <c r="DY88" s="122"/>
      <c r="DZ88" s="122"/>
      <c r="EA88" s="122"/>
      <c r="EB88" s="122"/>
      <c r="EC88" s="122"/>
      <c r="ED88" s="122"/>
      <c r="EE88" s="122"/>
      <c r="EF88" s="122"/>
      <c r="EG88" s="122"/>
      <c r="EH88" s="122"/>
      <c r="EI88" s="122"/>
      <c r="EJ88" s="122"/>
      <c r="EK88" s="122"/>
      <c r="EL88" s="122"/>
      <c r="EM88" s="122"/>
      <c r="EN88" s="122"/>
      <c r="EO88" s="122"/>
      <c r="EP88" s="122"/>
      <c r="EQ88" s="122"/>
      <c r="ER88" s="122"/>
      <c r="ES88" s="122"/>
      <c r="ET88" s="122"/>
      <c r="EU88" s="122"/>
      <c r="EV88" s="122"/>
      <c r="EW88" s="122"/>
      <c r="EX88" s="122"/>
      <c r="EY88" s="122"/>
      <c r="EZ88" s="122"/>
      <c r="FA88" s="122"/>
      <c r="FB88" s="122"/>
      <c r="FC88" s="122"/>
      <c r="FD88" s="122"/>
      <c r="FE88" s="122"/>
      <c r="FF88" s="122"/>
      <c r="FG88" s="122"/>
      <c r="FH88" s="122"/>
      <c r="FI88" s="122"/>
      <c r="FJ88" s="122"/>
      <c r="FK88" s="122"/>
      <c r="FL88" s="122"/>
      <c r="FM88" s="122"/>
      <c r="FN88" s="122"/>
      <c r="FO88" s="122"/>
      <c r="FP88" s="122"/>
      <c r="FQ88" s="122"/>
      <c r="FR88" s="122"/>
      <c r="FS88" s="122"/>
      <c r="FT88" s="122"/>
      <c r="FU88" s="122"/>
      <c r="FV88" s="122"/>
      <c r="FW88" s="122"/>
      <c r="FX88" s="122"/>
      <c r="FY88" s="122"/>
      <c r="FZ88" s="122"/>
      <c r="GA88" s="122"/>
      <c r="GB88" s="122"/>
      <c r="GC88" s="122"/>
      <c r="GD88" s="122"/>
      <c r="GE88" s="122"/>
      <c r="GF88" s="122"/>
      <c r="GG88" s="122"/>
      <c r="GH88" s="122"/>
      <c r="GI88" s="122"/>
      <c r="GJ88" s="122"/>
      <c r="GK88" s="122"/>
      <c r="GL88" s="122"/>
      <c r="GM88" s="122"/>
      <c r="GN88" s="122"/>
      <c r="GO88" s="122"/>
      <c r="GP88" s="122"/>
      <c r="GQ88" s="122"/>
      <c r="GR88" s="122"/>
      <c r="GS88" s="122"/>
      <c r="GT88" s="122"/>
      <c r="GU88" s="122"/>
      <c r="GV88" s="122"/>
      <c r="GW88" s="122"/>
      <c r="GX88" s="122"/>
      <c r="GY88" s="122"/>
      <c r="GZ88" s="122"/>
      <c r="HA88" s="122"/>
      <c r="HB88" s="122"/>
      <c r="HC88" s="122"/>
      <c r="HD88" s="122"/>
      <c r="HE88" s="122"/>
      <c r="HF88" s="122"/>
      <c r="HG88" s="122"/>
      <c r="HH88" s="122"/>
      <c r="HI88" s="122"/>
      <c r="HJ88" s="122"/>
      <c r="HK88" s="122"/>
      <c r="HL88" s="122"/>
      <c r="HM88" s="122"/>
      <c r="HN88" s="122"/>
      <c r="HO88" s="122"/>
      <c r="HP88" s="122"/>
      <c r="HQ88" s="122"/>
      <c r="HR88" s="122"/>
      <c r="HS88" s="122"/>
      <c r="HT88" s="122"/>
      <c r="HU88" s="122"/>
      <c r="HV88" s="122"/>
      <c r="HW88" s="122"/>
      <c r="HX88" s="122"/>
      <c r="HY88" s="122"/>
      <c r="HZ88" s="122"/>
      <c r="IA88" s="122"/>
      <c r="IB88" s="122"/>
      <c r="IC88" s="122"/>
      <c r="ID88" s="122"/>
      <c r="IE88" s="122"/>
      <c r="IF88" s="122"/>
      <c r="IG88" s="122"/>
      <c r="IH88" s="122"/>
      <c r="II88" s="122"/>
      <c r="IJ88" s="122"/>
      <c r="IK88" s="122"/>
      <c r="IL88" s="122"/>
      <c r="IM88" s="122"/>
      <c r="IN88" s="122"/>
      <c r="IO88" s="122"/>
      <c r="IP88" s="122"/>
      <c r="IQ88" s="122"/>
      <c r="IR88" s="122"/>
      <c r="IS88" s="122"/>
      <c r="IT88" s="122"/>
      <c r="IU88" s="122"/>
      <c r="IV88" s="122"/>
    </row>
    <row r="89" spans="1:256" s="127" customFormat="1" x14ac:dyDescent="0.25">
      <c r="A89" s="130"/>
      <c r="B89" s="131"/>
      <c r="C89" s="131"/>
      <c r="D89" s="122"/>
      <c r="E89" s="122"/>
      <c r="F89" s="131"/>
      <c r="G89" s="131"/>
      <c r="H89" s="131"/>
      <c r="I89" s="131"/>
      <c r="J89" s="131"/>
      <c r="K89" s="217"/>
      <c r="L89" s="131"/>
      <c r="M89" s="122"/>
      <c r="N89" s="122"/>
      <c r="O89" s="122"/>
      <c r="P89" s="122"/>
      <c r="Q89" s="122"/>
      <c r="R89" s="122"/>
      <c r="S89" s="122"/>
      <c r="T89" s="122"/>
      <c r="U89" s="122"/>
      <c r="V89" s="122"/>
      <c r="W89" s="122"/>
      <c r="X89" s="122"/>
      <c r="Y89" s="122"/>
      <c r="Z89" s="122"/>
      <c r="AA89" s="122"/>
      <c r="AB89" s="122"/>
      <c r="AC89" s="122"/>
      <c r="AD89" s="122"/>
      <c r="AE89" s="122"/>
      <c r="AF89" s="122"/>
      <c r="AG89" s="122"/>
      <c r="AH89" s="122"/>
      <c r="AI89" s="122"/>
      <c r="AJ89" s="122"/>
      <c r="AK89" s="122"/>
      <c r="AL89" s="122"/>
      <c r="AM89" s="122"/>
      <c r="AN89" s="122"/>
      <c r="AO89" s="122"/>
      <c r="AP89" s="122"/>
      <c r="AQ89" s="122"/>
      <c r="AR89" s="122"/>
      <c r="AS89" s="122"/>
      <c r="AT89" s="122"/>
      <c r="AU89" s="122"/>
      <c r="AV89" s="122"/>
      <c r="AW89" s="122"/>
      <c r="AX89" s="122"/>
      <c r="AY89" s="122"/>
      <c r="AZ89" s="122"/>
      <c r="BA89" s="122"/>
      <c r="BB89" s="122"/>
      <c r="BC89" s="122"/>
      <c r="BD89" s="122"/>
      <c r="BE89" s="122"/>
      <c r="BF89" s="122"/>
      <c r="BG89" s="122"/>
      <c r="BH89" s="122"/>
      <c r="BI89" s="122"/>
      <c r="BJ89" s="122"/>
      <c r="BK89" s="122"/>
      <c r="BL89" s="122"/>
      <c r="BM89" s="122"/>
      <c r="BN89" s="122"/>
      <c r="BO89" s="122"/>
      <c r="BP89" s="122"/>
      <c r="BQ89" s="122"/>
      <c r="BR89" s="122"/>
      <c r="BS89" s="122"/>
      <c r="BT89" s="122"/>
      <c r="BU89" s="122"/>
      <c r="BV89" s="122"/>
      <c r="BW89" s="122"/>
      <c r="BX89" s="122"/>
      <c r="BY89" s="122"/>
      <c r="BZ89" s="122"/>
      <c r="CA89" s="122"/>
      <c r="CB89" s="122"/>
      <c r="CC89" s="122"/>
      <c r="CD89" s="122"/>
      <c r="CE89" s="122"/>
      <c r="CF89" s="122"/>
      <c r="CG89" s="122"/>
      <c r="CH89" s="122"/>
      <c r="CI89" s="122"/>
      <c r="CJ89" s="122"/>
      <c r="CK89" s="122"/>
      <c r="CL89" s="122"/>
      <c r="CM89" s="122"/>
      <c r="CN89" s="122"/>
      <c r="CO89" s="122"/>
      <c r="CP89" s="122"/>
      <c r="CQ89" s="122"/>
      <c r="CR89" s="122"/>
      <c r="CS89" s="122"/>
      <c r="CT89" s="122"/>
      <c r="CU89" s="122"/>
      <c r="CV89" s="122"/>
      <c r="CW89" s="122"/>
      <c r="CX89" s="122"/>
      <c r="CY89" s="122"/>
      <c r="CZ89" s="122"/>
      <c r="DA89" s="122"/>
      <c r="DB89" s="122"/>
      <c r="DC89" s="122"/>
      <c r="DD89" s="122"/>
      <c r="DE89" s="122"/>
      <c r="DF89" s="122"/>
      <c r="DG89" s="122"/>
      <c r="DH89" s="122"/>
      <c r="DI89" s="122"/>
      <c r="DJ89" s="122"/>
      <c r="DK89" s="122"/>
      <c r="DL89" s="122"/>
      <c r="DM89" s="122"/>
      <c r="DN89" s="122"/>
      <c r="DO89" s="122"/>
      <c r="DP89" s="122"/>
      <c r="DQ89" s="122"/>
      <c r="DR89" s="122"/>
      <c r="DS89" s="122"/>
      <c r="DT89" s="122"/>
      <c r="DU89" s="122"/>
      <c r="DV89" s="122"/>
      <c r="DW89" s="122"/>
      <c r="DX89" s="122"/>
      <c r="DY89" s="122"/>
      <c r="DZ89" s="122"/>
      <c r="EA89" s="122"/>
      <c r="EB89" s="122"/>
      <c r="EC89" s="122"/>
      <c r="ED89" s="122"/>
      <c r="EE89" s="122"/>
      <c r="EF89" s="122"/>
      <c r="EG89" s="122"/>
      <c r="EH89" s="122"/>
      <c r="EI89" s="122"/>
      <c r="EJ89" s="122"/>
      <c r="EK89" s="122"/>
      <c r="EL89" s="122"/>
      <c r="EM89" s="122"/>
      <c r="EN89" s="122"/>
      <c r="EO89" s="122"/>
      <c r="EP89" s="122"/>
      <c r="EQ89" s="122"/>
      <c r="ER89" s="122"/>
      <c r="ES89" s="122"/>
      <c r="ET89" s="122"/>
      <c r="EU89" s="122"/>
      <c r="EV89" s="122"/>
      <c r="EW89" s="122"/>
      <c r="EX89" s="122"/>
      <c r="EY89" s="122"/>
      <c r="EZ89" s="122"/>
      <c r="FA89" s="122"/>
      <c r="FB89" s="122"/>
      <c r="FC89" s="122"/>
      <c r="FD89" s="122"/>
      <c r="FE89" s="122"/>
      <c r="FF89" s="122"/>
      <c r="FG89" s="122"/>
      <c r="FH89" s="122"/>
      <c r="FI89" s="122"/>
      <c r="FJ89" s="122"/>
      <c r="FK89" s="122"/>
      <c r="FL89" s="122"/>
      <c r="FM89" s="122"/>
      <c r="FN89" s="122"/>
      <c r="FO89" s="122"/>
      <c r="FP89" s="122"/>
      <c r="FQ89" s="122"/>
      <c r="FR89" s="122"/>
      <c r="FS89" s="122"/>
      <c r="FT89" s="122"/>
      <c r="FU89" s="122"/>
      <c r="FV89" s="122"/>
      <c r="FW89" s="122"/>
      <c r="FX89" s="122"/>
      <c r="FY89" s="122"/>
      <c r="FZ89" s="122"/>
      <c r="GA89" s="122"/>
      <c r="GB89" s="122"/>
      <c r="GC89" s="122"/>
      <c r="GD89" s="122"/>
      <c r="GE89" s="122"/>
      <c r="GF89" s="122"/>
      <c r="GG89" s="122"/>
      <c r="GH89" s="122"/>
      <c r="GI89" s="122"/>
      <c r="GJ89" s="122"/>
      <c r="GK89" s="122"/>
      <c r="GL89" s="122"/>
      <c r="GM89" s="122"/>
      <c r="GN89" s="122"/>
      <c r="GO89" s="122"/>
      <c r="GP89" s="122"/>
      <c r="GQ89" s="122"/>
      <c r="GR89" s="122"/>
      <c r="GS89" s="122"/>
      <c r="GT89" s="122"/>
      <c r="GU89" s="122"/>
      <c r="GV89" s="122"/>
      <c r="GW89" s="122"/>
      <c r="GX89" s="122"/>
      <c r="GY89" s="122"/>
      <c r="GZ89" s="122"/>
      <c r="HA89" s="122"/>
      <c r="HB89" s="122"/>
      <c r="HC89" s="122"/>
      <c r="HD89" s="122"/>
      <c r="HE89" s="122"/>
      <c r="HF89" s="122"/>
      <c r="HG89" s="122"/>
      <c r="HH89" s="122"/>
      <c r="HI89" s="122"/>
      <c r="HJ89" s="122"/>
      <c r="HK89" s="122"/>
      <c r="HL89" s="122"/>
      <c r="HM89" s="122"/>
      <c r="HN89" s="122"/>
      <c r="HO89" s="122"/>
      <c r="HP89" s="122"/>
      <c r="HQ89" s="122"/>
      <c r="HR89" s="122"/>
      <c r="HS89" s="122"/>
      <c r="HT89" s="122"/>
      <c r="HU89" s="122"/>
      <c r="HV89" s="122"/>
      <c r="HW89" s="122"/>
      <c r="HX89" s="122"/>
      <c r="HY89" s="122"/>
      <c r="HZ89" s="122"/>
      <c r="IA89" s="122"/>
      <c r="IB89" s="122"/>
      <c r="IC89" s="122"/>
      <c r="ID89" s="122"/>
      <c r="IE89" s="122"/>
      <c r="IF89" s="122"/>
      <c r="IG89" s="122"/>
      <c r="IH89" s="122"/>
      <c r="II89" s="122"/>
      <c r="IJ89" s="122"/>
      <c r="IK89" s="122"/>
      <c r="IL89" s="122"/>
      <c r="IM89" s="122"/>
      <c r="IN89" s="122"/>
      <c r="IO89" s="122"/>
      <c r="IP89" s="122"/>
      <c r="IQ89" s="122"/>
      <c r="IR89" s="122"/>
      <c r="IS89" s="122"/>
      <c r="IT89" s="122"/>
      <c r="IU89" s="122"/>
      <c r="IV89" s="122"/>
    </row>
    <row r="90" spans="1:256" s="127" customFormat="1" x14ac:dyDescent="0.25">
      <c r="A90" s="130"/>
      <c r="B90" s="131"/>
      <c r="C90" s="131"/>
      <c r="D90" s="122"/>
      <c r="E90" s="122"/>
      <c r="F90" s="131"/>
      <c r="G90" s="131"/>
      <c r="H90" s="131"/>
      <c r="I90" s="131"/>
      <c r="J90" s="131"/>
      <c r="K90" s="217"/>
      <c r="L90" s="131"/>
      <c r="M90" s="122"/>
      <c r="N90" s="122"/>
      <c r="O90" s="122"/>
      <c r="P90" s="122"/>
      <c r="Q90" s="122"/>
      <c r="R90" s="122"/>
      <c r="S90" s="122"/>
      <c r="T90" s="122"/>
      <c r="U90" s="122"/>
      <c r="V90" s="122"/>
      <c r="W90" s="122"/>
      <c r="X90" s="122"/>
      <c r="Y90" s="122"/>
      <c r="Z90" s="122"/>
      <c r="AA90" s="122"/>
      <c r="AB90" s="122"/>
      <c r="AC90" s="122"/>
      <c r="AD90" s="122"/>
      <c r="AE90" s="122"/>
      <c r="AF90" s="122"/>
      <c r="AG90" s="122"/>
      <c r="AH90" s="122"/>
      <c r="AI90" s="122"/>
      <c r="AJ90" s="122"/>
      <c r="AK90" s="122"/>
      <c r="AL90" s="122"/>
      <c r="AM90" s="122"/>
      <c r="AN90" s="122"/>
      <c r="AO90" s="122"/>
      <c r="AP90" s="122"/>
      <c r="AQ90" s="122"/>
      <c r="AR90" s="122"/>
      <c r="AS90" s="122"/>
      <c r="AT90" s="122"/>
      <c r="AU90" s="122"/>
      <c r="AV90" s="122"/>
      <c r="AW90" s="122"/>
      <c r="AX90" s="122"/>
      <c r="AY90" s="122"/>
      <c r="AZ90" s="122"/>
      <c r="BA90" s="122"/>
      <c r="BB90" s="122"/>
      <c r="BC90" s="122"/>
      <c r="BD90" s="122"/>
      <c r="BE90" s="122"/>
      <c r="BF90" s="122"/>
      <c r="BG90" s="122"/>
      <c r="BH90" s="122"/>
      <c r="BI90" s="122"/>
      <c r="BJ90" s="122"/>
      <c r="BK90" s="122"/>
      <c r="BL90" s="122"/>
      <c r="BM90" s="122"/>
      <c r="BN90" s="122"/>
      <c r="BO90" s="122"/>
      <c r="BP90" s="122"/>
      <c r="BQ90" s="122"/>
      <c r="BR90" s="122"/>
      <c r="BS90" s="122"/>
      <c r="BT90" s="122"/>
      <c r="BU90" s="122"/>
      <c r="BV90" s="122"/>
      <c r="BW90" s="122"/>
      <c r="BX90" s="122"/>
      <c r="BY90" s="122"/>
      <c r="BZ90" s="122"/>
      <c r="CA90" s="122"/>
      <c r="CB90" s="122"/>
      <c r="CC90" s="122"/>
      <c r="CD90" s="122"/>
      <c r="CE90" s="122"/>
      <c r="CF90" s="122"/>
      <c r="CG90" s="122"/>
      <c r="CH90" s="122"/>
      <c r="CI90" s="122"/>
      <c r="CJ90" s="122"/>
      <c r="CK90" s="122"/>
      <c r="CL90" s="122"/>
      <c r="CM90" s="122"/>
      <c r="CN90" s="122"/>
      <c r="CO90" s="122"/>
      <c r="CP90" s="122"/>
      <c r="CQ90" s="122"/>
      <c r="CR90" s="122"/>
      <c r="CS90" s="122"/>
      <c r="CT90" s="122"/>
      <c r="CU90" s="122"/>
      <c r="CV90" s="122"/>
      <c r="CW90" s="122"/>
      <c r="CX90" s="122"/>
      <c r="CY90" s="122"/>
      <c r="CZ90" s="122"/>
      <c r="DA90" s="122"/>
      <c r="DB90" s="122"/>
      <c r="DC90" s="122"/>
      <c r="DD90" s="122"/>
      <c r="DE90" s="122"/>
      <c r="DF90" s="122"/>
      <c r="DG90" s="122"/>
      <c r="DH90" s="122"/>
      <c r="DI90" s="122"/>
      <c r="DJ90" s="122"/>
      <c r="DK90" s="122"/>
      <c r="DL90" s="122"/>
      <c r="DM90" s="122"/>
      <c r="DN90" s="122"/>
      <c r="DO90" s="122"/>
      <c r="DP90" s="122"/>
      <c r="DQ90" s="122"/>
      <c r="DR90" s="122"/>
      <c r="DS90" s="122"/>
      <c r="DT90" s="122"/>
      <c r="DU90" s="122"/>
      <c r="DV90" s="122"/>
      <c r="DW90" s="122"/>
      <c r="DX90" s="122"/>
      <c r="DY90" s="122"/>
      <c r="DZ90" s="122"/>
      <c r="EA90" s="122"/>
      <c r="EB90" s="122"/>
      <c r="EC90" s="122"/>
      <c r="ED90" s="122"/>
      <c r="EE90" s="122"/>
      <c r="EF90" s="122"/>
      <c r="EG90" s="122"/>
      <c r="EH90" s="122"/>
      <c r="EI90" s="122"/>
      <c r="EJ90" s="122"/>
      <c r="EK90" s="122"/>
      <c r="EL90" s="122"/>
      <c r="EM90" s="122"/>
      <c r="EN90" s="122"/>
      <c r="EO90" s="122"/>
      <c r="EP90" s="122"/>
      <c r="EQ90" s="122"/>
      <c r="ER90" s="122"/>
      <c r="ES90" s="122"/>
      <c r="ET90" s="122"/>
      <c r="EU90" s="122"/>
      <c r="EV90" s="122"/>
      <c r="EW90" s="122"/>
      <c r="EX90" s="122"/>
      <c r="EY90" s="122"/>
      <c r="EZ90" s="122"/>
      <c r="FA90" s="122"/>
      <c r="FB90" s="122"/>
      <c r="FC90" s="122"/>
      <c r="FD90" s="122"/>
      <c r="FE90" s="122"/>
      <c r="FF90" s="122"/>
      <c r="FG90" s="122"/>
      <c r="FH90" s="122"/>
      <c r="FI90" s="122"/>
      <c r="FJ90" s="122"/>
      <c r="FK90" s="122"/>
      <c r="FL90" s="122"/>
      <c r="FM90" s="122"/>
      <c r="FN90" s="122"/>
      <c r="FO90" s="122"/>
      <c r="FP90" s="122"/>
      <c r="FQ90" s="122"/>
      <c r="FR90" s="122"/>
      <c r="FS90" s="122"/>
      <c r="FT90" s="122"/>
      <c r="FU90" s="122"/>
      <c r="FV90" s="122"/>
      <c r="FW90" s="122"/>
      <c r="FX90" s="122"/>
      <c r="FY90" s="122"/>
      <c r="FZ90" s="122"/>
      <c r="GA90" s="122"/>
      <c r="GB90" s="122"/>
      <c r="GC90" s="122"/>
      <c r="GD90" s="122"/>
      <c r="GE90" s="122"/>
      <c r="GF90" s="122"/>
      <c r="GG90" s="122"/>
      <c r="GH90" s="122"/>
      <c r="GI90" s="122"/>
      <c r="GJ90" s="122"/>
      <c r="GK90" s="122"/>
      <c r="GL90" s="122"/>
      <c r="GM90" s="122"/>
      <c r="GN90" s="122"/>
      <c r="GO90" s="122"/>
      <c r="GP90" s="122"/>
      <c r="GQ90" s="122"/>
      <c r="GR90" s="122"/>
      <c r="GS90" s="122"/>
      <c r="GT90" s="122"/>
      <c r="GU90" s="122"/>
      <c r="GV90" s="122"/>
      <c r="GW90" s="122"/>
      <c r="GX90" s="122"/>
      <c r="GY90" s="122"/>
      <c r="GZ90" s="122"/>
      <c r="HA90" s="122"/>
      <c r="HB90" s="122"/>
      <c r="HC90" s="122"/>
      <c r="HD90" s="122"/>
      <c r="HE90" s="122"/>
      <c r="HF90" s="122"/>
      <c r="HG90" s="122"/>
      <c r="HH90" s="122"/>
      <c r="HI90" s="122"/>
      <c r="HJ90" s="122"/>
      <c r="HK90" s="122"/>
      <c r="HL90" s="122"/>
      <c r="HM90" s="122"/>
      <c r="HN90" s="122"/>
      <c r="HO90" s="122"/>
      <c r="HP90" s="122"/>
      <c r="HQ90" s="122"/>
      <c r="HR90" s="122"/>
      <c r="HS90" s="122"/>
      <c r="HT90" s="122"/>
      <c r="HU90" s="122"/>
      <c r="HV90" s="122"/>
      <c r="HW90" s="122"/>
      <c r="HX90" s="122"/>
      <c r="HY90" s="122"/>
      <c r="HZ90" s="122"/>
      <c r="IA90" s="122"/>
      <c r="IB90" s="122"/>
      <c r="IC90" s="122"/>
      <c r="ID90" s="122"/>
      <c r="IE90" s="122"/>
      <c r="IF90" s="122"/>
      <c r="IG90" s="122"/>
      <c r="IH90" s="122"/>
      <c r="II90" s="122"/>
      <c r="IJ90" s="122"/>
      <c r="IK90" s="122"/>
      <c r="IL90" s="122"/>
      <c r="IM90" s="122"/>
      <c r="IN90" s="122"/>
      <c r="IO90" s="122"/>
      <c r="IP90" s="122"/>
      <c r="IQ90" s="122"/>
      <c r="IR90" s="122"/>
      <c r="IS90" s="122"/>
      <c r="IT90" s="122"/>
      <c r="IU90" s="122"/>
      <c r="IV90" s="122"/>
    </row>
    <row r="91" spans="1:256" s="122" customFormat="1" x14ac:dyDescent="0.25">
      <c r="A91" s="130"/>
      <c r="B91" s="131"/>
      <c r="C91" s="131"/>
      <c r="F91" s="131"/>
      <c r="G91" s="131"/>
      <c r="H91" s="131"/>
      <c r="I91" s="131"/>
      <c r="J91" s="131"/>
      <c r="K91" s="217"/>
      <c r="L91" s="131"/>
    </row>
    <row r="92" spans="1:256" s="122" customFormat="1" x14ac:dyDescent="0.25">
      <c r="A92" s="130"/>
      <c r="B92" s="131"/>
      <c r="C92" s="131"/>
      <c r="F92" s="131"/>
      <c r="G92" s="131"/>
      <c r="H92" s="131"/>
      <c r="I92" s="131"/>
      <c r="J92" s="131"/>
      <c r="K92" s="217"/>
      <c r="L92" s="131"/>
    </row>
    <row r="93" spans="1:256" s="122" customFormat="1" x14ac:dyDescent="0.25">
      <c r="A93" s="130"/>
      <c r="B93" s="131"/>
      <c r="C93" s="131"/>
      <c r="F93" s="131"/>
      <c r="G93" s="131"/>
      <c r="H93" s="131"/>
      <c r="I93" s="131"/>
      <c r="J93" s="131"/>
      <c r="K93" s="217"/>
      <c r="L93" s="131"/>
    </row>
    <row r="94" spans="1:256" s="122" customFormat="1" x14ac:dyDescent="0.25">
      <c r="A94" s="130"/>
      <c r="B94" s="131"/>
      <c r="C94" s="131"/>
      <c r="F94" s="131"/>
      <c r="G94" s="131"/>
      <c r="H94" s="131"/>
      <c r="I94" s="131"/>
      <c r="J94" s="131"/>
      <c r="K94" s="217"/>
      <c r="L94" s="131"/>
    </row>
    <row r="95" spans="1:256" s="127" customFormat="1" x14ac:dyDescent="0.25">
      <c r="A95" s="130"/>
      <c r="B95" s="131"/>
      <c r="C95" s="131"/>
      <c r="D95" s="122"/>
      <c r="E95" s="122"/>
      <c r="F95" s="131"/>
      <c r="G95" s="131"/>
      <c r="H95" s="131"/>
      <c r="I95" s="131"/>
      <c r="J95" s="131"/>
      <c r="K95" s="217"/>
      <c r="L95" s="131"/>
      <c r="M95" s="122"/>
      <c r="N95" s="122"/>
      <c r="O95" s="122"/>
      <c r="P95" s="122"/>
      <c r="Q95" s="122"/>
      <c r="R95" s="122"/>
      <c r="S95" s="122"/>
      <c r="T95" s="122"/>
      <c r="U95" s="122"/>
      <c r="V95" s="122"/>
      <c r="W95" s="122"/>
      <c r="X95" s="122"/>
      <c r="Y95" s="122"/>
      <c r="Z95" s="122"/>
      <c r="AA95" s="122"/>
      <c r="AB95" s="122"/>
      <c r="AC95" s="122"/>
      <c r="AD95" s="122"/>
      <c r="AE95" s="122"/>
      <c r="AF95" s="122"/>
      <c r="AG95" s="122"/>
      <c r="AH95" s="122"/>
      <c r="AI95" s="122"/>
      <c r="AJ95" s="122"/>
      <c r="AK95" s="122"/>
      <c r="AL95" s="122"/>
      <c r="AM95" s="122"/>
      <c r="AN95" s="122"/>
      <c r="AO95" s="122"/>
      <c r="AP95" s="122"/>
      <c r="AQ95" s="122"/>
      <c r="AR95" s="122"/>
      <c r="AS95" s="122"/>
      <c r="AT95" s="122"/>
      <c r="AU95" s="122"/>
      <c r="AV95" s="122"/>
      <c r="AW95" s="122"/>
      <c r="AX95" s="122"/>
      <c r="AY95" s="122"/>
      <c r="AZ95" s="122"/>
      <c r="BA95" s="122"/>
      <c r="BB95" s="122"/>
      <c r="BC95" s="122"/>
      <c r="BD95" s="122"/>
      <c r="BE95" s="122"/>
      <c r="BF95" s="122"/>
      <c r="BG95" s="122"/>
      <c r="BH95" s="122"/>
      <c r="BI95" s="122"/>
      <c r="BJ95" s="122"/>
      <c r="BK95" s="122"/>
      <c r="BL95" s="122"/>
      <c r="BM95" s="122"/>
      <c r="BN95" s="122"/>
      <c r="BO95" s="122"/>
      <c r="BP95" s="122"/>
      <c r="BQ95" s="122"/>
      <c r="BR95" s="122"/>
      <c r="BS95" s="122"/>
      <c r="BT95" s="122"/>
      <c r="BU95" s="122"/>
      <c r="BV95" s="122"/>
      <c r="BW95" s="122"/>
      <c r="BX95" s="122"/>
      <c r="BY95" s="122"/>
      <c r="BZ95" s="122"/>
      <c r="CA95" s="122"/>
      <c r="CB95" s="122"/>
      <c r="CC95" s="122"/>
      <c r="CD95" s="122"/>
      <c r="CE95" s="122"/>
      <c r="CF95" s="122"/>
      <c r="CG95" s="122"/>
      <c r="CH95" s="122"/>
      <c r="CI95" s="122"/>
      <c r="CJ95" s="122"/>
      <c r="CK95" s="122"/>
      <c r="CL95" s="122"/>
      <c r="CM95" s="122"/>
      <c r="CN95" s="122"/>
      <c r="CO95" s="122"/>
      <c r="CP95" s="122"/>
      <c r="CQ95" s="122"/>
      <c r="CR95" s="122"/>
      <c r="CS95" s="122"/>
      <c r="CT95" s="122"/>
      <c r="CU95" s="122"/>
      <c r="CV95" s="122"/>
      <c r="CW95" s="122"/>
      <c r="CX95" s="122"/>
      <c r="CY95" s="122"/>
      <c r="CZ95" s="122"/>
      <c r="DA95" s="122"/>
      <c r="DB95" s="122"/>
      <c r="DC95" s="122"/>
      <c r="DD95" s="122"/>
      <c r="DE95" s="122"/>
      <c r="DF95" s="122"/>
      <c r="DG95" s="122"/>
      <c r="DH95" s="122"/>
      <c r="DI95" s="122"/>
      <c r="DJ95" s="122"/>
      <c r="DK95" s="122"/>
      <c r="DL95" s="122"/>
      <c r="DM95" s="122"/>
      <c r="DN95" s="122"/>
      <c r="DO95" s="122"/>
      <c r="DP95" s="122"/>
      <c r="DQ95" s="122"/>
      <c r="DR95" s="122"/>
      <c r="DS95" s="122"/>
      <c r="DT95" s="122"/>
      <c r="DU95" s="122"/>
      <c r="DV95" s="122"/>
      <c r="DW95" s="122"/>
      <c r="DX95" s="122"/>
      <c r="DY95" s="122"/>
      <c r="DZ95" s="122"/>
      <c r="EA95" s="122"/>
      <c r="EB95" s="122"/>
      <c r="EC95" s="122"/>
      <c r="ED95" s="122"/>
      <c r="EE95" s="122"/>
      <c r="EF95" s="122"/>
      <c r="EG95" s="122"/>
      <c r="EH95" s="122"/>
      <c r="EI95" s="122"/>
      <c r="EJ95" s="122"/>
      <c r="EK95" s="122"/>
      <c r="EL95" s="122"/>
      <c r="EM95" s="122"/>
      <c r="EN95" s="122"/>
      <c r="EO95" s="122"/>
      <c r="EP95" s="122"/>
      <c r="EQ95" s="122"/>
      <c r="ER95" s="122"/>
      <c r="ES95" s="122"/>
      <c r="ET95" s="122"/>
      <c r="EU95" s="122"/>
      <c r="EV95" s="122"/>
      <c r="EW95" s="122"/>
      <c r="EX95" s="122"/>
      <c r="EY95" s="122"/>
      <c r="EZ95" s="122"/>
      <c r="FA95" s="122"/>
      <c r="FB95" s="122"/>
      <c r="FC95" s="122"/>
      <c r="FD95" s="122"/>
      <c r="FE95" s="122"/>
      <c r="FF95" s="122"/>
      <c r="FG95" s="122"/>
      <c r="FH95" s="122"/>
      <c r="FI95" s="122"/>
      <c r="FJ95" s="122"/>
      <c r="FK95" s="122"/>
      <c r="FL95" s="122"/>
      <c r="FM95" s="122"/>
      <c r="FN95" s="122"/>
      <c r="FO95" s="122"/>
      <c r="FP95" s="122"/>
      <c r="FQ95" s="122"/>
      <c r="FR95" s="122"/>
      <c r="FS95" s="122"/>
      <c r="FT95" s="122"/>
      <c r="FU95" s="122"/>
      <c r="FV95" s="122"/>
      <c r="FW95" s="122"/>
      <c r="FX95" s="122"/>
      <c r="FY95" s="122"/>
      <c r="FZ95" s="122"/>
      <c r="GA95" s="122"/>
      <c r="GB95" s="122"/>
      <c r="GC95" s="122"/>
      <c r="GD95" s="122"/>
      <c r="GE95" s="122"/>
      <c r="GF95" s="122"/>
      <c r="GG95" s="122"/>
      <c r="GH95" s="122"/>
      <c r="GI95" s="122"/>
      <c r="GJ95" s="122"/>
      <c r="GK95" s="122"/>
      <c r="GL95" s="122"/>
      <c r="GM95" s="122"/>
      <c r="GN95" s="122"/>
      <c r="GO95" s="122"/>
      <c r="GP95" s="122"/>
      <c r="GQ95" s="122"/>
      <c r="GR95" s="122"/>
      <c r="GS95" s="122"/>
      <c r="GT95" s="122"/>
      <c r="GU95" s="122"/>
      <c r="GV95" s="122"/>
      <c r="GW95" s="122"/>
      <c r="GX95" s="122"/>
      <c r="GY95" s="122"/>
      <c r="GZ95" s="122"/>
      <c r="HA95" s="122"/>
      <c r="HB95" s="122"/>
      <c r="HC95" s="122"/>
      <c r="HD95" s="122"/>
      <c r="HE95" s="122"/>
      <c r="HF95" s="122"/>
      <c r="HG95" s="122"/>
      <c r="HH95" s="122"/>
      <c r="HI95" s="122"/>
      <c r="HJ95" s="122"/>
      <c r="HK95" s="122"/>
      <c r="HL95" s="122"/>
      <c r="HM95" s="122"/>
      <c r="HN95" s="122"/>
      <c r="HO95" s="122"/>
      <c r="HP95" s="122"/>
      <c r="HQ95" s="122"/>
      <c r="HR95" s="122"/>
      <c r="HS95" s="122"/>
      <c r="HT95" s="122"/>
      <c r="HU95" s="122"/>
      <c r="HV95" s="122"/>
      <c r="HW95" s="122"/>
      <c r="HX95" s="122"/>
      <c r="HY95" s="122"/>
      <c r="HZ95" s="122"/>
      <c r="IA95" s="122"/>
      <c r="IB95" s="122"/>
      <c r="IC95" s="122"/>
      <c r="ID95" s="122"/>
      <c r="IE95" s="122"/>
      <c r="IF95" s="122"/>
      <c r="IG95" s="122"/>
      <c r="IH95" s="122"/>
      <c r="II95" s="122"/>
      <c r="IJ95" s="122"/>
      <c r="IK95" s="122"/>
      <c r="IL95" s="122"/>
      <c r="IM95" s="122"/>
      <c r="IN95" s="122"/>
      <c r="IO95" s="122"/>
      <c r="IP95" s="122"/>
      <c r="IQ95" s="122"/>
      <c r="IR95" s="122"/>
      <c r="IS95" s="122"/>
      <c r="IT95" s="122"/>
      <c r="IU95" s="122"/>
      <c r="IV95" s="122"/>
    </row>
    <row r="96" spans="1:256" s="127" customFormat="1" x14ac:dyDescent="0.25">
      <c r="A96" s="130"/>
      <c r="B96" s="131"/>
      <c r="C96" s="131"/>
      <c r="D96" s="122"/>
      <c r="E96" s="122"/>
      <c r="F96" s="131"/>
      <c r="G96" s="131"/>
      <c r="H96" s="131"/>
      <c r="I96" s="131"/>
      <c r="J96" s="131"/>
      <c r="K96" s="217"/>
      <c r="L96" s="131"/>
      <c r="M96" s="122"/>
      <c r="N96" s="122"/>
      <c r="O96" s="122"/>
      <c r="P96" s="122"/>
      <c r="Q96" s="122"/>
      <c r="R96" s="122"/>
      <c r="S96" s="122"/>
      <c r="T96" s="122"/>
      <c r="U96" s="122"/>
      <c r="V96" s="122"/>
      <c r="W96" s="122"/>
      <c r="X96" s="122"/>
      <c r="Y96" s="122"/>
      <c r="Z96" s="122"/>
      <c r="AA96" s="122"/>
      <c r="AB96" s="122"/>
      <c r="AC96" s="122"/>
      <c r="AD96" s="122"/>
      <c r="AE96" s="122"/>
      <c r="AF96" s="122"/>
      <c r="AG96" s="122"/>
      <c r="AH96" s="122"/>
      <c r="AI96" s="122"/>
      <c r="AJ96" s="122"/>
      <c r="AK96" s="122"/>
      <c r="AL96" s="122"/>
      <c r="AM96" s="122"/>
      <c r="AN96" s="122"/>
      <c r="AO96" s="122"/>
      <c r="AP96" s="122"/>
      <c r="AQ96" s="122"/>
      <c r="AR96" s="122"/>
      <c r="AS96" s="122"/>
      <c r="AT96" s="122"/>
      <c r="AU96" s="122"/>
      <c r="AV96" s="122"/>
      <c r="AW96" s="122"/>
      <c r="AX96" s="122"/>
      <c r="AY96" s="122"/>
      <c r="AZ96" s="122"/>
      <c r="BA96" s="122"/>
      <c r="BB96" s="122"/>
      <c r="BC96" s="122"/>
      <c r="BD96" s="122"/>
      <c r="BE96" s="122"/>
      <c r="BF96" s="122"/>
      <c r="BG96" s="122"/>
      <c r="BH96" s="122"/>
      <c r="BI96" s="122"/>
      <c r="BJ96" s="122"/>
      <c r="BK96" s="122"/>
      <c r="BL96" s="122"/>
      <c r="BM96" s="122"/>
      <c r="BN96" s="122"/>
      <c r="BO96" s="122"/>
      <c r="BP96" s="122"/>
      <c r="BQ96" s="122"/>
      <c r="BR96" s="122"/>
      <c r="BS96" s="122"/>
      <c r="BT96" s="122"/>
      <c r="BU96" s="122"/>
      <c r="BV96" s="122"/>
      <c r="BW96" s="122"/>
      <c r="BX96" s="122"/>
      <c r="BY96" s="122"/>
      <c r="BZ96" s="122"/>
      <c r="CA96" s="122"/>
      <c r="CB96" s="122"/>
      <c r="CC96" s="122"/>
      <c r="CD96" s="122"/>
      <c r="CE96" s="122"/>
      <c r="CF96" s="122"/>
      <c r="CG96" s="122"/>
      <c r="CH96" s="122"/>
      <c r="CI96" s="122"/>
      <c r="CJ96" s="122"/>
      <c r="CK96" s="122"/>
      <c r="CL96" s="122"/>
      <c r="CM96" s="122"/>
      <c r="CN96" s="122"/>
      <c r="CO96" s="122"/>
      <c r="CP96" s="122"/>
      <c r="CQ96" s="122"/>
      <c r="CR96" s="122"/>
      <c r="CS96" s="122"/>
      <c r="CT96" s="122"/>
      <c r="CU96" s="122"/>
      <c r="CV96" s="122"/>
      <c r="CW96" s="122"/>
      <c r="CX96" s="122"/>
      <c r="CY96" s="122"/>
      <c r="CZ96" s="122"/>
      <c r="DA96" s="122"/>
      <c r="DB96" s="122"/>
      <c r="DC96" s="122"/>
      <c r="DD96" s="122"/>
      <c r="DE96" s="122"/>
      <c r="DF96" s="122"/>
      <c r="DG96" s="122"/>
      <c r="DH96" s="122"/>
      <c r="DI96" s="122"/>
      <c r="DJ96" s="122"/>
      <c r="DK96" s="122"/>
      <c r="DL96" s="122"/>
      <c r="DM96" s="122"/>
      <c r="DN96" s="122"/>
      <c r="DO96" s="122"/>
      <c r="DP96" s="122"/>
      <c r="DQ96" s="122"/>
      <c r="DR96" s="122"/>
      <c r="DS96" s="122"/>
      <c r="DT96" s="122"/>
      <c r="DU96" s="122"/>
      <c r="DV96" s="122"/>
      <c r="DW96" s="122"/>
      <c r="DX96" s="122"/>
      <c r="DY96" s="122"/>
      <c r="DZ96" s="122"/>
      <c r="EA96" s="122"/>
      <c r="EB96" s="122"/>
      <c r="EC96" s="122"/>
      <c r="ED96" s="122"/>
      <c r="EE96" s="122"/>
      <c r="EF96" s="122"/>
      <c r="EG96" s="122"/>
      <c r="EH96" s="122"/>
      <c r="EI96" s="122"/>
      <c r="EJ96" s="122"/>
      <c r="EK96" s="122"/>
      <c r="EL96" s="122"/>
      <c r="EM96" s="122"/>
      <c r="EN96" s="122"/>
      <c r="EO96" s="122"/>
      <c r="EP96" s="122"/>
      <c r="EQ96" s="122"/>
      <c r="ER96" s="122"/>
      <c r="ES96" s="122"/>
      <c r="ET96" s="122"/>
      <c r="EU96" s="122"/>
      <c r="EV96" s="122"/>
      <c r="EW96" s="122"/>
      <c r="EX96" s="122"/>
      <c r="EY96" s="122"/>
      <c r="EZ96" s="122"/>
      <c r="FA96" s="122"/>
      <c r="FB96" s="122"/>
      <c r="FC96" s="122"/>
      <c r="FD96" s="122"/>
      <c r="FE96" s="122"/>
      <c r="FF96" s="122"/>
      <c r="FG96" s="122"/>
      <c r="FH96" s="122"/>
      <c r="FI96" s="122"/>
      <c r="FJ96" s="122"/>
      <c r="FK96" s="122"/>
      <c r="FL96" s="122"/>
      <c r="FM96" s="122"/>
      <c r="FN96" s="122"/>
      <c r="FO96" s="122"/>
      <c r="FP96" s="122"/>
      <c r="FQ96" s="122"/>
      <c r="FR96" s="122"/>
      <c r="FS96" s="122"/>
      <c r="FT96" s="122"/>
      <c r="FU96" s="122"/>
      <c r="FV96" s="122"/>
      <c r="FW96" s="122"/>
      <c r="FX96" s="122"/>
      <c r="FY96" s="122"/>
      <c r="FZ96" s="122"/>
      <c r="GA96" s="122"/>
      <c r="GB96" s="122"/>
      <c r="GC96" s="122"/>
      <c r="GD96" s="122"/>
      <c r="GE96" s="122"/>
      <c r="GF96" s="122"/>
      <c r="GG96" s="122"/>
      <c r="GH96" s="122"/>
      <c r="GI96" s="122"/>
      <c r="GJ96" s="122"/>
      <c r="GK96" s="122"/>
      <c r="GL96" s="122"/>
      <c r="GM96" s="122"/>
      <c r="GN96" s="122"/>
      <c r="GO96" s="122"/>
      <c r="GP96" s="122"/>
      <c r="GQ96" s="122"/>
      <c r="GR96" s="122"/>
      <c r="GS96" s="122"/>
      <c r="GT96" s="122"/>
      <c r="GU96" s="122"/>
      <c r="GV96" s="122"/>
      <c r="GW96" s="122"/>
      <c r="GX96" s="122"/>
      <c r="GY96" s="122"/>
      <c r="GZ96" s="122"/>
      <c r="HA96" s="122"/>
      <c r="HB96" s="122"/>
      <c r="HC96" s="122"/>
      <c r="HD96" s="122"/>
      <c r="HE96" s="122"/>
      <c r="HF96" s="122"/>
      <c r="HG96" s="122"/>
      <c r="HH96" s="122"/>
      <c r="HI96" s="122"/>
      <c r="HJ96" s="122"/>
      <c r="HK96" s="122"/>
      <c r="HL96" s="122"/>
      <c r="HM96" s="122"/>
      <c r="HN96" s="122"/>
      <c r="HO96" s="122"/>
      <c r="HP96" s="122"/>
      <c r="HQ96" s="122"/>
      <c r="HR96" s="122"/>
      <c r="HS96" s="122"/>
      <c r="HT96" s="122"/>
      <c r="HU96" s="122"/>
      <c r="HV96" s="122"/>
      <c r="HW96" s="122"/>
      <c r="HX96" s="122"/>
      <c r="HY96" s="122"/>
      <c r="HZ96" s="122"/>
      <c r="IA96" s="122"/>
      <c r="IB96" s="122"/>
      <c r="IC96" s="122"/>
      <c r="ID96" s="122"/>
      <c r="IE96" s="122"/>
      <c r="IF96" s="122"/>
      <c r="IG96" s="122"/>
      <c r="IH96" s="122"/>
      <c r="II96" s="122"/>
      <c r="IJ96" s="122"/>
      <c r="IK96" s="122"/>
      <c r="IL96" s="122"/>
      <c r="IM96" s="122"/>
      <c r="IN96" s="122"/>
      <c r="IO96" s="122"/>
      <c r="IP96" s="122"/>
      <c r="IQ96" s="122"/>
      <c r="IR96" s="122"/>
      <c r="IS96" s="122"/>
      <c r="IT96" s="122"/>
      <c r="IU96" s="122"/>
      <c r="IV96" s="122"/>
    </row>
    <row r="97" spans="1:256" s="127" customFormat="1" x14ac:dyDescent="0.25">
      <c r="A97" s="130"/>
      <c r="B97" s="131"/>
      <c r="C97" s="131"/>
      <c r="D97" s="122"/>
      <c r="E97" s="122"/>
      <c r="F97" s="131"/>
      <c r="G97" s="131"/>
      <c r="H97" s="131"/>
      <c r="I97" s="131"/>
      <c r="J97" s="131"/>
      <c r="K97" s="217"/>
      <c r="L97" s="131"/>
      <c r="M97" s="122"/>
      <c r="N97" s="122"/>
      <c r="O97" s="122"/>
      <c r="P97" s="122"/>
      <c r="Q97" s="122"/>
      <c r="R97" s="122"/>
      <c r="S97" s="122"/>
      <c r="T97" s="122"/>
      <c r="U97" s="122"/>
      <c r="V97" s="122"/>
      <c r="W97" s="122"/>
      <c r="X97" s="122"/>
      <c r="Y97" s="122"/>
      <c r="Z97" s="122"/>
      <c r="AA97" s="122"/>
      <c r="AB97" s="122"/>
      <c r="AC97" s="122"/>
      <c r="AD97" s="122"/>
      <c r="AE97" s="122"/>
      <c r="AF97" s="122"/>
      <c r="AG97" s="122"/>
      <c r="AH97" s="122"/>
      <c r="AI97" s="122"/>
      <c r="AJ97" s="122"/>
      <c r="AK97" s="122"/>
      <c r="AL97" s="122"/>
      <c r="AM97" s="122"/>
      <c r="AN97" s="122"/>
      <c r="AO97" s="122"/>
      <c r="AP97" s="122"/>
      <c r="AQ97" s="122"/>
      <c r="AR97" s="122"/>
      <c r="AS97" s="122"/>
      <c r="AT97" s="122"/>
      <c r="AU97" s="122"/>
      <c r="AV97" s="122"/>
      <c r="AW97" s="122"/>
      <c r="AX97" s="122"/>
      <c r="AY97" s="122"/>
      <c r="AZ97" s="122"/>
      <c r="BA97" s="122"/>
      <c r="BB97" s="122"/>
      <c r="BC97" s="122"/>
      <c r="BD97" s="122"/>
      <c r="BE97" s="122"/>
      <c r="BF97" s="122"/>
      <c r="BG97" s="122"/>
      <c r="BH97" s="122"/>
      <c r="BI97" s="122"/>
      <c r="BJ97" s="122"/>
      <c r="BK97" s="122"/>
      <c r="BL97" s="122"/>
      <c r="BM97" s="122"/>
      <c r="BN97" s="122"/>
      <c r="BO97" s="122"/>
      <c r="BP97" s="122"/>
      <c r="BQ97" s="122"/>
      <c r="BR97" s="122"/>
      <c r="BS97" s="122"/>
      <c r="BT97" s="122"/>
      <c r="BU97" s="122"/>
      <c r="BV97" s="122"/>
      <c r="BW97" s="122"/>
      <c r="BX97" s="122"/>
      <c r="BY97" s="122"/>
      <c r="BZ97" s="122"/>
      <c r="CA97" s="122"/>
      <c r="CB97" s="122"/>
      <c r="CC97" s="122"/>
      <c r="CD97" s="122"/>
      <c r="CE97" s="122"/>
      <c r="CF97" s="122"/>
      <c r="CG97" s="122"/>
      <c r="CH97" s="122"/>
      <c r="CI97" s="122"/>
      <c r="CJ97" s="122"/>
      <c r="CK97" s="122"/>
      <c r="CL97" s="122"/>
      <c r="CM97" s="122"/>
      <c r="CN97" s="122"/>
      <c r="CO97" s="122"/>
      <c r="CP97" s="122"/>
      <c r="CQ97" s="122"/>
      <c r="CR97" s="122"/>
      <c r="CS97" s="122"/>
      <c r="CT97" s="122"/>
      <c r="CU97" s="122"/>
      <c r="CV97" s="122"/>
      <c r="CW97" s="122"/>
      <c r="CX97" s="122"/>
      <c r="CY97" s="122"/>
      <c r="CZ97" s="122"/>
      <c r="DA97" s="122"/>
      <c r="DB97" s="122"/>
      <c r="DC97" s="122"/>
      <c r="DD97" s="122"/>
      <c r="DE97" s="122"/>
      <c r="DF97" s="122"/>
      <c r="DG97" s="122"/>
      <c r="DH97" s="122"/>
      <c r="DI97" s="122"/>
      <c r="DJ97" s="122"/>
      <c r="DK97" s="122"/>
      <c r="DL97" s="122"/>
      <c r="DM97" s="122"/>
      <c r="DN97" s="122"/>
      <c r="DO97" s="122"/>
      <c r="DP97" s="122"/>
      <c r="DQ97" s="122"/>
      <c r="DR97" s="122"/>
      <c r="DS97" s="122"/>
      <c r="DT97" s="122"/>
      <c r="DU97" s="122"/>
      <c r="DV97" s="122"/>
      <c r="DW97" s="122"/>
      <c r="DX97" s="122"/>
      <c r="DY97" s="122"/>
      <c r="DZ97" s="122"/>
      <c r="EA97" s="122"/>
      <c r="EB97" s="122"/>
      <c r="EC97" s="122"/>
      <c r="ED97" s="122"/>
      <c r="EE97" s="122"/>
      <c r="EF97" s="122"/>
      <c r="EG97" s="122"/>
      <c r="EH97" s="122"/>
      <c r="EI97" s="122"/>
      <c r="EJ97" s="122"/>
      <c r="EK97" s="122"/>
      <c r="EL97" s="122"/>
      <c r="EM97" s="122"/>
      <c r="EN97" s="122"/>
      <c r="EO97" s="122"/>
      <c r="EP97" s="122"/>
      <c r="EQ97" s="122"/>
      <c r="ER97" s="122"/>
      <c r="ES97" s="122"/>
      <c r="ET97" s="122"/>
      <c r="EU97" s="122"/>
      <c r="EV97" s="122"/>
      <c r="EW97" s="122"/>
      <c r="EX97" s="122"/>
      <c r="EY97" s="122"/>
      <c r="EZ97" s="122"/>
      <c r="FA97" s="122"/>
      <c r="FB97" s="122"/>
      <c r="FC97" s="122"/>
      <c r="FD97" s="122"/>
      <c r="FE97" s="122"/>
      <c r="FF97" s="122"/>
      <c r="FG97" s="122"/>
      <c r="FH97" s="122"/>
      <c r="FI97" s="122"/>
      <c r="FJ97" s="122"/>
      <c r="FK97" s="122"/>
      <c r="FL97" s="122"/>
      <c r="FM97" s="122"/>
      <c r="FN97" s="122"/>
      <c r="FO97" s="122"/>
      <c r="FP97" s="122"/>
      <c r="FQ97" s="122"/>
      <c r="FR97" s="122"/>
      <c r="FS97" s="122"/>
      <c r="FT97" s="122"/>
      <c r="FU97" s="122"/>
      <c r="FV97" s="122"/>
      <c r="FW97" s="122"/>
      <c r="FX97" s="122"/>
      <c r="FY97" s="122"/>
      <c r="FZ97" s="122"/>
      <c r="GA97" s="122"/>
      <c r="GB97" s="122"/>
      <c r="GC97" s="122"/>
      <c r="GD97" s="122"/>
      <c r="GE97" s="122"/>
      <c r="GF97" s="122"/>
      <c r="GG97" s="122"/>
      <c r="GH97" s="122"/>
      <c r="GI97" s="122"/>
      <c r="GJ97" s="122"/>
      <c r="GK97" s="122"/>
      <c r="GL97" s="122"/>
      <c r="GM97" s="122"/>
      <c r="GN97" s="122"/>
      <c r="GO97" s="122"/>
      <c r="GP97" s="122"/>
      <c r="GQ97" s="122"/>
      <c r="GR97" s="122"/>
      <c r="GS97" s="122"/>
      <c r="GT97" s="122"/>
      <c r="GU97" s="122"/>
      <c r="GV97" s="122"/>
      <c r="GW97" s="122"/>
      <c r="GX97" s="122"/>
      <c r="GY97" s="122"/>
      <c r="GZ97" s="122"/>
      <c r="HA97" s="122"/>
      <c r="HB97" s="122"/>
      <c r="HC97" s="122"/>
      <c r="HD97" s="122"/>
      <c r="HE97" s="122"/>
      <c r="HF97" s="122"/>
      <c r="HG97" s="122"/>
      <c r="HH97" s="122"/>
      <c r="HI97" s="122"/>
      <c r="HJ97" s="122"/>
      <c r="HK97" s="122"/>
      <c r="HL97" s="122"/>
      <c r="HM97" s="122"/>
      <c r="HN97" s="122"/>
      <c r="HO97" s="122"/>
      <c r="HP97" s="122"/>
      <c r="HQ97" s="122"/>
      <c r="HR97" s="122"/>
      <c r="HS97" s="122"/>
      <c r="HT97" s="122"/>
      <c r="HU97" s="122"/>
      <c r="HV97" s="122"/>
      <c r="HW97" s="122"/>
      <c r="HX97" s="122"/>
      <c r="HY97" s="122"/>
      <c r="HZ97" s="122"/>
      <c r="IA97" s="122"/>
      <c r="IB97" s="122"/>
      <c r="IC97" s="122"/>
      <c r="ID97" s="122"/>
      <c r="IE97" s="122"/>
      <c r="IF97" s="122"/>
      <c r="IG97" s="122"/>
      <c r="IH97" s="122"/>
      <c r="II97" s="122"/>
      <c r="IJ97" s="122"/>
      <c r="IK97" s="122"/>
      <c r="IL97" s="122"/>
      <c r="IM97" s="122"/>
      <c r="IN97" s="122"/>
      <c r="IO97" s="122"/>
      <c r="IP97" s="122"/>
      <c r="IQ97" s="122"/>
      <c r="IR97" s="122"/>
      <c r="IS97" s="122"/>
      <c r="IT97" s="122"/>
      <c r="IU97" s="122"/>
      <c r="IV97" s="122"/>
    </row>
    <row r="98" spans="1:256" s="127" customFormat="1" x14ac:dyDescent="0.25">
      <c r="A98" s="130"/>
      <c r="B98" s="131"/>
      <c r="C98" s="131"/>
      <c r="D98" s="122"/>
      <c r="E98" s="122"/>
      <c r="F98" s="131"/>
      <c r="G98" s="131"/>
      <c r="H98" s="131"/>
      <c r="I98" s="131"/>
      <c r="J98" s="131"/>
      <c r="K98" s="217"/>
      <c r="L98" s="131"/>
      <c r="M98" s="122"/>
      <c r="N98" s="122"/>
      <c r="O98" s="122"/>
      <c r="P98" s="122"/>
      <c r="Q98" s="122"/>
      <c r="R98" s="122"/>
      <c r="S98" s="122"/>
      <c r="T98" s="122"/>
      <c r="U98" s="122"/>
      <c r="V98" s="122"/>
      <c r="W98" s="122"/>
      <c r="X98" s="122"/>
      <c r="Y98" s="122"/>
      <c r="Z98" s="122"/>
      <c r="AA98" s="122"/>
      <c r="AB98" s="122"/>
      <c r="AC98" s="122"/>
      <c r="AD98" s="122"/>
      <c r="AE98" s="122"/>
      <c r="AF98" s="122"/>
      <c r="AG98" s="122"/>
      <c r="AH98" s="122"/>
      <c r="AI98" s="122"/>
      <c r="AJ98" s="122"/>
      <c r="AK98" s="122"/>
      <c r="AL98" s="122"/>
      <c r="AM98" s="122"/>
      <c r="AN98" s="122"/>
      <c r="AO98" s="122"/>
      <c r="AP98" s="122"/>
      <c r="AQ98" s="122"/>
      <c r="AR98" s="122"/>
      <c r="AS98" s="122"/>
      <c r="AT98" s="122"/>
      <c r="AU98" s="122"/>
      <c r="AV98" s="122"/>
      <c r="AW98" s="122"/>
      <c r="AX98" s="122"/>
      <c r="AY98" s="122"/>
      <c r="AZ98" s="122"/>
      <c r="BA98" s="122"/>
      <c r="BB98" s="122"/>
      <c r="BC98" s="122"/>
      <c r="BD98" s="122"/>
      <c r="BE98" s="122"/>
      <c r="BF98" s="122"/>
      <c r="BG98" s="122"/>
      <c r="BH98" s="122"/>
      <c r="BI98" s="122"/>
      <c r="BJ98" s="122"/>
      <c r="BK98" s="122"/>
      <c r="BL98" s="122"/>
      <c r="BM98" s="122"/>
      <c r="BN98" s="122"/>
      <c r="BO98" s="122"/>
      <c r="BP98" s="122"/>
      <c r="BQ98" s="122"/>
      <c r="BR98" s="122"/>
      <c r="BS98" s="122"/>
      <c r="BT98" s="122"/>
      <c r="BU98" s="122"/>
      <c r="BV98" s="122"/>
      <c r="BW98" s="122"/>
      <c r="BX98" s="122"/>
      <c r="BY98" s="122"/>
      <c r="BZ98" s="122"/>
      <c r="CA98" s="122"/>
      <c r="CB98" s="122"/>
      <c r="CC98" s="122"/>
      <c r="CD98" s="122"/>
      <c r="CE98" s="122"/>
      <c r="CF98" s="122"/>
      <c r="CG98" s="122"/>
      <c r="CH98" s="122"/>
      <c r="CI98" s="122"/>
      <c r="CJ98" s="122"/>
      <c r="CK98" s="122"/>
      <c r="CL98" s="122"/>
      <c r="CM98" s="122"/>
      <c r="CN98" s="122"/>
      <c r="CO98" s="122"/>
      <c r="CP98" s="122"/>
      <c r="CQ98" s="122"/>
      <c r="CR98" s="122"/>
      <c r="CS98" s="122"/>
      <c r="CT98" s="122"/>
      <c r="CU98" s="122"/>
      <c r="CV98" s="122"/>
      <c r="CW98" s="122"/>
      <c r="CX98" s="122"/>
      <c r="CY98" s="122"/>
      <c r="CZ98" s="122"/>
      <c r="DA98" s="122"/>
      <c r="DB98" s="122"/>
      <c r="DC98" s="122"/>
      <c r="DD98" s="122"/>
      <c r="DE98" s="122"/>
      <c r="DF98" s="122"/>
      <c r="DG98" s="122"/>
      <c r="DH98" s="122"/>
      <c r="DI98" s="122"/>
      <c r="DJ98" s="122"/>
      <c r="DK98" s="122"/>
      <c r="DL98" s="122"/>
      <c r="DM98" s="122"/>
      <c r="DN98" s="122"/>
      <c r="DO98" s="122"/>
      <c r="DP98" s="122"/>
      <c r="DQ98" s="122"/>
      <c r="DR98" s="122"/>
      <c r="DS98" s="122"/>
      <c r="DT98" s="122"/>
      <c r="DU98" s="122"/>
      <c r="DV98" s="122"/>
      <c r="DW98" s="122"/>
      <c r="DX98" s="122"/>
      <c r="DY98" s="122"/>
      <c r="DZ98" s="122"/>
      <c r="EA98" s="122"/>
      <c r="EB98" s="122"/>
      <c r="EC98" s="122"/>
      <c r="ED98" s="122"/>
      <c r="EE98" s="122"/>
      <c r="EF98" s="122"/>
      <c r="EG98" s="122"/>
      <c r="EH98" s="122"/>
      <c r="EI98" s="122"/>
      <c r="EJ98" s="122"/>
      <c r="EK98" s="122"/>
      <c r="EL98" s="122"/>
      <c r="EM98" s="122"/>
      <c r="EN98" s="122"/>
      <c r="EO98" s="122"/>
      <c r="EP98" s="122"/>
      <c r="EQ98" s="122"/>
      <c r="ER98" s="122"/>
      <c r="ES98" s="122"/>
      <c r="ET98" s="122"/>
      <c r="EU98" s="122"/>
      <c r="EV98" s="122"/>
      <c r="EW98" s="122"/>
      <c r="EX98" s="122"/>
      <c r="EY98" s="122"/>
      <c r="EZ98" s="122"/>
      <c r="FA98" s="122"/>
      <c r="FB98" s="122"/>
      <c r="FC98" s="122"/>
      <c r="FD98" s="122"/>
      <c r="FE98" s="122"/>
      <c r="FF98" s="122"/>
      <c r="FG98" s="122"/>
      <c r="FH98" s="122"/>
      <c r="FI98" s="122"/>
      <c r="FJ98" s="122"/>
      <c r="FK98" s="122"/>
      <c r="FL98" s="122"/>
      <c r="FM98" s="122"/>
      <c r="FN98" s="122"/>
      <c r="FO98" s="122"/>
      <c r="FP98" s="122"/>
      <c r="FQ98" s="122"/>
      <c r="FR98" s="122"/>
      <c r="FS98" s="122"/>
      <c r="FT98" s="122"/>
      <c r="FU98" s="122"/>
      <c r="FV98" s="122"/>
      <c r="FW98" s="122"/>
      <c r="FX98" s="122"/>
      <c r="FY98" s="122"/>
      <c r="FZ98" s="122"/>
      <c r="GA98" s="122"/>
      <c r="GB98" s="122"/>
      <c r="GC98" s="122"/>
      <c r="GD98" s="122"/>
      <c r="GE98" s="122"/>
      <c r="GF98" s="122"/>
      <c r="GG98" s="122"/>
      <c r="GH98" s="122"/>
      <c r="GI98" s="122"/>
      <c r="GJ98" s="122"/>
      <c r="GK98" s="122"/>
      <c r="GL98" s="122"/>
      <c r="GM98" s="122"/>
      <c r="GN98" s="122"/>
      <c r="GO98" s="122"/>
      <c r="GP98" s="122"/>
      <c r="GQ98" s="122"/>
      <c r="GR98" s="122"/>
      <c r="GS98" s="122"/>
      <c r="GT98" s="122"/>
      <c r="GU98" s="122"/>
      <c r="GV98" s="122"/>
      <c r="GW98" s="122"/>
      <c r="GX98" s="122"/>
      <c r="GY98" s="122"/>
      <c r="GZ98" s="122"/>
      <c r="HA98" s="122"/>
      <c r="HB98" s="122"/>
      <c r="HC98" s="122"/>
      <c r="HD98" s="122"/>
      <c r="HE98" s="122"/>
      <c r="HF98" s="122"/>
      <c r="HG98" s="122"/>
      <c r="HH98" s="122"/>
      <c r="HI98" s="122"/>
      <c r="HJ98" s="122"/>
      <c r="HK98" s="122"/>
      <c r="HL98" s="122"/>
      <c r="HM98" s="122"/>
      <c r="HN98" s="122"/>
      <c r="HO98" s="122"/>
      <c r="HP98" s="122"/>
      <c r="HQ98" s="122"/>
      <c r="HR98" s="122"/>
      <c r="HS98" s="122"/>
      <c r="HT98" s="122"/>
      <c r="HU98" s="122"/>
      <c r="HV98" s="122"/>
      <c r="HW98" s="122"/>
      <c r="HX98" s="122"/>
      <c r="HY98" s="122"/>
      <c r="HZ98" s="122"/>
      <c r="IA98" s="122"/>
      <c r="IB98" s="122"/>
      <c r="IC98" s="122"/>
      <c r="ID98" s="122"/>
      <c r="IE98" s="122"/>
      <c r="IF98" s="122"/>
      <c r="IG98" s="122"/>
      <c r="IH98" s="122"/>
      <c r="II98" s="122"/>
      <c r="IJ98" s="122"/>
      <c r="IK98" s="122"/>
      <c r="IL98" s="122"/>
      <c r="IM98" s="122"/>
      <c r="IN98" s="122"/>
      <c r="IO98" s="122"/>
      <c r="IP98" s="122"/>
      <c r="IQ98" s="122"/>
      <c r="IR98" s="122"/>
      <c r="IS98" s="122"/>
      <c r="IT98" s="122"/>
      <c r="IU98" s="122"/>
      <c r="IV98" s="122"/>
    </row>
    <row r="99" spans="1:256" s="122" customFormat="1" x14ac:dyDescent="0.25">
      <c r="A99" s="130"/>
      <c r="B99" s="131"/>
      <c r="C99" s="131"/>
      <c r="F99" s="131"/>
      <c r="G99" s="131"/>
      <c r="H99" s="131"/>
      <c r="I99" s="131"/>
      <c r="J99" s="131"/>
      <c r="K99" s="217"/>
      <c r="L99" s="131"/>
    </row>
    <row r="100" spans="1:256" s="122" customFormat="1" x14ac:dyDescent="0.25">
      <c r="A100" s="130"/>
      <c r="B100" s="131"/>
      <c r="C100" s="131"/>
      <c r="F100" s="131"/>
      <c r="G100" s="131"/>
      <c r="H100" s="131"/>
      <c r="I100" s="131"/>
      <c r="J100" s="131"/>
      <c r="K100" s="217"/>
      <c r="L100" s="131"/>
    </row>
    <row r="101" spans="1:256" s="122" customFormat="1" x14ac:dyDescent="0.25">
      <c r="A101" s="130"/>
      <c r="B101" s="131"/>
      <c r="C101" s="131"/>
      <c r="F101" s="131"/>
      <c r="G101" s="131"/>
      <c r="H101" s="131"/>
      <c r="I101" s="131"/>
      <c r="J101" s="131"/>
      <c r="K101" s="217"/>
      <c r="L101" s="131"/>
    </row>
    <row r="102" spans="1:256" s="122" customFormat="1" x14ac:dyDescent="0.25">
      <c r="A102" s="130"/>
      <c r="B102" s="131"/>
      <c r="C102" s="131"/>
      <c r="F102" s="131"/>
      <c r="G102" s="131"/>
      <c r="H102" s="131"/>
      <c r="I102" s="131"/>
      <c r="J102" s="131"/>
      <c r="K102" s="217"/>
      <c r="L102" s="131"/>
    </row>
    <row r="103" spans="1:256" s="127" customFormat="1" x14ac:dyDescent="0.25">
      <c r="A103" s="130"/>
      <c r="B103" s="131"/>
      <c r="C103" s="131"/>
      <c r="D103" s="122"/>
      <c r="E103" s="122"/>
      <c r="F103" s="131"/>
      <c r="G103" s="131"/>
      <c r="H103" s="131"/>
      <c r="I103" s="131"/>
      <c r="J103" s="131"/>
      <c r="K103" s="217"/>
      <c r="L103" s="131"/>
      <c r="M103" s="122"/>
      <c r="N103" s="122"/>
      <c r="O103" s="122"/>
      <c r="P103" s="122"/>
      <c r="Q103" s="122"/>
      <c r="R103" s="122"/>
      <c r="S103" s="122"/>
      <c r="T103" s="122"/>
      <c r="U103" s="122"/>
      <c r="V103" s="122"/>
      <c r="W103" s="122"/>
      <c r="X103" s="122"/>
      <c r="Y103" s="122"/>
      <c r="Z103" s="122"/>
      <c r="AA103" s="122"/>
      <c r="AB103" s="122"/>
      <c r="AC103" s="122"/>
      <c r="AD103" s="122"/>
      <c r="AE103" s="122"/>
      <c r="AF103" s="122"/>
      <c r="AG103" s="122"/>
      <c r="AH103" s="122"/>
      <c r="AI103" s="122"/>
      <c r="AJ103" s="122"/>
      <c r="AK103" s="122"/>
      <c r="AL103" s="122"/>
      <c r="AM103" s="122"/>
      <c r="AN103" s="122"/>
      <c r="AO103" s="122"/>
      <c r="AP103" s="122"/>
      <c r="AQ103" s="122"/>
      <c r="AR103" s="122"/>
      <c r="AS103" s="122"/>
      <c r="AT103" s="122"/>
      <c r="AU103" s="122"/>
      <c r="AV103" s="122"/>
      <c r="AW103" s="122"/>
      <c r="AX103" s="122"/>
      <c r="AY103" s="122"/>
      <c r="AZ103" s="122"/>
      <c r="BA103" s="122"/>
      <c r="BB103" s="122"/>
      <c r="BC103" s="122"/>
      <c r="BD103" s="122"/>
      <c r="BE103" s="122"/>
      <c r="BF103" s="122"/>
      <c r="BG103" s="122"/>
      <c r="BH103" s="122"/>
      <c r="BI103" s="122"/>
      <c r="BJ103" s="122"/>
      <c r="BK103" s="122"/>
      <c r="BL103" s="122"/>
      <c r="BM103" s="122"/>
      <c r="BN103" s="122"/>
      <c r="BO103" s="122"/>
      <c r="BP103" s="122"/>
      <c r="BQ103" s="122"/>
      <c r="BR103" s="122"/>
      <c r="BS103" s="122"/>
      <c r="BT103" s="122"/>
      <c r="BU103" s="122"/>
      <c r="BV103" s="122"/>
      <c r="BW103" s="122"/>
      <c r="BX103" s="122"/>
      <c r="BY103" s="122"/>
      <c r="BZ103" s="122"/>
      <c r="CA103" s="122"/>
      <c r="CB103" s="122"/>
      <c r="CC103" s="122"/>
      <c r="CD103" s="122"/>
      <c r="CE103" s="122"/>
      <c r="CF103" s="122"/>
      <c r="CG103" s="122"/>
      <c r="CH103" s="122"/>
      <c r="CI103" s="122"/>
      <c r="CJ103" s="122"/>
      <c r="CK103" s="122"/>
      <c r="CL103" s="122"/>
      <c r="CM103" s="122"/>
      <c r="CN103" s="122"/>
      <c r="CO103" s="122"/>
      <c r="CP103" s="122"/>
      <c r="CQ103" s="122"/>
      <c r="CR103" s="122"/>
      <c r="CS103" s="122"/>
      <c r="CT103" s="122"/>
      <c r="CU103" s="122"/>
      <c r="CV103" s="122"/>
      <c r="CW103" s="122"/>
      <c r="CX103" s="122"/>
      <c r="CY103" s="122"/>
      <c r="CZ103" s="122"/>
      <c r="DA103" s="122"/>
      <c r="DB103" s="122"/>
      <c r="DC103" s="122"/>
      <c r="DD103" s="122"/>
      <c r="DE103" s="122"/>
      <c r="DF103" s="122"/>
      <c r="DG103" s="122"/>
      <c r="DH103" s="122"/>
      <c r="DI103" s="122"/>
      <c r="DJ103" s="122"/>
      <c r="DK103" s="122"/>
      <c r="DL103" s="122"/>
      <c r="DM103" s="122"/>
      <c r="DN103" s="122"/>
      <c r="DO103" s="122"/>
      <c r="DP103" s="122"/>
      <c r="DQ103" s="122"/>
      <c r="DR103" s="122"/>
      <c r="DS103" s="122"/>
      <c r="DT103" s="122"/>
      <c r="DU103" s="122"/>
      <c r="DV103" s="122"/>
      <c r="DW103" s="122"/>
      <c r="DX103" s="122"/>
      <c r="DY103" s="122"/>
      <c r="DZ103" s="122"/>
      <c r="EA103" s="122"/>
      <c r="EB103" s="122"/>
      <c r="EC103" s="122"/>
      <c r="ED103" s="122"/>
      <c r="EE103" s="122"/>
      <c r="EF103" s="122"/>
      <c r="EG103" s="122"/>
      <c r="EH103" s="122"/>
      <c r="EI103" s="122"/>
      <c r="EJ103" s="122"/>
      <c r="EK103" s="122"/>
      <c r="EL103" s="122"/>
      <c r="EM103" s="122"/>
      <c r="EN103" s="122"/>
      <c r="EO103" s="122"/>
      <c r="EP103" s="122"/>
      <c r="EQ103" s="122"/>
      <c r="ER103" s="122"/>
      <c r="ES103" s="122"/>
      <c r="ET103" s="122"/>
      <c r="EU103" s="122"/>
      <c r="EV103" s="122"/>
      <c r="EW103" s="122"/>
      <c r="EX103" s="122"/>
      <c r="EY103" s="122"/>
      <c r="EZ103" s="122"/>
      <c r="FA103" s="122"/>
      <c r="FB103" s="122"/>
      <c r="FC103" s="122"/>
      <c r="FD103" s="122"/>
      <c r="FE103" s="122"/>
      <c r="FF103" s="122"/>
      <c r="FG103" s="122"/>
      <c r="FH103" s="122"/>
      <c r="FI103" s="122"/>
      <c r="FJ103" s="122"/>
      <c r="FK103" s="122"/>
      <c r="FL103" s="122"/>
      <c r="FM103" s="122"/>
      <c r="FN103" s="122"/>
      <c r="FO103" s="122"/>
      <c r="FP103" s="122"/>
      <c r="FQ103" s="122"/>
      <c r="FR103" s="122"/>
      <c r="FS103" s="122"/>
      <c r="FT103" s="122"/>
      <c r="FU103" s="122"/>
      <c r="FV103" s="122"/>
      <c r="FW103" s="122"/>
      <c r="FX103" s="122"/>
      <c r="FY103" s="122"/>
      <c r="FZ103" s="122"/>
      <c r="GA103" s="122"/>
      <c r="GB103" s="122"/>
      <c r="GC103" s="122"/>
      <c r="GD103" s="122"/>
      <c r="GE103" s="122"/>
      <c r="GF103" s="122"/>
      <c r="GG103" s="122"/>
      <c r="GH103" s="122"/>
      <c r="GI103" s="122"/>
      <c r="GJ103" s="122"/>
      <c r="GK103" s="122"/>
      <c r="GL103" s="122"/>
      <c r="GM103" s="122"/>
      <c r="GN103" s="122"/>
      <c r="GO103" s="122"/>
      <c r="GP103" s="122"/>
      <c r="GQ103" s="122"/>
      <c r="GR103" s="122"/>
      <c r="GS103" s="122"/>
      <c r="GT103" s="122"/>
      <c r="GU103" s="122"/>
      <c r="GV103" s="122"/>
      <c r="GW103" s="122"/>
      <c r="GX103" s="122"/>
      <c r="GY103" s="122"/>
      <c r="GZ103" s="122"/>
      <c r="HA103" s="122"/>
      <c r="HB103" s="122"/>
      <c r="HC103" s="122"/>
      <c r="HD103" s="122"/>
      <c r="HE103" s="122"/>
      <c r="HF103" s="122"/>
      <c r="HG103" s="122"/>
      <c r="HH103" s="122"/>
      <c r="HI103" s="122"/>
      <c r="HJ103" s="122"/>
      <c r="HK103" s="122"/>
      <c r="HL103" s="122"/>
      <c r="HM103" s="122"/>
      <c r="HN103" s="122"/>
      <c r="HO103" s="122"/>
      <c r="HP103" s="122"/>
      <c r="HQ103" s="122"/>
      <c r="HR103" s="122"/>
      <c r="HS103" s="122"/>
      <c r="HT103" s="122"/>
      <c r="HU103" s="122"/>
      <c r="HV103" s="122"/>
      <c r="HW103" s="122"/>
      <c r="HX103" s="122"/>
      <c r="HY103" s="122"/>
      <c r="HZ103" s="122"/>
      <c r="IA103" s="122"/>
      <c r="IB103" s="122"/>
      <c r="IC103" s="122"/>
      <c r="ID103" s="122"/>
      <c r="IE103" s="122"/>
      <c r="IF103" s="122"/>
      <c r="IG103" s="122"/>
      <c r="IH103" s="122"/>
      <c r="II103" s="122"/>
      <c r="IJ103" s="122"/>
      <c r="IK103" s="122"/>
      <c r="IL103" s="122"/>
      <c r="IM103" s="122"/>
      <c r="IN103" s="122"/>
      <c r="IO103" s="122"/>
      <c r="IP103" s="122"/>
      <c r="IQ103" s="122"/>
      <c r="IR103" s="122"/>
      <c r="IS103" s="122"/>
      <c r="IT103" s="122"/>
      <c r="IU103" s="122"/>
      <c r="IV103" s="122"/>
    </row>
    <row r="104" spans="1:256" s="127" customFormat="1" x14ac:dyDescent="0.25">
      <c r="A104" s="130"/>
      <c r="B104" s="131"/>
      <c r="C104" s="131"/>
      <c r="D104" s="122"/>
      <c r="E104" s="122"/>
      <c r="F104" s="131"/>
      <c r="G104" s="131"/>
      <c r="H104" s="131"/>
      <c r="I104" s="131"/>
      <c r="J104" s="131"/>
      <c r="K104" s="217"/>
      <c r="L104" s="131"/>
      <c r="M104" s="132"/>
      <c r="N104" s="122"/>
      <c r="O104" s="122"/>
      <c r="P104" s="122"/>
      <c r="Q104" s="122"/>
      <c r="R104" s="122"/>
      <c r="S104" s="122"/>
      <c r="T104" s="122"/>
      <c r="U104" s="122"/>
      <c r="V104" s="122"/>
      <c r="W104" s="122"/>
      <c r="X104" s="122"/>
      <c r="Y104" s="122"/>
      <c r="Z104" s="122"/>
      <c r="AA104" s="122"/>
      <c r="AB104" s="122"/>
      <c r="AC104" s="122"/>
      <c r="AD104" s="122"/>
      <c r="AE104" s="122"/>
      <c r="AF104" s="122"/>
      <c r="AG104" s="122"/>
      <c r="AH104" s="122"/>
      <c r="AI104" s="122"/>
      <c r="AJ104" s="122"/>
      <c r="AK104" s="122"/>
      <c r="AL104" s="122"/>
      <c r="AM104" s="122"/>
      <c r="AN104" s="122"/>
      <c r="AO104" s="122"/>
      <c r="AP104" s="122"/>
      <c r="AQ104" s="122"/>
      <c r="AR104" s="122"/>
      <c r="AS104" s="122"/>
      <c r="AT104" s="122"/>
      <c r="AU104" s="122"/>
      <c r="AV104" s="122"/>
      <c r="AW104" s="122"/>
      <c r="AX104" s="122"/>
      <c r="AY104" s="122"/>
      <c r="AZ104" s="122"/>
      <c r="BA104" s="122"/>
      <c r="BB104" s="122"/>
      <c r="BC104" s="122"/>
      <c r="BD104" s="122"/>
      <c r="BE104" s="122"/>
      <c r="BF104" s="122"/>
      <c r="BG104" s="122"/>
      <c r="BH104" s="122"/>
      <c r="BI104" s="122"/>
      <c r="BJ104" s="122"/>
      <c r="BK104" s="122"/>
      <c r="BL104" s="122"/>
      <c r="BM104" s="122"/>
      <c r="BN104" s="122"/>
      <c r="BO104" s="122"/>
      <c r="BP104" s="122"/>
      <c r="BQ104" s="122"/>
      <c r="BR104" s="122"/>
      <c r="BS104" s="122"/>
      <c r="BT104" s="122"/>
      <c r="BU104" s="122"/>
      <c r="BV104" s="122"/>
      <c r="BW104" s="122"/>
      <c r="BX104" s="122"/>
      <c r="BY104" s="122"/>
      <c r="BZ104" s="122"/>
      <c r="CA104" s="122"/>
      <c r="CB104" s="122"/>
      <c r="CC104" s="122"/>
      <c r="CD104" s="122"/>
      <c r="CE104" s="122"/>
      <c r="CF104" s="122"/>
      <c r="CG104" s="122"/>
      <c r="CH104" s="122"/>
      <c r="CI104" s="122"/>
      <c r="CJ104" s="122"/>
      <c r="CK104" s="122"/>
      <c r="CL104" s="122"/>
      <c r="CM104" s="122"/>
      <c r="CN104" s="122"/>
      <c r="CO104" s="122"/>
      <c r="CP104" s="122"/>
      <c r="CQ104" s="122"/>
      <c r="CR104" s="122"/>
      <c r="CS104" s="122"/>
      <c r="CT104" s="122"/>
      <c r="CU104" s="122"/>
      <c r="CV104" s="122"/>
      <c r="CW104" s="122"/>
      <c r="CX104" s="122"/>
      <c r="CY104" s="122"/>
      <c r="CZ104" s="122"/>
      <c r="DA104" s="122"/>
      <c r="DB104" s="122"/>
      <c r="DC104" s="122"/>
      <c r="DD104" s="122"/>
      <c r="DE104" s="122"/>
      <c r="DF104" s="122"/>
      <c r="DG104" s="122"/>
      <c r="DH104" s="122"/>
      <c r="DI104" s="122"/>
      <c r="DJ104" s="122"/>
      <c r="DK104" s="122"/>
      <c r="DL104" s="122"/>
      <c r="DM104" s="122"/>
      <c r="DN104" s="122"/>
      <c r="DO104" s="122"/>
      <c r="DP104" s="122"/>
      <c r="DQ104" s="122"/>
      <c r="DR104" s="122"/>
      <c r="DS104" s="122"/>
      <c r="DT104" s="122"/>
      <c r="DU104" s="122"/>
      <c r="DV104" s="122"/>
      <c r="DW104" s="122"/>
      <c r="DX104" s="122"/>
      <c r="DY104" s="122"/>
      <c r="DZ104" s="122"/>
      <c r="EA104" s="122"/>
      <c r="EB104" s="122"/>
      <c r="EC104" s="122"/>
      <c r="ED104" s="122"/>
      <c r="EE104" s="122"/>
      <c r="EF104" s="122"/>
      <c r="EG104" s="122"/>
      <c r="EH104" s="122"/>
      <c r="EI104" s="122"/>
      <c r="EJ104" s="122"/>
      <c r="EK104" s="122"/>
      <c r="EL104" s="122"/>
      <c r="EM104" s="122"/>
      <c r="EN104" s="122"/>
      <c r="EO104" s="122"/>
      <c r="EP104" s="122"/>
      <c r="EQ104" s="122"/>
      <c r="ER104" s="122"/>
      <c r="ES104" s="122"/>
      <c r="ET104" s="122"/>
      <c r="EU104" s="122"/>
      <c r="EV104" s="122"/>
      <c r="EW104" s="122"/>
      <c r="EX104" s="122"/>
      <c r="EY104" s="122"/>
      <c r="EZ104" s="122"/>
      <c r="FA104" s="122"/>
      <c r="FB104" s="122"/>
      <c r="FC104" s="122"/>
      <c r="FD104" s="122"/>
      <c r="FE104" s="122"/>
      <c r="FF104" s="122"/>
      <c r="FG104" s="122"/>
      <c r="FH104" s="122"/>
      <c r="FI104" s="122"/>
      <c r="FJ104" s="122"/>
      <c r="FK104" s="122"/>
      <c r="FL104" s="122"/>
      <c r="FM104" s="122"/>
      <c r="FN104" s="122"/>
      <c r="FO104" s="122"/>
      <c r="FP104" s="122"/>
      <c r="FQ104" s="122"/>
      <c r="FR104" s="122"/>
      <c r="FS104" s="122"/>
      <c r="FT104" s="122"/>
      <c r="FU104" s="122"/>
      <c r="FV104" s="122"/>
      <c r="FW104" s="122"/>
      <c r="FX104" s="122"/>
      <c r="FY104" s="122"/>
      <c r="FZ104" s="122"/>
      <c r="GA104" s="122"/>
      <c r="GB104" s="122"/>
      <c r="GC104" s="122"/>
      <c r="GD104" s="122"/>
      <c r="GE104" s="122"/>
      <c r="GF104" s="122"/>
      <c r="GG104" s="122"/>
      <c r="GH104" s="122"/>
      <c r="GI104" s="122"/>
      <c r="GJ104" s="122"/>
      <c r="GK104" s="122"/>
      <c r="GL104" s="122"/>
      <c r="GM104" s="122"/>
      <c r="GN104" s="122"/>
      <c r="GO104" s="122"/>
      <c r="GP104" s="122"/>
      <c r="GQ104" s="122"/>
      <c r="GR104" s="122"/>
      <c r="GS104" s="122"/>
      <c r="GT104" s="122"/>
      <c r="GU104" s="122"/>
      <c r="GV104" s="122"/>
      <c r="GW104" s="122"/>
      <c r="GX104" s="122"/>
      <c r="GY104" s="122"/>
      <c r="GZ104" s="122"/>
      <c r="HA104" s="122"/>
      <c r="HB104" s="122"/>
      <c r="HC104" s="122"/>
      <c r="HD104" s="122"/>
      <c r="HE104" s="122"/>
      <c r="HF104" s="122"/>
      <c r="HG104" s="122"/>
      <c r="HH104" s="122"/>
      <c r="HI104" s="122"/>
      <c r="HJ104" s="122"/>
      <c r="HK104" s="122"/>
      <c r="HL104" s="122"/>
      <c r="HM104" s="122"/>
      <c r="HN104" s="122"/>
      <c r="HO104" s="122"/>
      <c r="HP104" s="122"/>
      <c r="HQ104" s="122"/>
      <c r="HR104" s="122"/>
      <c r="HS104" s="122"/>
      <c r="HT104" s="122"/>
      <c r="HU104" s="122"/>
      <c r="HV104" s="122"/>
      <c r="HW104" s="122"/>
      <c r="HX104" s="122"/>
      <c r="HY104" s="122"/>
      <c r="HZ104" s="122"/>
      <c r="IA104" s="122"/>
      <c r="IB104" s="122"/>
      <c r="IC104" s="122"/>
      <c r="ID104" s="122"/>
      <c r="IE104" s="122"/>
      <c r="IF104" s="122"/>
      <c r="IG104" s="122"/>
      <c r="IH104" s="122"/>
      <c r="II104" s="122"/>
      <c r="IJ104" s="122"/>
      <c r="IK104" s="122"/>
      <c r="IL104" s="122"/>
      <c r="IM104" s="122"/>
      <c r="IN104" s="122"/>
      <c r="IO104" s="122"/>
      <c r="IP104" s="122"/>
      <c r="IQ104" s="122"/>
      <c r="IR104" s="122"/>
      <c r="IS104" s="122"/>
      <c r="IT104" s="122"/>
      <c r="IU104" s="122"/>
      <c r="IV104" s="122"/>
    </row>
    <row r="105" spans="1:256" s="127" customFormat="1" x14ac:dyDescent="0.25">
      <c r="A105" s="130"/>
      <c r="B105" s="131"/>
      <c r="C105" s="131"/>
      <c r="D105" s="122"/>
      <c r="E105" s="122"/>
      <c r="F105" s="131"/>
      <c r="G105" s="131"/>
      <c r="H105" s="131"/>
      <c r="I105" s="131"/>
      <c r="J105" s="131"/>
      <c r="K105" s="217"/>
      <c r="L105" s="131"/>
      <c r="M105" s="132"/>
      <c r="N105" s="122"/>
      <c r="O105" s="122"/>
      <c r="P105" s="122"/>
      <c r="Q105" s="122"/>
      <c r="R105" s="122"/>
      <c r="S105" s="122"/>
      <c r="T105" s="122"/>
      <c r="U105" s="122"/>
      <c r="V105" s="122"/>
      <c r="W105" s="122"/>
      <c r="X105" s="122"/>
      <c r="Y105" s="122"/>
      <c r="Z105" s="122"/>
      <c r="AA105" s="122"/>
      <c r="AB105" s="122"/>
      <c r="AC105" s="122"/>
      <c r="AD105" s="122"/>
      <c r="AE105" s="122"/>
      <c r="AF105" s="122"/>
      <c r="AG105" s="122"/>
      <c r="AH105" s="122"/>
      <c r="AI105" s="122"/>
      <c r="AJ105" s="122"/>
      <c r="AK105" s="122"/>
      <c r="AL105" s="122"/>
      <c r="AM105" s="122"/>
      <c r="AN105" s="122"/>
      <c r="AO105" s="122"/>
      <c r="AP105" s="122"/>
      <c r="AQ105" s="122"/>
      <c r="AR105" s="122"/>
      <c r="AS105" s="122"/>
      <c r="AT105" s="122"/>
      <c r="AU105" s="122"/>
      <c r="AV105" s="122"/>
      <c r="AW105" s="122"/>
      <c r="AX105" s="122"/>
      <c r="AY105" s="122"/>
      <c r="AZ105" s="122"/>
      <c r="BA105" s="122"/>
      <c r="BB105" s="122"/>
      <c r="BC105" s="122"/>
      <c r="BD105" s="122"/>
      <c r="BE105" s="122"/>
      <c r="BF105" s="122"/>
      <c r="BG105" s="122"/>
      <c r="BH105" s="122"/>
      <c r="BI105" s="122"/>
      <c r="BJ105" s="122"/>
      <c r="BK105" s="122"/>
      <c r="BL105" s="122"/>
      <c r="BM105" s="122"/>
      <c r="BN105" s="122"/>
      <c r="BO105" s="122"/>
      <c r="BP105" s="122"/>
      <c r="BQ105" s="122"/>
      <c r="BR105" s="122"/>
      <c r="BS105" s="122"/>
      <c r="BT105" s="122"/>
      <c r="BU105" s="122"/>
      <c r="BV105" s="122"/>
      <c r="BW105" s="122"/>
      <c r="BX105" s="122"/>
      <c r="BY105" s="122"/>
      <c r="BZ105" s="122"/>
      <c r="CA105" s="122"/>
      <c r="CB105" s="122"/>
      <c r="CC105" s="122"/>
      <c r="CD105" s="122"/>
      <c r="CE105" s="122"/>
      <c r="CF105" s="122"/>
      <c r="CG105" s="122"/>
      <c r="CH105" s="122"/>
      <c r="CI105" s="122"/>
      <c r="CJ105" s="122"/>
      <c r="CK105" s="122"/>
      <c r="CL105" s="122"/>
      <c r="CM105" s="122"/>
      <c r="CN105" s="122"/>
      <c r="CO105" s="122"/>
      <c r="CP105" s="122"/>
      <c r="CQ105" s="122"/>
      <c r="CR105" s="122"/>
      <c r="CS105" s="122"/>
      <c r="CT105" s="122"/>
      <c r="CU105" s="122"/>
      <c r="CV105" s="122"/>
      <c r="CW105" s="122"/>
      <c r="CX105" s="122"/>
      <c r="CY105" s="122"/>
      <c r="CZ105" s="122"/>
      <c r="DA105" s="122"/>
      <c r="DB105" s="122"/>
      <c r="DC105" s="122"/>
      <c r="DD105" s="122"/>
      <c r="DE105" s="122"/>
      <c r="DF105" s="122"/>
      <c r="DG105" s="122"/>
      <c r="DH105" s="122"/>
      <c r="DI105" s="122"/>
      <c r="DJ105" s="122"/>
      <c r="DK105" s="122"/>
      <c r="DL105" s="122"/>
      <c r="DM105" s="122"/>
      <c r="DN105" s="122"/>
      <c r="DO105" s="122"/>
      <c r="DP105" s="122"/>
      <c r="DQ105" s="122"/>
      <c r="DR105" s="122"/>
      <c r="DS105" s="122"/>
      <c r="DT105" s="122"/>
      <c r="DU105" s="122"/>
      <c r="DV105" s="122"/>
      <c r="DW105" s="122"/>
      <c r="DX105" s="122"/>
      <c r="DY105" s="122"/>
      <c r="DZ105" s="122"/>
      <c r="EA105" s="122"/>
      <c r="EB105" s="122"/>
      <c r="EC105" s="122"/>
      <c r="ED105" s="122"/>
      <c r="EE105" s="122"/>
      <c r="EF105" s="122"/>
      <c r="EG105" s="122"/>
      <c r="EH105" s="122"/>
      <c r="EI105" s="122"/>
      <c r="EJ105" s="122"/>
      <c r="EK105" s="122"/>
      <c r="EL105" s="122"/>
      <c r="EM105" s="122"/>
      <c r="EN105" s="122"/>
      <c r="EO105" s="122"/>
      <c r="EP105" s="122"/>
      <c r="EQ105" s="122"/>
      <c r="ER105" s="122"/>
      <c r="ES105" s="122"/>
      <c r="ET105" s="122"/>
      <c r="EU105" s="122"/>
      <c r="EV105" s="122"/>
      <c r="EW105" s="122"/>
      <c r="EX105" s="122"/>
      <c r="EY105" s="122"/>
      <c r="EZ105" s="122"/>
      <c r="FA105" s="122"/>
      <c r="FB105" s="122"/>
      <c r="FC105" s="122"/>
      <c r="FD105" s="122"/>
      <c r="FE105" s="122"/>
      <c r="FF105" s="122"/>
      <c r="FG105" s="122"/>
      <c r="FH105" s="122"/>
      <c r="FI105" s="122"/>
      <c r="FJ105" s="122"/>
      <c r="FK105" s="122"/>
      <c r="FL105" s="122"/>
      <c r="FM105" s="122"/>
      <c r="FN105" s="122"/>
      <c r="FO105" s="122"/>
      <c r="FP105" s="122"/>
      <c r="FQ105" s="122"/>
      <c r="FR105" s="122"/>
      <c r="FS105" s="122"/>
      <c r="FT105" s="122"/>
      <c r="FU105" s="122"/>
      <c r="FV105" s="122"/>
      <c r="FW105" s="122"/>
      <c r="FX105" s="122"/>
      <c r="FY105" s="122"/>
      <c r="FZ105" s="122"/>
      <c r="GA105" s="122"/>
      <c r="GB105" s="122"/>
      <c r="GC105" s="122"/>
      <c r="GD105" s="122"/>
      <c r="GE105" s="122"/>
      <c r="GF105" s="122"/>
      <c r="GG105" s="122"/>
      <c r="GH105" s="122"/>
      <c r="GI105" s="122"/>
      <c r="GJ105" s="122"/>
      <c r="GK105" s="122"/>
      <c r="GL105" s="122"/>
      <c r="GM105" s="122"/>
      <c r="GN105" s="122"/>
      <c r="GO105" s="122"/>
      <c r="GP105" s="122"/>
      <c r="GQ105" s="122"/>
      <c r="GR105" s="122"/>
      <c r="GS105" s="122"/>
      <c r="GT105" s="122"/>
      <c r="GU105" s="122"/>
      <c r="GV105" s="122"/>
      <c r="GW105" s="122"/>
      <c r="GX105" s="122"/>
      <c r="GY105" s="122"/>
      <c r="GZ105" s="122"/>
      <c r="HA105" s="122"/>
      <c r="HB105" s="122"/>
      <c r="HC105" s="122"/>
      <c r="HD105" s="122"/>
      <c r="HE105" s="122"/>
      <c r="HF105" s="122"/>
      <c r="HG105" s="122"/>
      <c r="HH105" s="122"/>
      <c r="HI105" s="122"/>
      <c r="HJ105" s="122"/>
      <c r="HK105" s="122"/>
      <c r="HL105" s="122"/>
      <c r="HM105" s="122"/>
      <c r="HN105" s="122"/>
      <c r="HO105" s="122"/>
      <c r="HP105" s="122"/>
      <c r="HQ105" s="122"/>
      <c r="HR105" s="122"/>
      <c r="HS105" s="122"/>
      <c r="HT105" s="122"/>
      <c r="HU105" s="122"/>
      <c r="HV105" s="122"/>
      <c r="HW105" s="122"/>
      <c r="HX105" s="122"/>
      <c r="HY105" s="122"/>
      <c r="HZ105" s="122"/>
      <c r="IA105" s="122"/>
      <c r="IB105" s="122"/>
      <c r="IC105" s="122"/>
      <c r="ID105" s="122"/>
      <c r="IE105" s="122"/>
      <c r="IF105" s="122"/>
      <c r="IG105" s="122"/>
      <c r="IH105" s="122"/>
      <c r="II105" s="122"/>
      <c r="IJ105" s="122"/>
      <c r="IK105" s="122"/>
      <c r="IL105" s="122"/>
      <c r="IM105" s="122"/>
      <c r="IN105" s="122"/>
      <c r="IO105" s="122"/>
      <c r="IP105" s="122"/>
      <c r="IQ105" s="122"/>
      <c r="IR105" s="122"/>
      <c r="IS105" s="122"/>
      <c r="IT105" s="122"/>
      <c r="IU105" s="122"/>
      <c r="IV105" s="122"/>
    </row>
    <row r="106" spans="1:256" s="127" customFormat="1" x14ac:dyDescent="0.25">
      <c r="A106" s="130"/>
      <c r="B106" s="131"/>
      <c r="C106" s="131"/>
      <c r="D106" s="122"/>
      <c r="E106" s="122"/>
      <c r="F106" s="131"/>
      <c r="G106" s="131"/>
      <c r="H106" s="131"/>
      <c r="I106" s="131"/>
      <c r="J106" s="131"/>
      <c r="K106" s="217"/>
      <c r="L106" s="131"/>
      <c r="M106" s="132"/>
      <c r="N106" s="122"/>
      <c r="O106" s="122"/>
      <c r="P106" s="122"/>
      <c r="Q106" s="122"/>
      <c r="R106" s="122"/>
      <c r="S106" s="122"/>
      <c r="T106" s="122"/>
      <c r="U106" s="122"/>
      <c r="V106" s="122"/>
      <c r="W106" s="122"/>
      <c r="X106" s="122"/>
      <c r="Y106" s="122"/>
      <c r="Z106" s="122"/>
      <c r="AA106" s="122"/>
      <c r="AB106" s="122"/>
      <c r="AC106" s="122"/>
      <c r="AD106" s="122"/>
      <c r="AE106" s="122"/>
      <c r="AF106" s="122"/>
      <c r="AG106" s="122"/>
      <c r="AH106" s="122"/>
      <c r="AI106" s="122"/>
      <c r="AJ106" s="122"/>
      <c r="AK106" s="122"/>
      <c r="AL106" s="122"/>
      <c r="AM106" s="122"/>
      <c r="AN106" s="122"/>
      <c r="AO106" s="122"/>
      <c r="AP106" s="122"/>
      <c r="AQ106" s="122"/>
      <c r="AR106" s="122"/>
      <c r="AS106" s="122"/>
      <c r="AT106" s="122"/>
      <c r="AU106" s="122"/>
      <c r="AV106" s="122"/>
      <c r="AW106" s="122"/>
      <c r="AX106" s="122"/>
      <c r="AY106" s="122"/>
      <c r="AZ106" s="122"/>
      <c r="BA106" s="122"/>
      <c r="BB106" s="122"/>
      <c r="BC106" s="122"/>
      <c r="BD106" s="122"/>
      <c r="BE106" s="122"/>
      <c r="BF106" s="122"/>
      <c r="BG106" s="122"/>
      <c r="BH106" s="122"/>
      <c r="BI106" s="122"/>
      <c r="BJ106" s="122"/>
      <c r="BK106" s="122"/>
      <c r="BL106" s="122"/>
      <c r="BM106" s="122"/>
      <c r="BN106" s="122"/>
      <c r="BO106" s="122"/>
      <c r="BP106" s="122"/>
      <c r="BQ106" s="122"/>
      <c r="BR106" s="122"/>
      <c r="BS106" s="122"/>
      <c r="BT106" s="122"/>
      <c r="BU106" s="122"/>
      <c r="BV106" s="122"/>
      <c r="BW106" s="122"/>
      <c r="BX106" s="122"/>
      <c r="BY106" s="122"/>
      <c r="BZ106" s="122"/>
      <c r="CA106" s="122"/>
      <c r="CB106" s="122"/>
      <c r="CC106" s="122"/>
      <c r="CD106" s="122"/>
      <c r="CE106" s="122"/>
      <c r="CF106" s="122"/>
      <c r="CG106" s="122"/>
      <c r="CH106" s="122"/>
      <c r="CI106" s="122"/>
      <c r="CJ106" s="122"/>
      <c r="CK106" s="122"/>
      <c r="CL106" s="122"/>
      <c r="CM106" s="122"/>
      <c r="CN106" s="122"/>
      <c r="CO106" s="122"/>
      <c r="CP106" s="122"/>
      <c r="CQ106" s="122"/>
      <c r="CR106" s="122"/>
      <c r="CS106" s="122"/>
      <c r="CT106" s="122"/>
      <c r="CU106" s="122"/>
      <c r="CV106" s="122"/>
      <c r="CW106" s="122"/>
      <c r="CX106" s="122"/>
      <c r="CY106" s="122"/>
      <c r="CZ106" s="122"/>
      <c r="DA106" s="122"/>
      <c r="DB106" s="122"/>
      <c r="DC106" s="122"/>
      <c r="DD106" s="122"/>
      <c r="DE106" s="122"/>
      <c r="DF106" s="122"/>
      <c r="DG106" s="122"/>
      <c r="DH106" s="122"/>
      <c r="DI106" s="122"/>
      <c r="DJ106" s="122"/>
      <c r="DK106" s="122"/>
      <c r="DL106" s="122"/>
      <c r="DM106" s="122"/>
      <c r="DN106" s="122"/>
      <c r="DO106" s="122"/>
      <c r="DP106" s="122"/>
      <c r="DQ106" s="122"/>
      <c r="DR106" s="122"/>
      <c r="DS106" s="122"/>
      <c r="DT106" s="122"/>
      <c r="DU106" s="122"/>
      <c r="DV106" s="122"/>
      <c r="DW106" s="122"/>
      <c r="DX106" s="122"/>
      <c r="DY106" s="122"/>
      <c r="DZ106" s="122"/>
      <c r="EA106" s="122"/>
      <c r="EB106" s="122"/>
      <c r="EC106" s="122"/>
      <c r="ED106" s="122"/>
      <c r="EE106" s="122"/>
      <c r="EF106" s="122"/>
      <c r="EG106" s="122"/>
      <c r="EH106" s="122"/>
      <c r="EI106" s="122"/>
      <c r="EJ106" s="122"/>
      <c r="EK106" s="122"/>
      <c r="EL106" s="122"/>
      <c r="EM106" s="122"/>
      <c r="EN106" s="122"/>
      <c r="EO106" s="122"/>
      <c r="EP106" s="122"/>
      <c r="EQ106" s="122"/>
      <c r="ER106" s="122"/>
      <c r="ES106" s="122"/>
      <c r="ET106" s="122"/>
      <c r="EU106" s="122"/>
      <c r="EV106" s="122"/>
      <c r="EW106" s="122"/>
      <c r="EX106" s="122"/>
      <c r="EY106" s="122"/>
      <c r="EZ106" s="122"/>
      <c r="FA106" s="122"/>
      <c r="FB106" s="122"/>
      <c r="FC106" s="122"/>
      <c r="FD106" s="122"/>
      <c r="FE106" s="122"/>
      <c r="FF106" s="122"/>
      <c r="FG106" s="122"/>
      <c r="FH106" s="122"/>
      <c r="FI106" s="122"/>
      <c r="FJ106" s="122"/>
      <c r="FK106" s="122"/>
      <c r="FL106" s="122"/>
      <c r="FM106" s="122"/>
      <c r="FN106" s="122"/>
      <c r="FO106" s="122"/>
      <c r="FP106" s="122"/>
      <c r="FQ106" s="122"/>
      <c r="FR106" s="122"/>
      <c r="FS106" s="122"/>
      <c r="FT106" s="122"/>
      <c r="FU106" s="122"/>
      <c r="FV106" s="122"/>
      <c r="FW106" s="122"/>
      <c r="FX106" s="122"/>
      <c r="FY106" s="122"/>
      <c r="FZ106" s="122"/>
      <c r="GA106" s="122"/>
      <c r="GB106" s="122"/>
      <c r="GC106" s="122"/>
      <c r="GD106" s="122"/>
      <c r="GE106" s="122"/>
      <c r="GF106" s="122"/>
      <c r="GG106" s="122"/>
      <c r="GH106" s="122"/>
      <c r="GI106" s="122"/>
      <c r="GJ106" s="122"/>
      <c r="GK106" s="122"/>
      <c r="GL106" s="122"/>
      <c r="GM106" s="122"/>
      <c r="GN106" s="122"/>
      <c r="GO106" s="122"/>
      <c r="GP106" s="122"/>
      <c r="GQ106" s="122"/>
      <c r="GR106" s="122"/>
      <c r="GS106" s="122"/>
      <c r="GT106" s="122"/>
      <c r="GU106" s="122"/>
      <c r="GV106" s="122"/>
      <c r="GW106" s="122"/>
      <c r="GX106" s="122"/>
      <c r="GY106" s="122"/>
      <c r="GZ106" s="122"/>
      <c r="HA106" s="122"/>
      <c r="HB106" s="122"/>
      <c r="HC106" s="122"/>
      <c r="HD106" s="122"/>
      <c r="HE106" s="122"/>
      <c r="HF106" s="122"/>
      <c r="HG106" s="122"/>
      <c r="HH106" s="122"/>
      <c r="HI106" s="122"/>
      <c r="HJ106" s="122"/>
      <c r="HK106" s="122"/>
      <c r="HL106" s="122"/>
      <c r="HM106" s="122"/>
      <c r="HN106" s="122"/>
      <c r="HO106" s="122"/>
      <c r="HP106" s="122"/>
      <c r="HQ106" s="122"/>
      <c r="HR106" s="122"/>
      <c r="HS106" s="122"/>
      <c r="HT106" s="122"/>
      <c r="HU106" s="122"/>
      <c r="HV106" s="122"/>
      <c r="HW106" s="122"/>
      <c r="HX106" s="122"/>
      <c r="HY106" s="122"/>
      <c r="HZ106" s="122"/>
      <c r="IA106" s="122"/>
      <c r="IB106" s="122"/>
      <c r="IC106" s="122"/>
      <c r="ID106" s="122"/>
      <c r="IE106" s="122"/>
      <c r="IF106" s="122"/>
      <c r="IG106" s="122"/>
      <c r="IH106" s="122"/>
      <c r="II106" s="122"/>
      <c r="IJ106" s="122"/>
      <c r="IK106" s="122"/>
      <c r="IL106" s="122"/>
      <c r="IM106" s="122"/>
      <c r="IN106" s="122"/>
      <c r="IO106" s="122"/>
      <c r="IP106" s="122"/>
      <c r="IQ106" s="122"/>
      <c r="IR106" s="122"/>
      <c r="IS106" s="122"/>
      <c r="IT106" s="122"/>
      <c r="IU106" s="122"/>
      <c r="IV106" s="122"/>
    </row>
    <row r="107" spans="1:256" s="122" customFormat="1" x14ac:dyDescent="0.25">
      <c r="A107" s="130"/>
      <c r="B107" s="131"/>
      <c r="C107" s="131"/>
      <c r="F107" s="131"/>
      <c r="G107" s="131"/>
      <c r="H107" s="131"/>
      <c r="I107" s="131"/>
      <c r="J107" s="131"/>
      <c r="K107" s="217"/>
      <c r="L107" s="131"/>
      <c r="M107" s="132"/>
    </row>
    <row r="108" spans="1:256" s="122" customFormat="1" x14ac:dyDescent="0.25">
      <c r="A108" s="130"/>
      <c r="B108" s="131"/>
      <c r="C108" s="131"/>
      <c r="F108" s="131"/>
      <c r="G108" s="131"/>
      <c r="H108" s="131"/>
      <c r="I108" s="131"/>
      <c r="J108" s="131"/>
      <c r="K108" s="217"/>
      <c r="L108" s="131"/>
    </row>
    <row r="109" spans="1:256" s="127" customFormat="1" x14ac:dyDescent="0.25">
      <c r="A109" s="130"/>
      <c r="B109" s="131"/>
      <c r="C109" s="131"/>
      <c r="D109" s="132"/>
      <c r="E109" s="122"/>
      <c r="F109" s="131"/>
      <c r="G109" s="131"/>
      <c r="H109" s="131"/>
      <c r="I109" s="131"/>
      <c r="J109" s="131"/>
      <c r="K109" s="217"/>
      <c r="L109" s="131"/>
      <c r="M109" s="122"/>
      <c r="N109" s="122"/>
      <c r="O109" s="122"/>
      <c r="P109" s="122"/>
      <c r="Q109" s="122"/>
      <c r="R109" s="122"/>
      <c r="S109" s="122"/>
      <c r="T109" s="122"/>
      <c r="U109" s="122"/>
      <c r="V109" s="122"/>
      <c r="W109" s="122"/>
      <c r="X109" s="122"/>
      <c r="Y109" s="122"/>
      <c r="Z109" s="122"/>
      <c r="AA109" s="122"/>
      <c r="AB109" s="122"/>
      <c r="AC109" s="122"/>
      <c r="AD109" s="122"/>
      <c r="AE109" s="122"/>
      <c r="AF109" s="122"/>
      <c r="AG109" s="122"/>
      <c r="AH109" s="122"/>
      <c r="AI109" s="122"/>
      <c r="AJ109" s="122"/>
      <c r="AK109" s="122"/>
      <c r="AL109" s="122"/>
      <c r="AM109" s="122"/>
      <c r="AN109" s="122"/>
      <c r="AO109" s="122"/>
      <c r="AP109" s="122"/>
      <c r="AQ109" s="122"/>
      <c r="AR109" s="122"/>
      <c r="AS109" s="122"/>
      <c r="AT109" s="122"/>
      <c r="AU109" s="122"/>
      <c r="AV109" s="122"/>
      <c r="AW109" s="122"/>
      <c r="AX109" s="122"/>
      <c r="AY109" s="122"/>
      <c r="AZ109" s="122"/>
      <c r="BA109" s="122"/>
      <c r="BB109" s="122"/>
      <c r="BC109" s="122"/>
      <c r="BD109" s="122"/>
      <c r="BE109" s="122"/>
      <c r="BF109" s="122"/>
      <c r="BG109" s="122"/>
      <c r="BH109" s="122"/>
      <c r="BI109" s="122"/>
      <c r="BJ109" s="122"/>
      <c r="BK109" s="122"/>
      <c r="BL109" s="122"/>
      <c r="BM109" s="122"/>
      <c r="BN109" s="122"/>
      <c r="BO109" s="122"/>
      <c r="BP109" s="122"/>
      <c r="BQ109" s="122"/>
      <c r="BR109" s="122"/>
      <c r="BS109" s="122"/>
      <c r="BT109" s="122"/>
      <c r="BU109" s="122"/>
      <c r="BV109" s="122"/>
      <c r="BW109" s="122"/>
      <c r="BX109" s="122"/>
      <c r="BY109" s="122"/>
      <c r="BZ109" s="122"/>
      <c r="CA109" s="122"/>
      <c r="CB109" s="122"/>
      <c r="CC109" s="122"/>
      <c r="CD109" s="122"/>
      <c r="CE109" s="122"/>
      <c r="CF109" s="122"/>
      <c r="CG109" s="122"/>
      <c r="CH109" s="122"/>
      <c r="CI109" s="122"/>
      <c r="CJ109" s="122"/>
      <c r="CK109" s="122"/>
      <c r="CL109" s="122"/>
      <c r="CM109" s="122"/>
      <c r="CN109" s="122"/>
      <c r="CO109" s="122"/>
      <c r="CP109" s="122"/>
      <c r="CQ109" s="122"/>
      <c r="CR109" s="122"/>
      <c r="CS109" s="122"/>
      <c r="CT109" s="122"/>
      <c r="CU109" s="122"/>
      <c r="CV109" s="122"/>
      <c r="CW109" s="122"/>
      <c r="CX109" s="122"/>
      <c r="CY109" s="122"/>
      <c r="CZ109" s="122"/>
      <c r="DA109" s="122"/>
      <c r="DB109" s="122"/>
      <c r="DC109" s="122"/>
      <c r="DD109" s="122"/>
      <c r="DE109" s="122"/>
      <c r="DF109" s="122"/>
      <c r="DG109" s="122"/>
      <c r="DH109" s="122"/>
      <c r="DI109" s="122"/>
      <c r="DJ109" s="122"/>
      <c r="DK109" s="122"/>
      <c r="DL109" s="122"/>
      <c r="DM109" s="122"/>
      <c r="DN109" s="122"/>
      <c r="DO109" s="122"/>
      <c r="DP109" s="122"/>
      <c r="DQ109" s="122"/>
      <c r="DR109" s="122"/>
      <c r="DS109" s="122"/>
      <c r="DT109" s="122"/>
      <c r="DU109" s="122"/>
      <c r="DV109" s="122"/>
      <c r="DW109" s="122"/>
      <c r="DX109" s="122"/>
      <c r="DY109" s="122"/>
      <c r="DZ109" s="122"/>
      <c r="EA109" s="122"/>
      <c r="EB109" s="122"/>
      <c r="EC109" s="122"/>
      <c r="ED109" s="122"/>
      <c r="EE109" s="122"/>
      <c r="EF109" s="122"/>
      <c r="EG109" s="122"/>
      <c r="EH109" s="122"/>
      <c r="EI109" s="122"/>
      <c r="EJ109" s="122"/>
      <c r="EK109" s="122"/>
      <c r="EL109" s="122"/>
      <c r="EM109" s="122"/>
      <c r="EN109" s="122"/>
      <c r="EO109" s="122"/>
      <c r="EP109" s="122"/>
      <c r="EQ109" s="122"/>
      <c r="ER109" s="122"/>
      <c r="ES109" s="122"/>
      <c r="ET109" s="122"/>
      <c r="EU109" s="122"/>
      <c r="EV109" s="122"/>
      <c r="EW109" s="122"/>
      <c r="EX109" s="122"/>
      <c r="EY109" s="122"/>
      <c r="EZ109" s="122"/>
      <c r="FA109" s="122"/>
      <c r="FB109" s="122"/>
      <c r="FC109" s="122"/>
      <c r="FD109" s="122"/>
      <c r="FE109" s="122"/>
      <c r="FF109" s="122"/>
      <c r="FG109" s="122"/>
      <c r="FH109" s="122"/>
      <c r="FI109" s="122"/>
      <c r="FJ109" s="122"/>
      <c r="FK109" s="122"/>
      <c r="FL109" s="122"/>
      <c r="FM109" s="122"/>
      <c r="FN109" s="122"/>
      <c r="FO109" s="122"/>
      <c r="FP109" s="122"/>
      <c r="FQ109" s="122"/>
      <c r="FR109" s="122"/>
      <c r="FS109" s="122"/>
      <c r="FT109" s="122"/>
      <c r="FU109" s="122"/>
      <c r="FV109" s="122"/>
      <c r="FW109" s="122"/>
      <c r="FX109" s="122"/>
      <c r="FY109" s="122"/>
      <c r="FZ109" s="122"/>
      <c r="GA109" s="122"/>
      <c r="GB109" s="122"/>
      <c r="GC109" s="122"/>
      <c r="GD109" s="122"/>
      <c r="GE109" s="122"/>
      <c r="GF109" s="122"/>
      <c r="GG109" s="122"/>
      <c r="GH109" s="122"/>
      <c r="GI109" s="122"/>
      <c r="GJ109" s="122"/>
      <c r="GK109" s="122"/>
      <c r="GL109" s="122"/>
      <c r="GM109" s="122"/>
      <c r="GN109" s="122"/>
      <c r="GO109" s="122"/>
      <c r="GP109" s="122"/>
      <c r="GQ109" s="122"/>
      <c r="GR109" s="122"/>
      <c r="GS109" s="122"/>
      <c r="GT109" s="122"/>
      <c r="GU109" s="122"/>
      <c r="GV109" s="122"/>
      <c r="GW109" s="122"/>
      <c r="GX109" s="122"/>
      <c r="GY109" s="122"/>
      <c r="GZ109" s="122"/>
      <c r="HA109" s="122"/>
      <c r="HB109" s="122"/>
      <c r="HC109" s="122"/>
      <c r="HD109" s="122"/>
      <c r="HE109" s="122"/>
      <c r="HF109" s="122"/>
      <c r="HG109" s="122"/>
      <c r="HH109" s="122"/>
      <c r="HI109" s="122"/>
      <c r="HJ109" s="122"/>
      <c r="HK109" s="122"/>
      <c r="HL109" s="122"/>
      <c r="HM109" s="122"/>
      <c r="HN109" s="122"/>
      <c r="HO109" s="122"/>
      <c r="HP109" s="122"/>
      <c r="HQ109" s="122"/>
      <c r="HR109" s="122"/>
      <c r="HS109" s="122"/>
      <c r="HT109" s="122"/>
      <c r="HU109" s="122"/>
      <c r="HV109" s="122"/>
      <c r="HW109" s="122"/>
      <c r="HX109" s="122"/>
      <c r="HY109" s="122"/>
      <c r="HZ109" s="122"/>
      <c r="IA109" s="122"/>
      <c r="IB109" s="122"/>
      <c r="IC109" s="122"/>
      <c r="ID109" s="122"/>
      <c r="IE109" s="122"/>
      <c r="IF109" s="122"/>
      <c r="IG109" s="122"/>
      <c r="IH109" s="122"/>
      <c r="II109" s="122"/>
      <c r="IJ109" s="122"/>
      <c r="IK109" s="122"/>
      <c r="IL109" s="122"/>
      <c r="IM109" s="122"/>
      <c r="IN109" s="122"/>
      <c r="IO109" s="122"/>
      <c r="IP109" s="122"/>
      <c r="IQ109" s="122"/>
      <c r="IR109" s="122"/>
      <c r="IS109" s="122"/>
      <c r="IT109" s="122"/>
      <c r="IU109" s="122"/>
      <c r="IV109" s="122"/>
    </row>
    <row r="110" spans="1:256" s="127" customFormat="1" x14ac:dyDescent="0.25">
      <c r="A110" s="130"/>
      <c r="B110" s="131"/>
      <c r="C110" s="131"/>
      <c r="D110" s="122"/>
      <c r="E110" s="122"/>
      <c r="F110" s="131"/>
      <c r="G110" s="131"/>
      <c r="H110" s="131"/>
      <c r="I110" s="131"/>
      <c r="J110" s="131"/>
      <c r="K110" s="217"/>
      <c r="L110" s="131"/>
      <c r="M110" s="122"/>
      <c r="N110" s="122"/>
      <c r="O110" s="122"/>
      <c r="P110" s="122"/>
      <c r="Q110" s="122"/>
      <c r="R110" s="122"/>
      <c r="S110" s="122"/>
      <c r="T110" s="122"/>
      <c r="U110" s="122"/>
      <c r="V110" s="122"/>
      <c r="W110" s="122"/>
      <c r="X110" s="122"/>
      <c r="Y110" s="122"/>
      <c r="Z110" s="122"/>
      <c r="AA110" s="122"/>
      <c r="AB110" s="122"/>
      <c r="AC110" s="122"/>
      <c r="AD110" s="122"/>
      <c r="AE110" s="122"/>
      <c r="AF110" s="122"/>
      <c r="AG110" s="122"/>
      <c r="AH110" s="122"/>
      <c r="AI110" s="122"/>
      <c r="AJ110" s="122"/>
      <c r="AK110" s="122"/>
      <c r="AL110" s="122"/>
      <c r="AM110" s="122"/>
      <c r="AN110" s="122"/>
      <c r="AO110" s="122"/>
      <c r="AP110" s="122"/>
      <c r="AQ110" s="122"/>
      <c r="AR110" s="122"/>
      <c r="AS110" s="122"/>
      <c r="AT110" s="122"/>
      <c r="AU110" s="122"/>
      <c r="AV110" s="122"/>
      <c r="AW110" s="122"/>
      <c r="AX110" s="122"/>
      <c r="AY110" s="122"/>
      <c r="AZ110" s="122"/>
      <c r="BA110" s="122"/>
      <c r="BB110" s="122"/>
      <c r="BC110" s="122"/>
      <c r="BD110" s="122"/>
      <c r="BE110" s="122"/>
      <c r="BF110" s="122"/>
      <c r="BG110" s="122"/>
      <c r="BH110" s="122"/>
      <c r="BI110" s="122"/>
      <c r="BJ110" s="122"/>
      <c r="BK110" s="122"/>
      <c r="BL110" s="122"/>
      <c r="BM110" s="122"/>
      <c r="BN110" s="122"/>
      <c r="BO110" s="122"/>
      <c r="BP110" s="122"/>
      <c r="BQ110" s="122"/>
      <c r="BR110" s="122"/>
      <c r="BS110" s="122"/>
      <c r="BT110" s="122"/>
      <c r="BU110" s="122"/>
      <c r="BV110" s="122"/>
      <c r="BW110" s="122"/>
      <c r="BX110" s="122"/>
      <c r="BY110" s="122"/>
      <c r="BZ110" s="122"/>
      <c r="CA110" s="122"/>
      <c r="CB110" s="122"/>
      <c r="CC110" s="122"/>
      <c r="CD110" s="122"/>
      <c r="CE110" s="122"/>
      <c r="CF110" s="122"/>
      <c r="CG110" s="122"/>
      <c r="CH110" s="122"/>
      <c r="CI110" s="122"/>
      <c r="CJ110" s="122"/>
      <c r="CK110" s="122"/>
      <c r="CL110" s="122"/>
      <c r="CM110" s="122"/>
      <c r="CN110" s="122"/>
      <c r="CO110" s="122"/>
      <c r="CP110" s="122"/>
      <c r="CQ110" s="122"/>
      <c r="CR110" s="122"/>
      <c r="CS110" s="122"/>
      <c r="CT110" s="122"/>
      <c r="CU110" s="122"/>
      <c r="CV110" s="122"/>
      <c r="CW110" s="122"/>
      <c r="CX110" s="122"/>
      <c r="CY110" s="122"/>
      <c r="CZ110" s="122"/>
      <c r="DA110" s="122"/>
      <c r="DB110" s="122"/>
      <c r="DC110" s="122"/>
      <c r="DD110" s="122"/>
      <c r="DE110" s="122"/>
      <c r="DF110" s="122"/>
      <c r="DG110" s="122"/>
      <c r="DH110" s="122"/>
      <c r="DI110" s="122"/>
      <c r="DJ110" s="122"/>
      <c r="DK110" s="122"/>
      <c r="DL110" s="122"/>
      <c r="DM110" s="122"/>
      <c r="DN110" s="122"/>
      <c r="DO110" s="122"/>
      <c r="DP110" s="122"/>
      <c r="DQ110" s="122"/>
      <c r="DR110" s="122"/>
      <c r="DS110" s="122"/>
      <c r="DT110" s="122"/>
      <c r="DU110" s="122"/>
      <c r="DV110" s="122"/>
      <c r="DW110" s="122"/>
      <c r="DX110" s="122"/>
      <c r="DY110" s="122"/>
      <c r="DZ110" s="122"/>
      <c r="EA110" s="122"/>
      <c r="EB110" s="122"/>
      <c r="EC110" s="122"/>
      <c r="ED110" s="122"/>
      <c r="EE110" s="122"/>
      <c r="EF110" s="122"/>
      <c r="EG110" s="122"/>
      <c r="EH110" s="122"/>
      <c r="EI110" s="122"/>
      <c r="EJ110" s="122"/>
      <c r="EK110" s="122"/>
      <c r="EL110" s="122"/>
      <c r="EM110" s="122"/>
      <c r="EN110" s="122"/>
      <c r="EO110" s="122"/>
      <c r="EP110" s="122"/>
      <c r="EQ110" s="122"/>
      <c r="ER110" s="122"/>
      <c r="ES110" s="122"/>
      <c r="ET110" s="122"/>
      <c r="EU110" s="122"/>
      <c r="EV110" s="122"/>
      <c r="EW110" s="122"/>
      <c r="EX110" s="122"/>
      <c r="EY110" s="122"/>
      <c r="EZ110" s="122"/>
      <c r="FA110" s="122"/>
      <c r="FB110" s="122"/>
      <c r="FC110" s="122"/>
      <c r="FD110" s="122"/>
      <c r="FE110" s="122"/>
      <c r="FF110" s="122"/>
      <c r="FG110" s="122"/>
      <c r="FH110" s="122"/>
      <c r="FI110" s="122"/>
      <c r="FJ110" s="122"/>
      <c r="FK110" s="122"/>
      <c r="FL110" s="122"/>
      <c r="FM110" s="122"/>
      <c r="FN110" s="122"/>
      <c r="FO110" s="122"/>
      <c r="FP110" s="122"/>
      <c r="FQ110" s="122"/>
      <c r="FR110" s="122"/>
      <c r="FS110" s="122"/>
      <c r="FT110" s="122"/>
      <c r="FU110" s="122"/>
      <c r="FV110" s="122"/>
      <c r="FW110" s="122"/>
      <c r="FX110" s="122"/>
      <c r="FY110" s="122"/>
      <c r="FZ110" s="122"/>
      <c r="GA110" s="122"/>
      <c r="GB110" s="122"/>
      <c r="GC110" s="122"/>
      <c r="GD110" s="122"/>
      <c r="GE110" s="122"/>
      <c r="GF110" s="122"/>
      <c r="GG110" s="122"/>
      <c r="GH110" s="122"/>
      <c r="GI110" s="122"/>
      <c r="GJ110" s="122"/>
      <c r="GK110" s="122"/>
      <c r="GL110" s="122"/>
      <c r="GM110" s="122"/>
      <c r="GN110" s="122"/>
      <c r="GO110" s="122"/>
      <c r="GP110" s="122"/>
      <c r="GQ110" s="122"/>
      <c r="GR110" s="122"/>
      <c r="GS110" s="122"/>
      <c r="GT110" s="122"/>
      <c r="GU110" s="122"/>
      <c r="GV110" s="122"/>
      <c r="GW110" s="122"/>
      <c r="GX110" s="122"/>
      <c r="GY110" s="122"/>
      <c r="GZ110" s="122"/>
      <c r="HA110" s="122"/>
      <c r="HB110" s="122"/>
      <c r="HC110" s="122"/>
      <c r="HD110" s="122"/>
      <c r="HE110" s="122"/>
      <c r="HF110" s="122"/>
      <c r="HG110" s="122"/>
      <c r="HH110" s="122"/>
      <c r="HI110" s="122"/>
      <c r="HJ110" s="122"/>
      <c r="HK110" s="122"/>
      <c r="HL110" s="122"/>
      <c r="HM110" s="122"/>
      <c r="HN110" s="122"/>
      <c r="HO110" s="122"/>
      <c r="HP110" s="122"/>
      <c r="HQ110" s="122"/>
      <c r="HR110" s="122"/>
      <c r="HS110" s="122"/>
      <c r="HT110" s="122"/>
      <c r="HU110" s="122"/>
      <c r="HV110" s="122"/>
      <c r="HW110" s="122"/>
      <c r="HX110" s="122"/>
      <c r="HY110" s="122"/>
      <c r="HZ110" s="122"/>
      <c r="IA110" s="122"/>
      <c r="IB110" s="122"/>
      <c r="IC110" s="122"/>
      <c r="ID110" s="122"/>
      <c r="IE110" s="122"/>
      <c r="IF110" s="122"/>
      <c r="IG110" s="122"/>
      <c r="IH110" s="122"/>
      <c r="II110" s="122"/>
      <c r="IJ110" s="122"/>
      <c r="IK110" s="122"/>
      <c r="IL110" s="122"/>
      <c r="IM110" s="122"/>
      <c r="IN110" s="122"/>
      <c r="IO110" s="122"/>
      <c r="IP110" s="122"/>
      <c r="IQ110" s="122"/>
      <c r="IR110" s="122"/>
      <c r="IS110" s="122"/>
      <c r="IT110" s="122"/>
      <c r="IU110" s="122"/>
      <c r="IV110" s="122"/>
    </row>
    <row r="111" spans="1:256" s="127" customFormat="1" x14ac:dyDescent="0.25">
      <c r="A111" s="130"/>
      <c r="B111" s="131"/>
      <c r="C111" s="131"/>
      <c r="D111" s="122"/>
      <c r="E111" s="122"/>
      <c r="F111" s="131"/>
      <c r="G111" s="131"/>
      <c r="H111" s="131"/>
      <c r="I111" s="131"/>
      <c r="J111" s="131"/>
      <c r="K111" s="217"/>
      <c r="L111" s="131"/>
      <c r="M111" s="122"/>
      <c r="N111" s="122"/>
      <c r="O111" s="122"/>
      <c r="P111" s="122"/>
      <c r="Q111" s="122"/>
      <c r="R111" s="122"/>
    </row>
    <row r="112" spans="1:256" s="127" customFormat="1" x14ac:dyDescent="0.25">
      <c r="A112" s="130"/>
      <c r="B112" s="131"/>
      <c r="C112" s="131"/>
      <c r="D112" s="122"/>
      <c r="E112" s="122"/>
      <c r="F112" s="131"/>
      <c r="G112" s="131"/>
      <c r="H112" s="131"/>
      <c r="I112" s="131"/>
      <c r="J112" s="131"/>
      <c r="K112" s="217"/>
      <c r="L112" s="131"/>
      <c r="M112" s="122"/>
      <c r="N112" s="122"/>
      <c r="O112" s="122"/>
      <c r="P112" s="122"/>
      <c r="Q112" s="122"/>
      <c r="R112" s="122"/>
    </row>
    <row r="113" spans="1:256" s="122" customFormat="1" x14ac:dyDescent="0.25">
      <c r="A113" s="130"/>
      <c r="B113" s="131"/>
      <c r="C113" s="131"/>
      <c r="D113" s="132"/>
      <c r="F113" s="131"/>
      <c r="G113" s="131"/>
      <c r="H113" s="131"/>
      <c r="I113" s="131"/>
      <c r="J113" s="131"/>
      <c r="K113" s="217"/>
      <c r="L113" s="131"/>
      <c r="S113" s="127"/>
      <c r="T113" s="127"/>
      <c r="U113" s="127"/>
      <c r="V113" s="127"/>
      <c r="W113" s="127"/>
      <c r="X113" s="127"/>
      <c r="Y113" s="127"/>
      <c r="Z113" s="127"/>
      <c r="AA113" s="127"/>
      <c r="AB113" s="127"/>
      <c r="AC113" s="127"/>
      <c r="AD113" s="127"/>
      <c r="AE113" s="127"/>
      <c r="AF113" s="127"/>
      <c r="AG113" s="127"/>
      <c r="AH113" s="127"/>
      <c r="AI113" s="127"/>
      <c r="AJ113" s="127"/>
      <c r="AK113" s="127"/>
      <c r="AL113" s="127"/>
      <c r="AM113" s="127"/>
      <c r="AN113" s="127"/>
      <c r="AO113" s="127"/>
      <c r="AP113" s="127"/>
      <c r="AQ113" s="127"/>
      <c r="AR113" s="127"/>
      <c r="AS113" s="127"/>
      <c r="AT113" s="127"/>
      <c r="AU113" s="127"/>
      <c r="AV113" s="127"/>
      <c r="AW113" s="127"/>
      <c r="AX113" s="127"/>
      <c r="AY113" s="127"/>
      <c r="AZ113" s="127"/>
      <c r="BA113" s="127"/>
      <c r="BB113" s="127"/>
      <c r="BC113" s="127"/>
      <c r="BD113" s="127"/>
      <c r="BE113" s="127"/>
      <c r="BF113" s="127"/>
      <c r="BG113" s="127"/>
      <c r="BH113" s="127"/>
      <c r="BI113" s="127"/>
      <c r="BJ113" s="127"/>
      <c r="BK113" s="127"/>
      <c r="BL113" s="127"/>
      <c r="BM113" s="127"/>
      <c r="BN113" s="127"/>
      <c r="BO113" s="127"/>
      <c r="BP113" s="127"/>
      <c r="BQ113" s="127"/>
      <c r="BR113" s="127"/>
      <c r="BS113" s="127"/>
      <c r="BT113" s="127"/>
      <c r="BU113" s="127"/>
      <c r="BV113" s="127"/>
      <c r="BW113" s="127"/>
      <c r="BX113" s="127"/>
      <c r="BY113" s="127"/>
      <c r="BZ113" s="127"/>
      <c r="CA113" s="127"/>
      <c r="CB113" s="127"/>
      <c r="CC113" s="127"/>
      <c r="CD113" s="127"/>
      <c r="CE113" s="127"/>
      <c r="CF113" s="127"/>
      <c r="CG113" s="127"/>
      <c r="CH113" s="127"/>
      <c r="CI113" s="127"/>
      <c r="CJ113" s="127"/>
      <c r="CK113" s="127"/>
      <c r="CL113" s="127"/>
      <c r="CM113" s="127"/>
      <c r="CN113" s="127"/>
      <c r="CO113" s="127"/>
      <c r="CP113" s="127"/>
      <c r="CQ113" s="127"/>
      <c r="CR113" s="127"/>
      <c r="CS113" s="127"/>
      <c r="CT113" s="127"/>
      <c r="CU113" s="127"/>
      <c r="CV113" s="127"/>
      <c r="CW113" s="127"/>
      <c r="CX113" s="127"/>
      <c r="CY113" s="127"/>
      <c r="CZ113" s="127"/>
      <c r="DA113" s="127"/>
      <c r="DB113" s="127"/>
      <c r="DC113" s="127"/>
      <c r="DD113" s="127"/>
      <c r="DE113" s="127"/>
      <c r="DF113" s="127"/>
      <c r="DG113" s="127"/>
      <c r="DH113" s="127"/>
      <c r="DI113" s="127"/>
      <c r="DJ113" s="127"/>
      <c r="DK113" s="127"/>
      <c r="DL113" s="127"/>
      <c r="DM113" s="127"/>
      <c r="DN113" s="127"/>
      <c r="DO113" s="127"/>
      <c r="DP113" s="127"/>
      <c r="DQ113" s="127"/>
      <c r="DR113" s="127"/>
      <c r="DS113" s="127"/>
      <c r="DT113" s="127"/>
      <c r="DU113" s="127"/>
      <c r="DV113" s="127"/>
      <c r="DW113" s="127"/>
      <c r="DX113" s="127"/>
      <c r="DY113" s="127"/>
      <c r="DZ113" s="127"/>
      <c r="EA113" s="127"/>
      <c r="EB113" s="127"/>
      <c r="EC113" s="127"/>
      <c r="ED113" s="127"/>
      <c r="EE113" s="127"/>
      <c r="EF113" s="127"/>
      <c r="EG113" s="127"/>
      <c r="EH113" s="127"/>
      <c r="EI113" s="127"/>
      <c r="EJ113" s="127"/>
      <c r="EK113" s="127"/>
      <c r="EL113" s="127"/>
      <c r="EM113" s="127"/>
      <c r="EN113" s="127"/>
      <c r="EO113" s="127"/>
      <c r="EP113" s="127"/>
      <c r="EQ113" s="127"/>
      <c r="ER113" s="127"/>
      <c r="ES113" s="127"/>
      <c r="ET113" s="127"/>
      <c r="EU113" s="127"/>
      <c r="EV113" s="127"/>
      <c r="EW113" s="127"/>
      <c r="EX113" s="127"/>
      <c r="EY113" s="127"/>
      <c r="EZ113" s="127"/>
      <c r="FA113" s="127"/>
      <c r="FB113" s="127"/>
      <c r="FC113" s="127"/>
      <c r="FD113" s="127"/>
      <c r="FE113" s="127"/>
      <c r="FF113" s="127"/>
      <c r="FG113" s="127"/>
      <c r="FH113" s="127"/>
      <c r="FI113" s="127"/>
      <c r="FJ113" s="127"/>
      <c r="FK113" s="127"/>
      <c r="FL113" s="127"/>
      <c r="FM113" s="127"/>
      <c r="FN113" s="127"/>
      <c r="FO113" s="127"/>
      <c r="FP113" s="127"/>
      <c r="FQ113" s="127"/>
      <c r="FR113" s="127"/>
      <c r="FS113" s="127"/>
      <c r="FT113" s="127"/>
      <c r="FU113" s="127"/>
      <c r="FV113" s="127"/>
      <c r="FW113" s="127"/>
      <c r="FX113" s="127"/>
      <c r="FY113" s="127"/>
      <c r="FZ113" s="127"/>
      <c r="GA113" s="127"/>
      <c r="GB113" s="127"/>
      <c r="GC113" s="127"/>
      <c r="GD113" s="127"/>
      <c r="GE113" s="127"/>
      <c r="GF113" s="127"/>
      <c r="GG113" s="127"/>
      <c r="GH113" s="127"/>
      <c r="GI113" s="127"/>
      <c r="GJ113" s="127"/>
      <c r="GK113" s="127"/>
      <c r="GL113" s="127"/>
      <c r="GM113" s="127"/>
      <c r="GN113" s="127"/>
      <c r="GO113" s="127"/>
      <c r="GP113" s="127"/>
      <c r="GQ113" s="127"/>
      <c r="GR113" s="127"/>
      <c r="GS113" s="127"/>
      <c r="GT113" s="127"/>
      <c r="GU113" s="127"/>
      <c r="GV113" s="127"/>
      <c r="GW113" s="127"/>
      <c r="GX113" s="127"/>
      <c r="GY113" s="127"/>
      <c r="GZ113" s="127"/>
      <c r="HA113" s="127"/>
      <c r="HB113" s="127"/>
      <c r="HC113" s="127"/>
      <c r="HD113" s="127"/>
      <c r="HE113" s="127"/>
      <c r="HF113" s="127"/>
      <c r="HG113" s="127"/>
      <c r="HH113" s="127"/>
      <c r="HI113" s="127"/>
      <c r="HJ113" s="127"/>
      <c r="HK113" s="127"/>
      <c r="HL113" s="127"/>
      <c r="HM113" s="127"/>
      <c r="HN113" s="127"/>
      <c r="HO113" s="127"/>
      <c r="HP113" s="127"/>
      <c r="HQ113" s="127"/>
      <c r="HR113" s="127"/>
      <c r="HS113" s="127"/>
      <c r="HT113" s="127"/>
      <c r="HU113" s="127"/>
      <c r="HV113" s="127"/>
      <c r="HW113" s="127"/>
      <c r="HX113" s="127"/>
      <c r="HY113" s="127"/>
      <c r="HZ113" s="127"/>
      <c r="IA113" s="127"/>
      <c r="IB113" s="127"/>
      <c r="IC113" s="127"/>
      <c r="ID113" s="127"/>
      <c r="IE113" s="127"/>
      <c r="IF113" s="127"/>
      <c r="IG113" s="127"/>
      <c r="IH113" s="127"/>
      <c r="II113" s="127"/>
      <c r="IJ113" s="127"/>
      <c r="IK113" s="127"/>
      <c r="IL113" s="127"/>
      <c r="IM113" s="127"/>
      <c r="IN113" s="127"/>
      <c r="IO113" s="127"/>
      <c r="IP113" s="127"/>
      <c r="IQ113" s="127"/>
      <c r="IR113" s="127"/>
      <c r="IS113" s="127"/>
      <c r="IT113" s="127"/>
      <c r="IU113" s="127"/>
      <c r="IV113" s="127"/>
    </row>
    <row r="114" spans="1:256" s="122" customFormat="1" x14ac:dyDescent="0.25">
      <c r="A114" s="130"/>
      <c r="B114" s="131"/>
      <c r="C114" s="131"/>
      <c r="F114" s="131"/>
      <c r="G114" s="131"/>
      <c r="H114" s="131"/>
      <c r="I114" s="131"/>
      <c r="J114" s="131"/>
      <c r="K114" s="217"/>
      <c r="L114" s="131"/>
      <c r="N114" s="127"/>
      <c r="O114" s="127"/>
      <c r="P114" s="127"/>
      <c r="Q114" s="127"/>
      <c r="R114" s="127"/>
      <c r="S114" s="127"/>
      <c r="T114" s="127"/>
      <c r="U114" s="127"/>
      <c r="V114" s="127"/>
      <c r="W114" s="127"/>
      <c r="X114" s="127"/>
      <c r="Y114" s="127"/>
      <c r="Z114" s="127"/>
      <c r="AA114" s="127"/>
      <c r="AB114" s="127"/>
      <c r="AC114" s="127"/>
      <c r="AD114" s="127"/>
      <c r="AE114" s="127"/>
      <c r="AF114" s="127"/>
      <c r="AG114" s="127"/>
      <c r="AH114" s="127"/>
      <c r="AI114" s="127"/>
      <c r="AJ114" s="127"/>
      <c r="AK114" s="127"/>
      <c r="AL114" s="127"/>
      <c r="AM114" s="127"/>
      <c r="AN114" s="127"/>
      <c r="AO114" s="127"/>
      <c r="AP114" s="127"/>
      <c r="AQ114" s="127"/>
      <c r="AR114" s="127"/>
      <c r="AS114" s="127"/>
      <c r="AT114" s="127"/>
      <c r="AU114" s="127"/>
      <c r="AV114" s="127"/>
      <c r="AW114" s="127"/>
      <c r="AX114" s="127"/>
      <c r="AY114" s="127"/>
      <c r="AZ114" s="127"/>
      <c r="BA114" s="127"/>
      <c r="BB114" s="127"/>
      <c r="BC114" s="127"/>
      <c r="BD114" s="127"/>
      <c r="BE114" s="127"/>
      <c r="BF114" s="127"/>
      <c r="BG114" s="127"/>
      <c r="BH114" s="127"/>
      <c r="BI114" s="127"/>
      <c r="BJ114" s="127"/>
      <c r="BK114" s="127"/>
      <c r="BL114" s="127"/>
      <c r="BM114" s="127"/>
      <c r="BN114" s="127"/>
      <c r="BO114" s="127"/>
      <c r="BP114" s="127"/>
      <c r="BQ114" s="127"/>
      <c r="BR114" s="127"/>
      <c r="BS114" s="127"/>
      <c r="BT114" s="127"/>
      <c r="BU114" s="127"/>
      <c r="BV114" s="127"/>
      <c r="BW114" s="127"/>
      <c r="BX114" s="127"/>
      <c r="BY114" s="127"/>
      <c r="BZ114" s="127"/>
      <c r="CA114" s="127"/>
      <c r="CB114" s="127"/>
      <c r="CC114" s="127"/>
      <c r="CD114" s="127"/>
      <c r="CE114" s="127"/>
      <c r="CF114" s="127"/>
      <c r="CG114" s="127"/>
      <c r="CH114" s="127"/>
      <c r="CI114" s="127"/>
      <c r="CJ114" s="127"/>
      <c r="CK114" s="127"/>
      <c r="CL114" s="127"/>
      <c r="CM114" s="127"/>
      <c r="CN114" s="127"/>
      <c r="CO114" s="127"/>
      <c r="CP114" s="127"/>
      <c r="CQ114" s="127"/>
      <c r="CR114" s="127"/>
      <c r="CS114" s="127"/>
      <c r="CT114" s="127"/>
      <c r="CU114" s="127"/>
      <c r="CV114" s="127"/>
      <c r="CW114" s="127"/>
      <c r="CX114" s="127"/>
      <c r="CY114" s="127"/>
      <c r="CZ114" s="127"/>
      <c r="DA114" s="127"/>
      <c r="DB114" s="127"/>
      <c r="DC114" s="127"/>
      <c r="DD114" s="127"/>
      <c r="DE114" s="127"/>
      <c r="DF114" s="127"/>
      <c r="DG114" s="127"/>
      <c r="DH114" s="127"/>
      <c r="DI114" s="127"/>
      <c r="DJ114" s="127"/>
      <c r="DK114" s="127"/>
      <c r="DL114" s="127"/>
      <c r="DM114" s="127"/>
      <c r="DN114" s="127"/>
      <c r="DO114" s="127"/>
      <c r="DP114" s="127"/>
      <c r="DQ114" s="127"/>
      <c r="DR114" s="127"/>
      <c r="DS114" s="127"/>
      <c r="DT114" s="127"/>
      <c r="DU114" s="127"/>
      <c r="DV114" s="127"/>
      <c r="DW114" s="127"/>
      <c r="DX114" s="127"/>
      <c r="DY114" s="127"/>
      <c r="DZ114" s="127"/>
      <c r="EA114" s="127"/>
      <c r="EB114" s="127"/>
      <c r="EC114" s="127"/>
      <c r="ED114" s="127"/>
      <c r="EE114" s="127"/>
      <c r="EF114" s="127"/>
      <c r="EG114" s="127"/>
      <c r="EH114" s="127"/>
      <c r="EI114" s="127"/>
      <c r="EJ114" s="127"/>
      <c r="EK114" s="127"/>
      <c r="EL114" s="127"/>
      <c r="EM114" s="127"/>
      <c r="EN114" s="127"/>
      <c r="EO114" s="127"/>
      <c r="EP114" s="127"/>
      <c r="EQ114" s="127"/>
      <c r="ER114" s="127"/>
      <c r="ES114" s="127"/>
      <c r="ET114" s="127"/>
      <c r="EU114" s="127"/>
      <c r="EV114" s="127"/>
      <c r="EW114" s="127"/>
      <c r="EX114" s="127"/>
      <c r="EY114" s="127"/>
      <c r="EZ114" s="127"/>
      <c r="FA114" s="127"/>
      <c r="FB114" s="127"/>
      <c r="FC114" s="127"/>
      <c r="FD114" s="127"/>
      <c r="FE114" s="127"/>
      <c r="FF114" s="127"/>
      <c r="FG114" s="127"/>
      <c r="FH114" s="127"/>
      <c r="FI114" s="127"/>
      <c r="FJ114" s="127"/>
      <c r="FK114" s="127"/>
      <c r="FL114" s="127"/>
      <c r="FM114" s="127"/>
      <c r="FN114" s="127"/>
      <c r="FO114" s="127"/>
      <c r="FP114" s="127"/>
      <c r="FQ114" s="127"/>
      <c r="FR114" s="127"/>
      <c r="FS114" s="127"/>
      <c r="FT114" s="127"/>
      <c r="FU114" s="127"/>
      <c r="FV114" s="127"/>
      <c r="FW114" s="127"/>
      <c r="FX114" s="127"/>
      <c r="FY114" s="127"/>
      <c r="FZ114" s="127"/>
      <c r="GA114" s="127"/>
      <c r="GB114" s="127"/>
      <c r="GC114" s="127"/>
      <c r="GD114" s="127"/>
      <c r="GE114" s="127"/>
      <c r="GF114" s="127"/>
      <c r="GG114" s="127"/>
      <c r="GH114" s="127"/>
      <c r="GI114" s="127"/>
      <c r="GJ114" s="127"/>
      <c r="GK114" s="127"/>
      <c r="GL114" s="127"/>
      <c r="GM114" s="127"/>
      <c r="GN114" s="127"/>
      <c r="GO114" s="127"/>
      <c r="GP114" s="127"/>
      <c r="GQ114" s="127"/>
      <c r="GR114" s="127"/>
      <c r="GS114" s="127"/>
      <c r="GT114" s="127"/>
      <c r="GU114" s="127"/>
      <c r="GV114" s="127"/>
      <c r="GW114" s="127"/>
      <c r="GX114" s="127"/>
      <c r="GY114" s="127"/>
      <c r="GZ114" s="127"/>
      <c r="HA114" s="127"/>
      <c r="HB114" s="127"/>
      <c r="HC114" s="127"/>
      <c r="HD114" s="127"/>
      <c r="HE114" s="127"/>
      <c r="HF114" s="127"/>
      <c r="HG114" s="127"/>
      <c r="HH114" s="127"/>
      <c r="HI114" s="127"/>
      <c r="HJ114" s="127"/>
      <c r="HK114" s="127"/>
      <c r="HL114" s="127"/>
      <c r="HM114" s="127"/>
      <c r="HN114" s="127"/>
      <c r="HO114" s="127"/>
      <c r="HP114" s="127"/>
      <c r="HQ114" s="127"/>
      <c r="HR114" s="127"/>
      <c r="HS114" s="127"/>
      <c r="HT114" s="127"/>
      <c r="HU114" s="127"/>
      <c r="HV114" s="127"/>
      <c r="HW114" s="127"/>
      <c r="HX114" s="127"/>
      <c r="HY114" s="127"/>
      <c r="HZ114" s="127"/>
      <c r="IA114" s="127"/>
      <c r="IB114" s="127"/>
      <c r="IC114" s="127"/>
      <c r="ID114" s="127"/>
      <c r="IE114" s="127"/>
      <c r="IF114" s="127"/>
      <c r="IG114" s="127"/>
      <c r="IH114" s="127"/>
      <c r="II114" s="127"/>
      <c r="IJ114" s="127"/>
      <c r="IK114" s="127"/>
      <c r="IL114" s="127"/>
      <c r="IM114" s="127"/>
      <c r="IN114" s="127"/>
      <c r="IO114" s="127"/>
      <c r="IP114" s="127"/>
      <c r="IQ114" s="127"/>
      <c r="IR114" s="127"/>
      <c r="IS114" s="127"/>
      <c r="IT114" s="127"/>
      <c r="IU114" s="127"/>
      <c r="IV114" s="127"/>
    </row>
    <row r="115" spans="1:256" s="122" customFormat="1" x14ac:dyDescent="0.25">
      <c r="A115" s="130"/>
      <c r="B115" s="131"/>
      <c r="C115" s="131"/>
      <c r="F115" s="131"/>
      <c r="G115" s="131"/>
      <c r="H115" s="131"/>
      <c r="I115" s="131"/>
      <c r="J115" s="131"/>
      <c r="K115" s="217"/>
      <c r="L115" s="131"/>
      <c r="N115" s="127"/>
      <c r="O115" s="127"/>
      <c r="P115" s="127"/>
      <c r="Q115" s="127"/>
      <c r="R115" s="127"/>
    </row>
    <row r="116" spans="1:256" s="122" customFormat="1" x14ac:dyDescent="0.25">
      <c r="A116" s="130"/>
      <c r="B116" s="131"/>
      <c r="C116" s="131"/>
      <c r="F116" s="131"/>
      <c r="G116" s="131"/>
      <c r="H116" s="131"/>
      <c r="I116" s="131"/>
      <c r="J116" s="131"/>
      <c r="K116" s="217"/>
      <c r="L116" s="131"/>
      <c r="N116" s="127"/>
      <c r="O116" s="127"/>
      <c r="P116" s="127"/>
      <c r="Q116" s="127"/>
      <c r="R116" s="127"/>
    </row>
    <row r="117" spans="1:256" s="127" customFormat="1" x14ac:dyDescent="0.25">
      <c r="A117" s="130"/>
      <c r="B117" s="131"/>
      <c r="C117" s="131"/>
      <c r="D117" s="122"/>
      <c r="E117" s="122"/>
      <c r="F117" s="131"/>
      <c r="G117" s="131"/>
      <c r="H117" s="131"/>
      <c r="I117" s="131"/>
      <c r="J117" s="131"/>
      <c r="K117" s="217"/>
      <c r="L117" s="131"/>
      <c r="M117" s="122"/>
      <c r="S117" s="122"/>
      <c r="T117" s="122"/>
      <c r="U117" s="122"/>
      <c r="V117" s="122"/>
      <c r="W117" s="122"/>
      <c r="X117" s="122"/>
      <c r="Y117" s="122"/>
      <c r="Z117" s="122"/>
      <c r="AA117" s="122"/>
      <c r="AB117" s="122"/>
      <c r="AC117" s="122"/>
      <c r="AD117" s="122"/>
      <c r="AE117" s="122"/>
      <c r="AF117" s="122"/>
      <c r="AG117" s="122"/>
      <c r="AH117" s="122"/>
      <c r="AI117" s="122"/>
      <c r="AJ117" s="122"/>
      <c r="AK117" s="122"/>
      <c r="AL117" s="122"/>
      <c r="AM117" s="122"/>
      <c r="AN117" s="122"/>
      <c r="AO117" s="122"/>
      <c r="AP117" s="122"/>
      <c r="AQ117" s="122"/>
      <c r="AR117" s="122"/>
      <c r="AS117" s="122"/>
      <c r="AT117" s="122"/>
      <c r="AU117" s="122"/>
      <c r="AV117" s="122"/>
      <c r="AW117" s="122"/>
      <c r="AX117" s="122"/>
      <c r="AY117" s="122"/>
      <c r="AZ117" s="122"/>
      <c r="BA117" s="122"/>
      <c r="BB117" s="122"/>
      <c r="BC117" s="122"/>
      <c r="BD117" s="122"/>
      <c r="BE117" s="122"/>
      <c r="BF117" s="122"/>
      <c r="BG117" s="122"/>
      <c r="BH117" s="122"/>
      <c r="BI117" s="122"/>
      <c r="BJ117" s="122"/>
      <c r="BK117" s="122"/>
      <c r="BL117" s="122"/>
      <c r="BM117" s="122"/>
      <c r="BN117" s="122"/>
      <c r="BO117" s="122"/>
      <c r="BP117" s="122"/>
      <c r="BQ117" s="122"/>
      <c r="BR117" s="122"/>
      <c r="BS117" s="122"/>
      <c r="BT117" s="122"/>
      <c r="BU117" s="122"/>
      <c r="BV117" s="122"/>
      <c r="BW117" s="122"/>
      <c r="BX117" s="122"/>
      <c r="BY117" s="122"/>
      <c r="BZ117" s="122"/>
      <c r="CA117" s="122"/>
      <c r="CB117" s="122"/>
      <c r="CC117" s="122"/>
      <c r="CD117" s="122"/>
      <c r="CE117" s="122"/>
      <c r="CF117" s="122"/>
      <c r="CG117" s="122"/>
      <c r="CH117" s="122"/>
      <c r="CI117" s="122"/>
      <c r="CJ117" s="122"/>
      <c r="CK117" s="122"/>
      <c r="CL117" s="122"/>
      <c r="CM117" s="122"/>
      <c r="CN117" s="122"/>
      <c r="CO117" s="122"/>
      <c r="CP117" s="122"/>
      <c r="CQ117" s="122"/>
      <c r="CR117" s="122"/>
      <c r="CS117" s="122"/>
      <c r="CT117" s="122"/>
      <c r="CU117" s="122"/>
      <c r="CV117" s="122"/>
      <c r="CW117" s="122"/>
      <c r="CX117" s="122"/>
      <c r="CY117" s="122"/>
      <c r="CZ117" s="122"/>
      <c r="DA117" s="122"/>
      <c r="DB117" s="122"/>
      <c r="DC117" s="122"/>
      <c r="DD117" s="122"/>
      <c r="DE117" s="122"/>
      <c r="DF117" s="122"/>
      <c r="DG117" s="122"/>
      <c r="DH117" s="122"/>
      <c r="DI117" s="122"/>
      <c r="DJ117" s="122"/>
      <c r="DK117" s="122"/>
      <c r="DL117" s="122"/>
      <c r="DM117" s="122"/>
      <c r="DN117" s="122"/>
      <c r="DO117" s="122"/>
      <c r="DP117" s="122"/>
      <c r="DQ117" s="122"/>
      <c r="DR117" s="122"/>
      <c r="DS117" s="122"/>
      <c r="DT117" s="122"/>
      <c r="DU117" s="122"/>
      <c r="DV117" s="122"/>
      <c r="DW117" s="122"/>
      <c r="DX117" s="122"/>
      <c r="DY117" s="122"/>
      <c r="DZ117" s="122"/>
      <c r="EA117" s="122"/>
      <c r="EB117" s="122"/>
      <c r="EC117" s="122"/>
      <c r="ED117" s="122"/>
      <c r="EE117" s="122"/>
      <c r="EF117" s="122"/>
      <c r="EG117" s="122"/>
      <c r="EH117" s="122"/>
      <c r="EI117" s="122"/>
      <c r="EJ117" s="122"/>
      <c r="EK117" s="122"/>
      <c r="EL117" s="122"/>
      <c r="EM117" s="122"/>
      <c r="EN117" s="122"/>
      <c r="EO117" s="122"/>
      <c r="EP117" s="122"/>
      <c r="EQ117" s="122"/>
      <c r="ER117" s="122"/>
      <c r="ES117" s="122"/>
      <c r="ET117" s="122"/>
      <c r="EU117" s="122"/>
      <c r="EV117" s="122"/>
      <c r="EW117" s="122"/>
      <c r="EX117" s="122"/>
      <c r="EY117" s="122"/>
      <c r="EZ117" s="122"/>
      <c r="FA117" s="122"/>
      <c r="FB117" s="122"/>
      <c r="FC117" s="122"/>
      <c r="FD117" s="122"/>
      <c r="FE117" s="122"/>
      <c r="FF117" s="122"/>
      <c r="FG117" s="122"/>
      <c r="FH117" s="122"/>
      <c r="FI117" s="122"/>
      <c r="FJ117" s="122"/>
      <c r="FK117" s="122"/>
      <c r="FL117" s="122"/>
      <c r="FM117" s="122"/>
      <c r="FN117" s="122"/>
      <c r="FO117" s="122"/>
      <c r="FP117" s="122"/>
      <c r="FQ117" s="122"/>
      <c r="FR117" s="122"/>
      <c r="FS117" s="122"/>
      <c r="FT117" s="122"/>
      <c r="FU117" s="122"/>
      <c r="FV117" s="122"/>
      <c r="FW117" s="122"/>
      <c r="FX117" s="122"/>
      <c r="FY117" s="122"/>
      <c r="FZ117" s="122"/>
      <c r="GA117" s="122"/>
      <c r="GB117" s="122"/>
      <c r="GC117" s="122"/>
      <c r="GD117" s="122"/>
      <c r="GE117" s="122"/>
      <c r="GF117" s="122"/>
      <c r="GG117" s="122"/>
      <c r="GH117" s="122"/>
      <c r="GI117" s="122"/>
      <c r="GJ117" s="122"/>
      <c r="GK117" s="122"/>
      <c r="GL117" s="122"/>
      <c r="GM117" s="122"/>
      <c r="GN117" s="122"/>
      <c r="GO117" s="122"/>
      <c r="GP117" s="122"/>
      <c r="GQ117" s="122"/>
      <c r="GR117" s="122"/>
      <c r="GS117" s="122"/>
      <c r="GT117" s="122"/>
      <c r="GU117" s="122"/>
      <c r="GV117" s="122"/>
      <c r="GW117" s="122"/>
      <c r="GX117" s="122"/>
      <c r="GY117" s="122"/>
      <c r="GZ117" s="122"/>
      <c r="HA117" s="122"/>
      <c r="HB117" s="122"/>
      <c r="HC117" s="122"/>
      <c r="HD117" s="122"/>
      <c r="HE117" s="122"/>
      <c r="HF117" s="122"/>
      <c r="HG117" s="122"/>
      <c r="HH117" s="122"/>
      <c r="HI117" s="122"/>
      <c r="HJ117" s="122"/>
      <c r="HK117" s="122"/>
      <c r="HL117" s="122"/>
      <c r="HM117" s="122"/>
      <c r="HN117" s="122"/>
      <c r="HO117" s="122"/>
      <c r="HP117" s="122"/>
      <c r="HQ117" s="122"/>
      <c r="HR117" s="122"/>
      <c r="HS117" s="122"/>
      <c r="HT117" s="122"/>
      <c r="HU117" s="122"/>
      <c r="HV117" s="122"/>
      <c r="HW117" s="122"/>
      <c r="HX117" s="122"/>
      <c r="HY117" s="122"/>
      <c r="HZ117" s="122"/>
      <c r="IA117" s="122"/>
      <c r="IB117" s="122"/>
      <c r="IC117" s="122"/>
      <c r="ID117" s="122"/>
      <c r="IE117" s="122"/>
      <c r="IF117" s="122"/>
      <c r="IG117" s="122"/>
      <c r="IH117" s="122"/>
      <c r="II117" s="122"/>
      <c r="IJ117" s="122"/>
      <c r="IK117" s="122"/>
      <c r="IL117" s="122"/>
      <c r="IM117" s="122"/>
      <c r="IN117" s="122"/>
      <c r="IO117" s="122"/>
      <c r="IP117" s="122"/>
      <c r="IQ117" s="122"/>
      <c r="IR117" s="122"/>
      <c r="IS117" s="122"/>
      <c r="IT117" s="122"/>
      <c r="IU117" s="122"/>
      <c r="IV117" s="122"/>
    </row>
    <row r="118" spans="1:256" s="127" customFormat="1" x14ac:dyDescent="0.25">
      <c r="A118" s="130"/>
      <c r="B118" s="131"/>
      <c r="C118" s="131"/>
      <c r="D118" s="122"/>
      <c r="E118" s="122"/>
      <c r="F118" s="131"/>
      <c r="G118" s="131"/>
      <c r="H118" s="131"/>
      <c r="I118" s="131"/>
      <c r="J118" s="131"/>
      <c r="K118" s="217"/>
      <c r="L118" s="131"/>
      <c r="M118" s="122"/>
      <c r="N118" s="122"/>
      <c r="O118" s="122"/>
      <c r="P118" s="122"/>
      <c r="Q118" s="122"/>
      <c r="R118" s="122"/>
      <c r="S118" s="122"/>
      <c r="T118" s="122"/>
      <c r="U118" s="122"/>
      <c r="V118" s="122"/>
      <c r="W118" s="122"/>
      <c r="X118" s="122"/>
      <c r="Y118" s="122"/>
      <c r="Z118" s="122"/>
      <c r="AA118" s="122"/>
      <c r="AB118" s="122"/>
      <c r="AC118" s="122"/>
      <c r="AD118" s="122"/>
      <c r="AE118" s="122"/>
      <c r="AF118" s="122"/>
      <c r="AG118" s="122"/>
      <c r="AH118" s="122"/>
      <c r="AI118" s="122"/>
      <c r="AJ118" s="122"/>
      <c r="AK118" s="122"/>
      <c r="AL118" s="122"/>
      <c r="AM118" s="122"/>
      <c r="AN118" s="122"/>
      <c r="AO118" s="122"/>
      <c r="AP118" s="122"/>
      <c r="AQ118" s="122"/>
      <c r="AR118" s="122"/>
      <c r="AS118" s="122"/>
      <c r="AT118" s="122"/>
      <c r="AU118" s="122"/>
      <c r="AV118" s="122"/>
      <c r="AW118" s="122"/>
      <c r="AX118" s="122"/>
      <c r="AY118" s="122"/>
      <c r="AZ118" s="122"/>
      <c r="BA118" s="122"/>
      <c r="BB118" s="122"/>
      <c r="BC118" s="122"/>
      <c r="BD118" s="122"/>
      <c r="BE118" s="122"/>
      <c r="BF118" s="122"/>
      <c r="BG118" s="122"/>
      <c r="BH118" s="122"/>
      <c r="BI118" s="122"/>
      <c r="BJ118" s="122"/>
      <c r="BK118" s="122"/>
      <c r="BL118" s="122"/>
      <c r="BM118" s="122"/>
      <c r="BN118" s="122"/>
      <c r="BO118" s="122"/>
      <c r="BP118" s="122"/>
      <c r="BQ118" s="122"/>
      <c r="BR118" s="122"/>
      <c r="BS118" s="122"/>
      <c r="BT118" s="122"/>
      <c r="BU118" s="122"/>
      <c r="BV118" s="122"/>
      <c r="BW118" s="122"/>
      <c r="BX118" s="122"/>
      <c r="BY118" s="122"/>
      <c r="BZ118" s="122"/>
      <c r="CA118" s="122"/>
      <c r="CB118" s="122"/>
      <c r="CC118" s="122"/>
      <c r="CD118" s="122"/>
      <c r="CE118" s="122"/>
      <c r="CF118" s="122"/>
      <c r="CG118" s="122"/>
      <c r="CH118" s="122"/>
      <c r="CI118" s="122"/>
      <c r="CJ118" s="122"/>
      <c r="CK118" s="122"/>
      <c r="CL118" s="122"/>
      <c r="CM118" s="122"/>
      <c r="CN118" s="122"/>
      <c r="CO118" s="122"/>
      <c r="CP118" s="122"/>
      <c r="CQ118" s="122"/>
      <c r="CR118" s="122"/>
      <c r="CS118" s="122"/>
      <c r="CT118" s="122"/>
      <c r="CU118" s="122"/>
      <c r="CV118" s="122"/>
      <c r="CW118" s="122"/>
      <c r="CX118" s="122"/>
      <c r="CY118" s="122"/>
      <c r="CZ118" s="122"/>
      <c r="DA118" s="122"/>
      <c r="DB118" s="122"/>
      <c r="DC118" s="122"/>
      <c r="DD118" s="122"/>
      <c r="DE118" s="122"/>
      <c r="DF118" s="122"/>
      <c r="DG118" s="122"/>
      <c r="DH118" s="122"/>
      <c r="DI118" s="122"/>
      <c r="DJ118" s="122"/>
      <c r="DK118" s="122"/>
      <c r="DL118" s="122"/>
      <c r="DM118" s="122"/>
      <c r="DN118" s="122"/>
      <c r="DO118" s="122"/>
      <c r="DP118" s="122"/>
      <c r="DQ118" s="122"/>
      <c r="DR118" s="122"/>
      <c r="DS118" s="122"/>
      <c r="DT118" s="122"/>
      <c r="DU118" s="122"/>
      <c r="DV118" s="122"/>
      <c r="DW118" s="122"/>
      <c r="DX118" s="122"/>
      <c r="DY118" s="122"/>
      <c r="DZ118" s="122"/>
      <c r="EA118" s="122"/>
      <c r="EB118" s="122"/>
      <c r="EC118" s="122"/>
      <c r="ED118" s="122"/>
      <c r="EE118" s="122"/>
      <c r="EF118" s="122"/>
      <c r="EG118" s="122"/>
      <c r="EH118" s="122"/>
      <c r="EI118" s="122"/>
      <c r="EJ118" s="122"/>
      <c r="EK118" s="122"/>
      <c r="EL118" s="122"/>
      <c r="EM118" s="122"/>
      <c r="EN118" s="122"/>
      <c r="EO118" s="122"/>
      <c r="EP118" s="122"/>
      <c r="EQ118" s="122"/>
      <c r="ER118" s="122"/>
      <c r="ES118" s="122"/>
      <c r="ET118" s="122"/>
      <c r="EU118" s="122"/>
      <c r="EV118" s="122"/>
      <c r="EW118" s="122"/>
      <c r="EX118" s="122"/>
      <c r="EY118" s="122"/>
      <c r="EZ118" s="122"/>
      <c r="FA118" s="122"/>
      <c r="FB118" s="122"/>
      <c r="FC118" s="122"/>
      <c r="FD118" s="122"/>
      <c r="FE118" s="122"/>
      <c r="FF118" s="122"/>
      <c r="FG118" s="122"/>
      <c r="FH118" s="122"/>
      <c r="FI118" s="122"/>
      <c r="FJ118" s="122"/>
      <c r="FK118" s="122"/>
      <c r="FL118" s="122"/>
      <c r="FM118" s="122"/>
      <c r="FN118" s="122"/>
      <c r="FO118" s="122"/>
      <c r="FP118" s="122"/>
      <c r="FQ118" s="122"/>
      <c r="FR118" s="122"/>
      <c r="FS118" s="122"/>
      <c r="FT118" s="122"/>
      <c r="FU118" s="122"/>
      <c r="FV118" s="122"/>
      <c r="FW118" s="122"/>
      <c r="FX118" s="122"/>
      <c r="FY118" s="122"/>
      <c r="FZ118" s="122"/>
      <c r="GA118" s="122"/>
      <c r="GB118" s="122"/>
      <c r="GC118" s="122"/>
      <c r="GD118" s="122"/>
      <c r="GE118" s="122"/>
      <c r="GF118" s="122"/>
      <c r="GG118" s="122"/>
      <c r="GH118" s="122"/>
      <c r="GI118" s="122"/>
      <c r="GJ118" s="122"/>
      <c r="GK118" s="122"/>
      <c r="GL118" s="122"/>
      <c r="GM118" s="122"/>
      <c r="GN118" s="122"/>
      <c r="GO118" s="122"/>
      <c r="GP118" s="122"/>
      <c r="GQ118" s="122"/>
      <c r="GR118" s="122"/>
      <c r="GS118" s="122"/>
      <c r="GT118" s="122"/>
      <c r="GU118" s="122"/>
      <c r="GV118" s="122"/>
      <c r="GW118" s="122"/>
      <c r="GX118" s="122"/>
      <c r="GY118" s="122"/>
      <c r="GZ118" s="122"/>
      <c r="HA118" s="122"/>
      <c r="HB118" s="122"/>
      <c r="HC118" s="122"/>
      <c r="HD118" s="122"/>
      <c r="HE118" s="122"/>
      <c r="HF118" s="122"/>
      <c r="HG118" s="122"/>
      <c r="HH118" s="122"/>
      <c r="HI118" s="122"/>
      <c r="HJ118" s="122"/>
      <c r="HK118" s="122"/>
      <c r="HL118" s="122"/>
      <c r="HM118" s="122"/>
      <c r="HN118" s="122"/>
      <c r="HO118" s="122"/>
      <c r="HP118" s="122"/>
      <c r="HQ118" s="122"/>
      <c r="HR118" s="122"/>
      <c r="HS118" s="122"/>
      <c r="HT118" s="122"/>
      <c r="HU118" s="122"/>
      <c r="HV118" s="122"/>
      <c r="HW118" s="122"/>
      <c r="HX118" s="122"/>
      <c r="HY118" s="122"/>
      <c r="HZ118" s="122"/>
      <c r="IA118" s="122"/>
      <c r="IB118" s="122"/>
      <c r="IC118" s="122"/>
      <c r="ID118" s="122"/>
      <c r="IE118" s="122"/>
      <c r="IF118" s="122"/>
      <c r="IG118" s="122"/>
      <c r="IH118" s="122"/>
      <c r="II118" s="122"/>
      <c r="IJ118" s="122"/>
      <c r="IK118" s="122"/>
      <c r="IL118" s="122"/>
      <c r="IM118" s="122"/>
      <c r="IN118" s="122"/>
      <c r="IO118" s="122"/>
      <c r="IP118" s="122"/>
      <c r="IQ118" s="122"/>
      <c r="IR118" s="122"/>
      <c r="IS118" s="122"/>
      <c r="IT118" s="122"/>
      <c r="IU118" s="122"/>
      <c r="IV118" s="122"/>
    </row>
    <row r="119" spans="1:256" s="127" customFormat="1" x14ac:dyDescent="0.25">
      <c r="A119" s="130"/>
      <c r="B119" s="131"/>
      <c r="C119" s="131"/>
      <c r="D119" s="122"/>
      <c r="E119" s="122"/>
      <c r="F119" s="131"/>
      <c r="G119" s="131"/>
      <c r="H119" s="131"/>
      <c r="I119" s="131"/>
      <c r="J119" s="131"/>
      <c r="K119" s="217"/>
      <c r="L119" s="131"/>
      <c r="M119" s="122"/>
      <c r="N119" s="122"/>
      <c r="O119" s="122"/>
      <c r="P119" s="122"/>
      <c r="Q119" s="122"/>
      <c r="R119" s="122"/>
    </row>
    <row r="120" spans="1:256" s="127" customFormat="1" x14ac:dyDescent="0.25">
      <c r="A120" s="130"/>
      <c r="B120" s="131"/>
      <c r="C120" s="131"/>
      <c r="D120" s="122"/>
      <c r="E120" s="122"/>
      <c r="F120" s="131"/>
      <c r="G120" s="131"/>
      <c r="H120" s="131"/>
      <c r="I120" s="131"/>
      <c r="J120" s="131"/>
      <c r="K120" s="217"/>
      <c r="L120" s="131"/>
      <c r="M120" s="122"/>
      <c r="N120" s="122"/>
      <c r="O120" s="122"/>
      <c r="P120" s="122"/>
      <c r="Q120" s="122"/>
      <c r="R120" s="122"/>
    </row>
    <row r="121" spans="1:256" s="127" customFormat="1" x14ac:dyDescent="0.25">
      <c r="A121" s="130"/>
      <c r="B121" s="131"/>
      <c r="C121" s="131"/>
      <c r="D121" s="122"/>
      <c r="E121" s="122"/>
      <c r="F121" s="131"/>
      <c r="G121" s="131"/>
      <c r="H121" s="131"/>
      <c r="I121" s="131"/>
      <c r="J121" s="131"/>
      <c r="K121" s="217"/>
      <c r="L121" s="131"/>
      <c r="M121" s="122"/>
      <c r="N121" s="122"/>
      <c r="O121" s="122"/>
      <c r="P121" s="122"/>
      <c r="Q121" s="122"/>
      <c r="R121" s="122"/>
    </row>
    <row r="122" spans="1:256" s="127" customFormat="1" x14ac:dyDescent="0.25">
      <c r="A122" s="130"/>
      <c r="B122" s="174"/>
      <c r="C122" s="174"/>
      <c r="D122" s="122"/>
      <c r="E122" s="175"/>
      <c r="F122" s="174"/>
      <c r="G122" s="174"/>
      <c r="H122" s="174"/>
      <c r="I122" s="174"/>
      <c r="J122" s="174"/>
      <c r="K122" s="312"/>
      <c r="L122" s="174"/>
      <c r="M122" s="176"/>
    </row>
    <row r="123" spans="1:256" s="127" customFormat="1" x14ac:dyDescent="0.25">
      <c r="A123" s="130"/>
      <c r="B123" s="174"/>
      <c r="C123" s="174"/>
      <c r="D123" s="175"/>
      <c r="E123" s="175"/>
      <c r="F123" s="174"/>
      <c r="G123" s="174"/>
      <c r="H123" s="174"/>
      <c r="I123" s="174"/>
      <c r="J123" s="174"/>
      <c r="K123" s="312"/>
      <c r="L123" s="174"/>
      <c r="M123" s="176"/>
      <c r="S123" s="122"/>
      <c r="T123" s="122"/>
      <c r="U123" s="122"/>
      <c r="V123" s="122"/>
      <c r="W123" s="122"/>
      <c r="X123" s="122"/>
      <c r="Y123" s="122"/>
      <c r="Z123" s="122"/>
      <c r="AA123" s="122"/>
      <c r="AB123" s="122"/>
      <c r="AC123" s="122"/>
      <c r="AD123" s="122"/>
      <c r="AE123" s="122"/>
      <c r="AF123" s="122"/>
      <c r="AG123" s="122"/>
      <c r="AH123" s="122"/>
      <c r="AI123" s="122"/>
      <c r="AJ123" s="122"/>
      <c r="AK123" s="122"/>
      <c r="AL123" s="122"/>
      <c r="AM123" s="122"/>
      <c r="AN123" s="122"/>
      <c r="AO123" s="122"/>
      <c r="AP123" s="122"/>
      <c r="AQ123" s="122"/>
      <c r="AR123" s="122"/>
      <c r="AS123" s="122"/>
      <c r="AT123" s="122"/>
      <c r="AU123" s="122"/>
      <c r="AV123" s="122"/>
      <c r="AW123" s="122"/>
      <c r="AX123" s="122"/>
      <c r="AY123" s="122"/>
      <c r="AZ123" s="122"/>
      <c r="BA123" s="122"/>
      <c r="BB123" s="122"/>
      <c r="BC123" s="122"/>
      <c r="BD123" s="122"/>
      <c r="BE123" s="122"/>
      <c r="BF123" s="122"/>
      <c r="BG123" s="122"/>
      <c r="BH123" s="122"/>
      <c r="BI123" s="122"/>
      <c r="BJ123" s="122"/>
      <c r="BK123" s="122"/>
      <c r="BL123" s="122"/>
      <c r="BM123" s="122"/>
      <c r="BN123" s="122"/>
      <c r="BO123" s="122"/>
      <c r="BP123" s="122"/>
      <c r="BQ123" s="122"/>
      <c r="BR123" s="122"/>
      <c r="BS123" s="122"/>
      <c r="BT123" s="122"/>
      <c r="BU123" s="122"/>
      <c r="BV123" s="122"/>
      <c r="BW123" s="122"/>
      <c r="BX123" s="122"/>
      <c r="BY123" s="122"/>
      <c r="BZ123" s="122"/>
      <c r="CA123" s="122"/>
      <c r="CB123" s="122"/>
      <c r="CC123" s="122"/>
      <c r="CD123" s="122"/>
      <c r="CE123" s="122"/>
      <c r="CF123" s="122"/>
      <c r="CG123" s="122"/>
      <c r="CH123" s="122"/>
      <c r="CI123" s="122"/>
      <c r="CJ123" s="122"/>
      <c r="CK123" s="122"/>
      <c r="CL123" s="122"/>
      <c r="CM123" s="122"/>
      <c r="CN123" s="122"/>
      <c r="CO123" s="122"/>
      <c r="CP123" s="122"/>
      <c r="CQ123" s="122"/>
      <c r="CR123" s="122"/>
      <c r="CS123" s="122"/>
      <c r="CT123" s="122"/>
      <c r="CU123" s="122"/>
      <c r="CV123" s="122"/>
      <c r="CW123" s="122"/>
      <c r="CX123" s="122"/>
      <c r="CY123" s="122"/>
      <c r="CZ123" s="122"/>
      <c r="DA123" s="122"/>
      <c r="DB123" s="122"/>
      <c r="DC123" s="122"/>
      <c r="DD123" s="122"/>
      <c r="DE123" s="122"/>
      <c r="DF123" s="122"/>
      <c r="DG123" s="122"/>
      <c r="DH123" s="122"/>
      <c r="DI123" s="122"/>
      <c r="DJ123" s="122"/>
      <c r="DK123" s="122"/>
      <c r="DL123" s="122"/>
      <c r="DM123" s="122"/>
      <c r="DN123" s="122"/>
      <c r="DO123" s="122"/>
      <c r="DP123" s="122"/>
      <c r="DQ123" s="122"/>
      <c r="DR123" s="122"/>
      <c r="DS123" s="122"/>
      <c r="DT123" s="122"/>
      <c r="DU123" s="122"/>
      <c r="DV123" s="122"/>
      <c r="DW123" s="122"/>
      <c r="DX123" s="122"/>
      <c r="DY123" s="122"/>
      <c r="DZ123" s="122"/>
      <c r="EA123" s="122"/>
      <c r="EB123" s="122"/>
      <c r="EC123" s="122"/>
      <c r="ED123" s="122"/>
      <c r="EE123" s="122"/>
      <c r="EF123" s="122"/>
      <c r="EG123" s="122"/>
      <c r="EH123" s="122"/>
      <c r="EI123" s="122"/>
      <c r="EJ123" s="122"/>
      <c r="EK123" s="122"/>
      <c r="EL123" s="122"/>
      <c r="EM123" s="122"/>
      <c r="EN123" s="122"/>
      <c r="EO123" s="122"/>
      <c r="EP123" s="122"/>
      <c r="EQ123" s="122"/>
      <c r="ER123" s="122"/>
      <c r="ES123" s="122"/>
      <c r="ET123" s="122"/>
      <c r="EU123" s="122"/>
      <c r="EV123" s="122"/>
      <c r="EW123" s="122"/>
      <c r="EX123" s="122"/>
      <c r="EY123" s="122"/>
      <c r="EZ123" s="122"/>
      <c r="FA123" s="122"/>
      <c r="FB123" s="122"/>
      <c r="FC123" s="122"/>
      <c r="FD123" s="122"/>
      <c r="FE123" s="122"/>
      <c r="FF123" s="122"/>
      <c r="FG123" s="122"/>
      <c r="FH123" s="122"/>
      <c r="FI123" s="122"/>
      <c r="FJ123" s="122"/>
      <c r="FK123" s="122"/>
      <c r="FL123" s="122"/>
      <c r="FM123" s="122"/>
      <c r="FN123" s="122"/>
      <c r="FO123" s="122"/>
      <c r="FP123" s="122"/>
      <c r="FQ123" s="122"/>
      <c r="FR123" s="122"/>
      <c r="FS123" s="122"/>
      <c r="FT123" s="122"/>
      <c r="FU123" s="122"/>
      <c r="FV123" s="122"/>
      <c r="FW123" s="122"/>
      <c r="FX123" s="122"/>
      <c r="FY123" s="122"/>
      <c r="FZ123" s="122"/>
      <c r="GA123" s="122"/>
      <c r="GB123" s="122"/>
      <c r="GC123" s="122"/>
      <c r="GD123" s="122"/>
      <c r="GE123" s="122"/>
      <c r="GF123" s="122"/>
      <c r="GG123" s="122"/>
      <c r="GH123" s="122"/>
      <c r="GI123" s="122"/>
      <c r="GJ123" s="122"/>
      <c r="GK123" s="122"/>
      <c r="GL123" s="122"/>
      <c r="GM123" s="122"/>
      <c r="GN123" s="122"/>
      <c r="GO123" s="122"/>
      <c r="GP123" s="122"/>
      <c r="GQ123" s="122"/>
      <c r="GR123" s="122"/>
      <c r="GS123" s="122"/>
      <c r="GT123" s="122"/>
      <c r="GU123" s="122"/>
      <c r="GV123" s="122"/>
      <c r="GW123" s="122"/>
      <c r="GX123" s="122"/>
      <c r="GY123" s="122"/>
      <c r="GZ123" s="122"/>
      <c r="HA123" s="122"/>
      <c r="HB123" s="122"/>
      <c r="HC123" s="122"/>
      <c r="HD123" s="122"/>
      <c r="HE123" s="122"/>
      <c r="HF123" s="122"/>
      <c r="HG123" s="122"/>
      <c r="HH123" s="122"/>
      <c r="HI123" s="122"/>
      <c r="HJ123" s="122"/>
      <c r="HK123" s="122"/>
      <c r="HL123" s="122"/>
      <c r="HM123" s="122"/>
      <c r="HN123" s="122"/>
      <c r="HO123" s="122"/>
      <c r="HP123" s="122"/>
      <c r="HQ123" s="122"/>
      <c r="HR123" s="122"/>
      <c r="HS123" s="122"/>
      <c r="HT123" s="122"/>
      <c r="HU123" s="122"/>
      <c r="HV123" s="122"/>
      <c r="HW123" s="122"/>
      <c r="HX123" s="122"/>
      <c r="HY123" s="122"/>
      <c r="HZ123" s="122"/>
      <c r="IA123" s="122"/>
      <c r="IB123" s="122"/>
      <c r="IC123" s="122"/>
      <c r="ID123" s="122"/>
      <c r="IE123" s="122"/>
      <c r="IF123" s="122"/>
      <c r="IG123" s="122"/>
      <c r="IH123" s="122"/>
      <c r="II123" s="122"/>
      <c r="IJ123" s="122"/>
      <c r="IK123" s="122"/>
      <c r="IL123" s="122"/>
      <c r="IM123" s="122"/>
      <c r="IN123" s="122"/>
      <c r="IO123" s="122"/>
      <c r="IP123" s="122"/>
      <c r="IQ123" s="122"/>
      <c r="IR123" s="122"/>
      <c r="IS123" s="122"/>
      <c r="IT123" s="122"/>
      <c r="IU123" s="122"/>
      <c r="IV123" s="122"/>
    </row>
    <row r="124" spans="1:256" s="127" customFormat="1" x14ac:dyDescent="0.25">
      <c r="A124" s="130"/>
      <c r="B124" s="125"/>
      <c r="C124" s="125"/>
      <c r="D124" s="175"/>
      <c r="F124" s="125"/>
      <c r="G124" s="125"/>
      <c r="H124" s="125"/>
      <c r="I124" s="125"/>
      <c r="J124" s="125"/>
      <c r="K124" s="313"/>
      <c r="L124" s="125"/>
      <c r="S124" s="122"/>
      <c r="T124" s="122"/>
      <c r="U124" s="122"/>
      <c r="V124" s="122"/>
      <c r="W124" s="122"/>
      <c r="X124" s="122"/>
      <c r="Y124" s="122"/>
      <c r="Z124" s="122"/>
      <c r="AA124" s="122"/>
      <c r="AB124" s="122"/>
      <c r="AC124" s="122"/>
      <c r="AD124" s="122"/>
      <c r="AE124" s="122"/>
      <c r="AF124" s="122"/>
      <c r="AG124" s="122"/>
      <c r="AH124" s="122"/>
      <c r="AI124" s="122"/>
      <c r="AJ124" s="122"/>
      <c r="AK124" s="122"/>
      <c r="AL124" s="122"/>
      <c r="AM124" s="122"/>
      <c r="AN124" s="122"/>
      <c r="AO124" s="122"/>
      <c r="AP124" s="122"/>
      <c r="AQ124" s="122"/>
      <c r="AR124" s="122"/>
      <c r="AS124" s="122"/>
      <c r="AT124" s="122"/>
      <c r="AU124" s="122"/>
      <c r="AV124" s="122"/>
      <c r="AW124" s="122"/>
      <c r="AX124" s="122"/>
      <c r="AY124" s="122"/>
      <c r="AZ124" s="122"/>
      <c r="BA124" s="122"/>
      <c r="BB124" s="122"/>
      <c r="BC124" s="122"/>
      <c r="BD124" s="122"/>
      <c r="BE124" s="122"/>
      <c r="BF124" s="122"/>
      <c r="BG124" s="122"/>
      <c r="BH124" s="122"/>
      <c r="BI124" s="122"/>
      <c r="BJ124" s="122"/>
      <c r="BK124" s="122"/>
      <c r="BL124" s="122"/>
      <c r="BM124" s="122"/>
      <c r="BN124" s="122"/>
      <c r="BO124" s="122"/>
      <c r="BP124" s="122"/>
      <c r="BQ124" s="122"/>
      <c r="BR124" s="122"/>
      <c r="BS124" s="122"/>
      <c r="BT124" s="122"/>
      <c r="BU124" s="122"/>
      <c r="BV124" s="122"/>
      <c r="BW124" s="122"/>
      <c r="BX124" s="122"/>
      <c r="BY124" s="122"/>
      <c r="BZ124" s="122"/>
      <c r="CA124" s="122"/>
      <c r="CB124" s="122"/>
      <c r="CC124" s="122"/>
      <c r="CD124" s="122"/>
      <c r="CE124" s="122"/>
      <c r="CF124" s="122"/>
      <c r="CG124" s="122"/>
      <c r="CH124" s="122"/>
      <c r="CI124" s="122"/>
      <c r="CJ124" s="122"/>
      <c r="CK124" s="122"/>
      <c r="CL124" s="122"/>
      <c r="CM124" s="122"/>
      <c r="CN124" s="122"/>
      <c r="CO124" s="122"/>
      <c r="CP124" s="122"/>
      <c r="CQ124" s="122"/>
      <c r="CR124" s="122"/>
      <c r="CS124" s="122"/>
      <c r="CT124" s="122"/>
      <c r="CU124" s="122"/>
      <c r="CV124" s="122"/>
      <c r="CW124" s="122"/>
      <c r="CX124" s="122"/>
      <c r="CY124" s="122"/>
      <c r="CZ124" s="122"/>
      <c r="DA124" s="122"/>
      <c r="DB124" s="122"/>
      <c r="DC124" s="122"/>
      <c r="DD124" s="122"/>
      <c r="DE124" s="122"/>
      <c r="DF124" s="122"/>
      <c r="DG124" s="122"/>
      <c r="DH124" s="122"/>
      <c r="DI124" s="122"/>
      <c r="DJ124" s="122"/>
      <c r="DK124" s="122"/>
      <c r="DL124" s="122"/>
      <c r="DM124" s="122"/>
      <c r="DN124" s="122"/>
      <c r="DO124" s="122"/>
      <c r="DP124" s="122"/>
      <c r="DQ124" s="122"/>
      <c r="DR124" s="122"/>
      <c r="DS124" s="122"/>
      <c r="DT124" s="122"/>
      <c r="DU124" s="122"/>
      <c r="DV124" s="122"/>
      <c r="DW124" s="122"/>
      <c r="DX124" s="122"/>
      <c r="DY124" s="122"/>
      <c r="DZ124" s="122"/>
      <c r="EA124" s="122"/>
      <c r="EB124" s="122"/>
      <c r="EC124" s="122"/>
      <c r="ED124" s="122"/>
      <c r="EE124" s="122"/>
      <c r="EF124" s="122"/>
      <c r="EG124" s="122"/>
      <c r="EH124" s="122"/>
      <c r="EI124" s="122"/>
      <c r="EJ124" s="122"/>
      <c r="EK124" s="122"/>
      <c r="EL124" s="122"/>
      <c r="EM124" s="122"/>
      <c r="EN124" s="122"/>
      <c r="EO124" s="122"/>
      <c r="EP124" s="122"/>
      <c r="EQ124" s="122"/>
      <c r="ER124" s="122"/>
      <c r="ES124" s="122"/>
      <c r="ET124" s="122"/>
      <c r="EU124" s="122"/>
      <c r="EV124" s="122"/>
      <c r="EW124" s="122"/>
      <c r="EX124" s="122"/>
      <c r="EY124" s="122"/>
      <c r="EZ124" s="122"/>
      <c r="FA124" s="122"/>
      <c r="FB124" s="122"/>
      <c r="FC124" s="122"/>
      <c r="FD124" s="122"/>
      <c r="FE124" s="122"/>
      <c r="FF124" s="122"/>
      <c r="FG124" s="122"/>
      <c r="FH124" s="122"/>
      <c r="FI124" s="122"/>
      <c r="FJ124" s="122"/>
      <c r="FK124" s="122"/>
      <c r="FL124" s="122"/>
      <c r="FM124" s="122"/>
      <c r="FN124" s="122"/>
      <c r="FO124" s="122"/>
      <c r="FP124" s="122"/>
      <c r="FQ124" s="122"/>
      <c r="FR124" s="122"/>
      <c r="FS124" s="122"/>
      <c r="FT124" s="122"/>
      <c r="FU124" s="122"/>
      <c r="FV124" s="122"/>
      <c r="FW124" s="122"/>
      <c r="FX124" s="122"/>
      <c r="FY124" s="122"/>
      <c r="FZ124" s="122"/>
      <c r="GA124" s="122"/>
      <c r="GB124" s="122"/>
      <c r="GC124" s="122"/>
      <c r="GD124" s="122"/>
      <c r="GE124" s="122"/>
      <c r="GF124" s="122"/>
      <c r="GG124" s="122"/>
      <c r="GH124" s="122"/>
      <c r="GI124" s="122"/>
      <c r="GJ124" s="122"/>
      <c r="GK124" s="122"/>
      <c r="GL124" s="122"/>
      <c r="GM124" s="122"/>
      <c r="GN124" s="122"/>
      <c r="GO124" s="122"/>
      <c r="GP124" s="122"/>
      <c r="GQ124" s="122"/>
      <c r="GR124" s="122"/>
      <c r="GS124" s="122"/>
      <c r="GT124" s="122"/>
      <c r="GU124" s="122"/>
      <c r="GV124" s="122"/>
      <c r="GW124" s="122"/>
      <c r="GX124" s="122"/>
      <c r="GY124" s="122"/>
      <c r="GZ124" s="122"/>
      <c r="HA124" s="122"/>
      <c r="HB124" s="122"/>
      <c r="HC124" s="122"/>
      <c r="HD124" s="122"/>
      <c r="HE124" s="122"/>
      <c r="HF124" s="122"/>
      <c r="HG124" s="122"/>
      <c r="HH124" s="122"/>
      <c r="HI124" s="122"/>
      <c r="HJ124" s="122"/>
      <c r="HK124" s="122"/>
      <c r="HL124" s="122"/>
      <c r="HM124" s="122"/>
      <c r="HN124" s="122"/>
      <c r="HO124" s="122"/>
      <c r="HP124" s="122"/>
      <c r="HQ124" s="122"/>
      <c r="HR124" s="122"/>
      <c r="HS124" s="122"/>
      <c r="HT124" s="122"/>
      <c r="HU124" s="122"/>
      <c r="HV124" s="122"/>
      <c r="HW124" s="122"/>
      <c r="HX124" s="122"/>
      <c r="HY124" s="122"/>
      <c r="HZ124" s="122"/>
      <c r="IA124" s="122"/>
      <c r="IB124" s="122"/>
      <c r="IC124" s="122"/>
      <c r="ID124" s="122"/>
      <c r="IE124" s="122"/>
      <c r="IF124" s="122"/>
      <c r="IG124" s="122"/>
      <c r="IH124" s="122"/>
      <c r="II124" s="122"/>
      <c r="IJ124" s="122"/>
      <c r="IK124" s="122"/>
      <c r="IL124" s="122"/>
      <c r="IM124" s="122"/>
      <c r="IN124" s="122"/>
      <c r="IO124" s="122"/>
      <c r="IP124" s="122"/>
      <c r="IQ124" s="122"/>
      <c r="IR124" s="122"/>
      <c r="IS124" s="122"/>
      <c r="IT124" s="122"/>
      <c r="IU124" s="122"/>
      <c r="IV124" s="122"/>
    </row>
    <row r="125" spans="1:256" s="122" customFormat="1" x14ac:dyDescent="0.25">
      <c r="A125" s="130"/>
      <c r="B125" s="125"/>
      <c r="C125" s="125"/>
      <c r="D125" s="127"/>
      <c r="E125" s="127"/>
      <c r="F125" s="125"/>
      <c r="G125" s="125"/>
      <c r="H125" s="125"/>
      <c r="I125" s="125"/>
      <c r="J125" s="125"/>
      <c r="K125" s="313"/>
      <c r="L125" s="125"/>
      <c r="M125" s="127"/>
      <c r="N125" s="127"/>
      <c r="O125" s="127"/>
      <c r="P125" s="127"/>
      <c r="Q125" s="127"/>
      <c r="R125" s="127"/>
    </row>
    <row r="126" spans="1:256" s="122" customFormat="1" x14ac:dyDescent="0.25">
      <c r="A126" s="130"/>
      <c r="B126" s="125"/>
      <c r="C126" s="125"/>
      <c r="D126" s="127"/>
      <c r="E126" s="127"/>
      <c r="F126" s="125"/>
      <c r="G126" s="125"/>
      <c r="H126" s="125"/>
      <c r="I126" s="125"/>
      <c r="J126" s="125"/>
      <c r="K126" s="313"/>
      <c r="L126" s="125"/>
      <c r="M126" s="127"/>
    </row>
    <row r="127" spans="1:256" s="122" customFormat="1" x14ac:dyDescent="0.25">
      <c r="A127" s="130"/>
      <c r="B127" s="125"/>
      <c r="C127" s="125"/>
      <c r="D127" s="127"/>
      <c r="E127" s="127"/>
      <c r="F127" s="125"/>
      <c r="G127" s="125"/>
      <c r="H127" s="125"/>
      <c r="I127" s="125"/>
      <c r="J127" s="125"/>
      <c r="K127" s="313"/>
      <c r="L127" s="125"/>
      <c r="M127" s="127"/>
      <c r="S127" s="127"/>
      <c r="T127" s="127"/>
      <c r="U127" s="127"/>
      <c r="V127" s="127"/>
      <c r="W127" s="127"/>
      <c r="X127" s="127"/>
      <c r="Y127" s="127"/>
      <c r="Z127" s="127"/>
      <c r="AA127" s="127"/>
      <c r="AB127" s="127"/>
      <c r="AC127" s="127"/>
      <c r="AD127" s="127"/>
      <c r="AE127" s="127"/>
      <c r="AF127" s="127"/>
      <c r="AG127" s="127"/>
      <c r="AH127" s="127"/>
      <c r="AI127" s="127"/>
      <c r="AJ127" s="127"/>
      <c r="AK127" s="127"/>
      <c r="AL127" s="127"/>
      <c r="AM127" s="127"/>
      <c r="AN127" s="127"/>
      <c r="AO127" s="127"/>
      <c r="AP127" s="127"/>
      <c r="AQ127" s="127"/>
      <c r="AR127" s="127"/>
      <c r="AS127" s="127"/>
      <c r="AT127" s="127"/>
      <c r="AU127" s="127"/>
      <c r="AV127" s="127"/>
      <c r="AW127" s="127"/>
      <c r="AX127" s="127"/>
      <c r="AY127" s="127"/>
      <c r="AZ127" s="127"/>
      <c r="BA127" s="127"/>
      <c r="BB127" s="127"/>
      <c r="BC127" s="127"/>
      <c r="BD127" s="127"/>
      <c r="BE127" s="127"/>
      <c r="BF127" s="127"/>
      <c r="BG127" s="127"/>
      <c r="BH127" s="127"/>
      <c r="BI127" s="127"/>
      <c r="BJ127" s="127"/>
      <c r="BK127" s="127"/>
      <c r="BL127" s="127"/>
      <c r="BM127" s="127"/>
      <c r="BN127" s="127"/>
      <c r="BO127" s="127"/>
      <c r="BP127" s="127"/>
      <c r="BQ127" s="127"/>
      <c r="BR127" s="127"/>
      <c r="BS127" s="127"/>
      <c r="BT127" s="127"/>
      <c r="BU127" s="127"/>
      <c r="BV127" s="127"/>
      <c r="BW127" s="127"/>
      <c r="BX127" s="127"/>
      <c r="BY127" s="127"/>
      <c r="BZ127" s="127"/>
      <c r="CA127" s="127"/>
      <c r="CB127" s="127"/>
      <c r="CC127" s="127"/>
      <c r="CD127" s="127"/>
      <c r="CE127" s="127"/>
      <c r="CF127" s="127"/>
      <c r="CG127" s="127"/>
      <c r="CH127" s="127"/>
      <c r="CI127" s="127"/>
      <c r="CJ127" s="127"/>
      <c r="CK127" s="127"/>
      <c r="CL127" s="127"/>
      <c r="CM127" s="127"/>
      <c r="CN127" s="127"/>
      <c r="CO127" s="127"/>
      <c r="CP127" s="127"/>
      <c r="CQ127" s="127"/>
      <c r="CR127" s="127"/>
      <c r="CS127" s="127"/>
      <c r="CT127" s="127"/>
      <c r="CU127" s="127"/>
      <c r="CV127" s="127"/>
      <c r="CW127" s="127"/>
      <c r="CX127" s="127"/>
      <c r="CY127" s="127"/>
      <c r="CZ127" s="127"/>
      <c r="DA127" s="127"/>
      <c r="DB127" s="127"/>
      <c r="DC127" s="127"/>
      <c r="DD127" s="127"/>
      <c r="DE127" s="127"/>
      <c r="DF127" s="127"/>
      <c r="DG127" s="127"/>
      <c r="DH127" s="127"/>
      <c r="DI127" s="127"/>
      <c r="DJ127" s="127"/>
      <c r="DK127" s="127"/>
      <c r="DL127" s="127"/>
      <c r="DM127" s="127"/>
      <c r="DN127" s="127"/>
      <c r="DO127" s="127"/>
      <c r="DP127" s="127"/>
      <c r="DQ127" s="127"/>
      <c r="DR127" s="127"/>
      <c r="DS127" s="127"/>
      <c r="DT127" s="127"/>
      <c r="DU127" s="127"/>
      <c r="DV127" s="127"/>
      <c r="DW127" s="127"/>
      <c r="DX127" s="127"/>
      <c r="DY127" s="127"/>
      <c r="DZ127" s="127"/>
      <c r="EA127" s="127"/>
      <c r="EB127" s="127"/>
      <c r="EC127" s="127"/>
      <c r="ED127" s="127"/>
      <c r="EE127" s="127"/>
      <c r="EF127" s="127"/>
      <c r="EG127" s="127"/>
      <c r="EH127" s="127"/>
      <c r="EI127" s="127"/>
      <c r="EJ127" s="127"/>
      <c r="EK127" s="127"/>
      <c r="EL127" s="127"/>
      <c r="EM127" s="127"/>
      <c r="EN127" s="127"/>
      <c r="EO127" s="127"/>
      <c r="EP127" s="127"/>
      <c r="EQ127" s="127"/>
      <c r="ER127" s="127"/>
      <c r="ES127" s="127"/>
      <c r="ET127" s="127"/>
      <c r="EU127" s="127"/>
      <c r="EV127" s="127"/>
      <c r="EW127" s="127"/>
      <c r="EX127" s="127"/>
      <c r="EY127" s="127"/>
      <c r="EZ127" s="127"/>
      <c r="FA127" s="127"/>
      <c r="FB127" s="127"/>
      <c r="FC127" s="127"/>
      <c r="FD127" s="127"/>
      <c r="FE127" s="127"/>
      <c r="FF127" s="127"/>
      <c r="FG127" s="127"/>
      <c r="FH127" s="127"/>
      <c r="FI127" s="127"/>
      <c r="FJ127" s="127"/>
      <c r="FK127" s="127"/>
      <c r="FL127" s="127"/>
      <c r="FM127" s="127"/>
      <c r="FN127" s="127"/>
      <c r="FO127" s="127"/>
      <c r="FP127" s="127"/>
      <c r="FQ127" s="127"/>
      <c r="FR127" s="127"/>
      <c r="FS127" s="127"/>
      <c r="FT127" s="127"/>
      <c r="FU127" s="127"/>
      <c r="FV127" s="127"/>
      <c r="FW127" s="127"/>
      <c r="FX127" s="127"/>
      <c r="FY127" s="127"/>
      <c r="FZ127" s="127"/>
      <c r="GA127" s="127"/>
      <c r="GB127" s="127"/>
      <c r="GC127" s="127"/>
      <c r="GD127" s="127"/>
      <c r="GE127" s="127"/>
      <c r="GF127" s="127"/>
      <c r="GG127" s="127"/>
      <c r="GH127" s="127"/>
      <c r="GI127" s="127"/>
      <c r="GJ127" s="127"/>
      <c r="GK127" s="127"/>
      <c r="GL127" s="127"/>
      <c r="GM127" s="127"/>
      <c r="GN127" s="127"/>
      <c r="GO127" s="127"/>
      <c r="GP127" s="127"/>
      <c r="GQ127" s="127"/>
      <c r="GR127" s="127"/>
      <c r="GS127" s="127"/>
      <c r="GT127" s="127"/>
      <c r="GU127" s="127"/>
      <c r="GV127" s="127"/>
      <c r="GW127" s="127"/>
      <c r="GX127" s="127"/>
      <c r="GY127" s="127"/>
      <c r="GZ127" s="127"/>
      <c r="HA127" s="127"/>
      <c r="HB127" s="127"/>
      <c r="HC127" s="127"/>
      <c r="HD127" s="127"/>
      <c r="HE127" s="127"/>
      <c r="HF127" s="127"/>
      <c r="HG127" s="127"/>
      <c r="HH127" s="127"/>
      <c r="HI127" s="127"/>
      <c r="HJ127" s="127"/>
      <c r="HK127" s="127"/>
      <c r="HL127" s="127"/>
      <c r="HM127" s="127"/>
      <c r="HN127" s="127"/>
      <c r="HO127" s="127"/>
      <c r="HP127" s="127"/>
      <c r="HQ127" s="127"/>
      <c r="HR127" s="127"/>
      <c r="HS127" s="127"/>
      <c r="HT127" s="127"/>
      <c r="HU127" s="127"/>
      <c r="HV127" s="127"/>
      <c r="HW127" s="127"/>
      <c r="HX127" s="127"/>
      <c r="HY127" s="127"/>
      <c r="HZ127" s="127"/>
      <c r="IA127" s="127"/>
      <c r="IB127" s="127"/>
      <c r="IC127" s="127"/>
      <c r="ID127" s="127"/>
      <c r="IE127" s="127"/>
      <c r="IF127" s="127"/>
      <c r="IG127" s="127"/>
      <c r="IH127" s="127"/>
      <c r="II127" s="127"/>
      <c r="IJ127" s="127"/>
      <c r="IK127" s="127"/>
      <c r="IL127" s="127"/>
      <c r="IM127" s="127"/>
      <c r="IN127" s="127"/>
      <c r="IO127" s="127"/>
      <c r="IP127" s="127"/>
      <c r="IQ127" s="127"/>
      <c r="IR127" s="127"/>
      <c r="IS127" s="127"/>
      <c r="IT127" s="127"/>
      <c r="IU127" s="127"/>
      <c r="IV127" s="127"/>
    </row>
    <row r="128" spans="1:256" s="122" customFormat="1" x14ac:dyDescent="0.25">
      <c r="A128" s="130"/>
      <c r="B128" s="131"/>
      <c r="C128" s="148"/>
      <c r="D128" s="127"/>
      <c r="F128" s="131"/>
      <c r="G128" s="131"/>
      <c r="H128" s="131"/>
      <c r="I128" s="131"/>
      <c r="J128" s="131"/>
      <c r="K128" s="313"/>
      <c r="L128" s="131"/>
      <c r="S128" s="127"/>
      <c r="T128" s="127"/>
      <c r="U128" s="127"/>
      <c r="V128" s="127"/>
      <c r="W128" s="127"/>
      <c r="X128" s="127"/>
      <c r="Y128" s="127"/>
      <c r="Z128" s="127"/>
      <c r="AA128" s="127"/>
      <c r="AB128" s="127"/>
      <c r="AC128" s="127"/>
      <c r="AD128" s="127"/>
      <c r="AE128" s="127"/>
      <c r="AF128" s="127"/>
      <c r="AG128" s="127"/>
      <c r="AH128" s="127"/>
      <c r="AI128" s="127"/>
      <c r="AJ128" s="127"/>
      <c r="AK128" s="127"/>
      <c r="AL128" s="127"/>
      <c r="AM128" s="127"/>
      <c r="AN128" s="127"/>
      <c r="AO128" s="127"/>
      <c r="AP128" s="127"/>
      <c r="AQ128" s="127"/>
      <c r="AR128" s="127"/>
      <c r="AS128" s="127"/>
      <c r="AT128" s="127"/>
      <c r="AU128" s="127"/>
      <c r="AV128" s="127"/>
      <c r="AW128" s="127"/>
      <c r="AX128" s="127"/>
      <c r="AY128" s="127"/>
      <c r="AZ128" s="127"/>
      <c r="BA128" s="127"/>
      <c r="BB128" s="127"/>
      <c r="BC128" s="127"/>
      <c r="BD128" s="127"/>
      <c r="BE128" s="127"/>
      <c r="BF128" s="127"/>
      <c r="BG128" s="127"/>
      <c r="BH128" s="127"/>
      <c r="BI128" s="127"/>
      <c r="BJ128" s="127"/>
      <c r="BK128" s="127"/>
      <c r="BL128" s="127"/>
      <c r="BM128" s="127"/>
      <c r="BN128" s="127"/>
      <c r="BO128" s="127"/>
      <c r="BP128" s="127"/>
      <c r="BQ128" s="127"/>
      <c r="BR128" s="127"/>
      <c r="BS128" s="127"/>
      <c r="BT128" s="127"/>
      <c r="BU128" s="127"/>
      <c r="BV128" s="127"/>
      <c r="BW128" s="127"/>
      <c r="BX128" s="127"/>
      <c r="BY128" s="127"/>
      <c r="BZ128" s="127"/>
      <c r="CA128" s="127"/>
      <c r="CB128" s="127"/>
      <c r="CC128" s="127"/>
      <c r="CD128" s="127"/>
      <c r="CE128" s="127"/>
      <c r="CF128" s="127"/>
      <c r="CG128" s="127"/>
      <c r="CH128" s="127"/>
      <c r="CI128" s="127"/>
      <c r="CJ128" s="127"/>
      <c r="CK128" s="127"/>
      <c r="CL128" s="127"/>
      <c r="CM128" s="127"/>
      <c r="CN128" s="127"/>
      <c r="CO128" s="127"/>
      <c r="CP128" s="127"/>
      <c r="CQ128" s="127"/>
      <c r="CR128" s="127"/>
      <c r="CS128" s="127"/>
      <c r="CT128" s="127"/>
      <c r="CU128" s="127"/>
      <c r="CV128" s="127"/>
      <c r="CW128" s="127"/>
      <c r="CX128" s="127"/>
      <c r="CY128" s="127"/>
      <c r="CZ128" s="127"/>
      <c r="DA128" s="127"/>
      <c r="DB128" s="127"/>
      <c r="DC128" s="127"/>
      <c r="DD128" s="127"/>
      <c r="DE128" s="127"/>
      <c r="DF128" s="127"/>
      <c r="DG128" s="127"/>
      <c r="DH128" s="127"/>
      <c r="DI128" s="127"/>
      <c r="DJ128" s="127"/>
      <c r="DK128" s="127"/>
      <c r="DL128" s="127"/>
      <c r="DM128" s="127"/>
      <c r="DN128" s="127"/>
      <c r="DO128" s="127"/>
      <c r="DP128" s="127"/>
      <c r="DQ128" s="127"/>
      <c r="DR128" s="127"/>
      <c r="DS128" s="127"/>
      <c r="DT128" s="127"/>
      <c r="DU128" s="127"/>
      <c r="DV128" s="127"/>
      <c r="DW128" s="127"/>
      <c r="DX128" s="127"/>
      <c r="DY128" s="127"/>
      <c r="DZ128" s="127"/>
      <c r="EA128" s="127"/>
      <c r="EB128" s="127"/>
      <c r="EC128" s="127"/>
      <c r="ED128" s="127"/>
      <c r="EE128" s="127"/>
      <c r="EF128" s="127"/>
      <c r="EG128" s="127"/>
      <c r="EH128" s="127"/>
      <c r="EI128" s="127"/>
      <c r="EJ128" s="127"/>
      <c r="EK128" s="127"/>
      <c r="EL128" s="127"/>
      <c r="EM128" s="127"/>
      <c r="EN128" s="127"/>
      <c r="EO128" s="127"/>
      <c r="EP128" s="127"/>
      <c r="EQ128" s="127"/>
      <c r="ER128" s="127"/>
      <c r="ES128" s="127"/>
      <c r="ET128" s="127"/>
      <c r="EU128" s="127"/>
      <c r="EV128" s="127"/>
      <c r="EW128" s="127"/>
      <c r="EX128" s="127"/>
      <c r="EY128" s="127"/>
      <c r="EZ128" s="127"/>
      <c r="FA128" s="127"/>
      <c r="FB128" s="127"/>
      <c r="FC128" s="127"/>
      <c r="FD128" s="127"/>
      <c r="FE128" s="127"/>
      <c r="FF128" s="127"/>
      <c r="FG128" s="127"/>
      <c r="FH128" s="127"/>
      <c r="FI128" s="127"/>
      <c r="FJ128" s="127"/>
      <c r="FK128" s="127"/>
      <c r="FL128" s="127"/>
      <c r="FM128" s="127"/>
      <c r="FN128" s="127"/>
      <c r="FO128" s="127"/>
      <c r="FP128" s="127"/>
      <c r="FQ128" s="127"/>
      <c r="FR128" s="127"/>
      <c r="FS128" s="127"/>
      <c r="FT128" s="127"/>
      <c r="FU128" s="127"/>
      <c r="FV128" s="127"/>
      <c r="FW128" s="127"/>
      <c r="FX128" s="127"/>
      <c r="FY128" s="127"/>
      <c r="FZ128" s="127"/>
      <c r="GA128" s="127"/>
      <c r="GB128" s="127"/>
      <c r="GC128" s="127"/>
      <c r="GD128" s="127"/>
      <c r="GE128" s="127"/>
      <c r="GF128" s="127"/>
      <c r="GG128" s="127"/>
      <c r="GH128" s="127"/>
      <c r="GI128" s="127"/>
      <c r="GJ128" s="127"/>
      <c r="GK128" s="127"/>
      <c r="GL128" s="127"/>
      <c r="GM128" s="127"/>
      <c r="GN128" s="127"/>
      <c r="GO128" s="127"/>
      <c r="GP128" s="127"/>
      <c r="GQ128" s="127"/>
      <c r="GR128" s="127"/>
      <c r="GS128" s="127"/>
      <c r="GT128" s="127"/>
      <c r="GU128" s="127"/>
      <c r="GV128" s="127"/>
      <c r="GW128" s="127"/>
      <c r="GX128" s="127"/>
      <c r="GY128" s="127"/>
      <c r="GZ128" s="127"/>
      <c r="HA128" s="127"/>
      <c r="HB128" s="127"/>
      <c r="HC128" s="127"/>
      <c r="HD128" s="127"/>
      <c r="HE128" s="127"/>
      <c r="HF128" s="127"/>
      <c r="HG128" s="127"/>
      <c r="HH128" s="127"/>
      <c r="HI128" s="127"/>
      <c r="HJ128" s="127"/>
      <c r="HK128" s="127"/>
      <c r="HL128" s="127"/>
      <c r="HM128" s="127"/>
      <c r="HN128" s="127"/>
      <c r="HO128" s="127"/>
      <c r="HP128" s="127"/>
      <c r="HQ128" s="127"/>
      <c r="HR128" s="127"/>
      <c r="HS128" s="127"/>
      <c r="HT128" s="127"/>
      <c r="HU128" s="127"/>
      <c r="HV128" s="127"/>
      <c r="HW128" s="127"/>
      <c r="HX128" s="127"/>
      <c r="HY128" s="127"/>
      <c r="HZ128" s="127"/>
      <c r="IA128" s="127"/>
      <c r="IB128" s="127"/>
      <c r="IC128" s="127"/>
      <c r="ID128" s="127"/>
      <c r="IE128" s="127"/>
      <c r="IF128" s="127"/>
      <c r="IG128" s="127"/>
      <c r="IH128" s="127"/>
      <c r="II128" s="127"/>
      <c r="IJ128" s="127"/>
      <c r="IK128" s="127"/>
      <c r="IL128" s="127"/>
      <c r="IM128" s="127"/>
      <c r="IN128" s="127"/>
      <c r="IO128" s="127"/>
      <c r="IP128" s="127"/>
      <c r="IQ128" s="127"/>
      <c r="IR128" s="127"/>
      <c r="IS128" s="127"/>
      <c r="IT128" s="127"/>
      <c r="IU128" s="127"/>
      <c r="IV128" s="127"/>
    </row>
    <row r="129" spans="1:256" s="127" customFormat="1" x14ac:dyDescent="0.25">
      <c r="A129" s="130"/>
      <c r="B129" s="131"/>
      <c r="C129" s="148"/>
      <c r="D129" s="122"/>
      <c r="E129" s="122"/>
      <c r="F129" s="131"/>
      <c r="G129" s="131"/>
      <c r="H129" s="131"/>
      <c r="I129" s="131"/>
      <c r="J129" s="131"/>
      <c r="K129" s="313"/>
      <c r="L129" s="131"/>
      <c r="M129" s="122"/>
      <c r="N129" s="122"/>
      <c r="O129" s="122"/>
      <c r="P129" s="122"/>
      <c r="Q129" s="122"/>
      <c r="R129" s="122"/>
    </row>
    <row r="130" spans="1:256" s="127" customFormat="1" x14ac:dyDescent="0.25">
      <c r="A130" s="130"/>
      <c r="B130" s="131"/>
      <c r="C130" s="148"/>
      <c r="D130" s="122"/>
      <c r="E130" s="122"/>
      <c r="F130" s="131"/>
      <c r="G130" s="131"/>
      <c r="H130" s="131"/>
      <c r="I130" s="131"/>
      <c r="J130" s="131"/>
      <c r="K130" s="313"/>
      <c r="L130" s="131"/>
      <c r="M130" s="122"/>
    </row>
    <row r="131" spans="1:256" s="127" customFormat="1" x14ac:dyDescent="0.25">
      <c r="A131" s="130"/>
      <c r="B131" s="131"/>
      <c r="C131" s="148"/>
      <c r="D131" s="122"/>
      <c r="E131" s="122"/>
      <c r="F131" s="131"/>
      <c r="G131" s="131"/>
      <c r="H131" s="131"/>
      <c r="I131" s="131"/>
      <c r="J131" s="131"/>
      <c r="K131" s="313"/>
      <c r="L131" s="131"/>
      <c r="M131" s="122"/>
      <c r="S131" s="122"/>
      <c r="T131" s="122"/>
      <c r="U131" s="122"/>
      <c r="V131" s="122"/>
      <c r="W131" s="122"/>
      <c r="X131" s="122"/>
      <c r="Y131" s="122"/>
      <c r="Z131" s="122"/>
      <c r="AA131" s="122"/>
      <c r="AB131" s="122"/>
      <c r="AC131" s="122"/>
      <c r="AD131" s="122"/>
      <c r="AE131" s="122"/>
      <c r="AF131" s="122"/>
      <c r="AG131" s="122"/>
      <c r="AH131" s="122"/>
      <c r="AI131" s="122"/>
      <c r="AJ131" s="122"/>
      <c r="AK131" s="122"/>
      <c r="AL131" s="122"/>
      <c r="AM131" s="122"/>
      <c r="AN131" s="122"/>
      <c r="AO131" s="122"/>
      <c r="AP131" s="122"/>
      <c r="AQ131" s="122"/>
      <c r="AR131" s="122"/>
      <c r="AS131" s="122"/>
      <c r="AT131" s="122"/>
      <c r="AU131" s="122"/>
      <c r="AV131" s="122"/>
      <c r="AW131" s="122"/>
      <c r="AX131" s="122"/>
      <c r="AY131" s="122"/>
      <c r="AZ131" s="122"/>
      <c r="BA131" s="122"/>
      <c r="BB131" s="122"/>
      <c r="BC131" s="122"/>
      <c r="BD131" s="122"/>
      <c r="BE131" s="122"/>
      <c r="BF131" s="122"/>
      <c r="BG131" s="122"/>
      <c r="BH131" s="122"/>
      <c r="BI131" s="122"/>
      <c r="BJ131" s="122"/>
      <c r="BK131" s="122"/>
      <c r="BL131" s="122"/>
      <c r="BM131" s="122"/>
      <c r="BN131" s="122"/>
      <c r="BO131" s="122"/>
      <c r="BP131" s="122"/>
      <c r="BQ131" s="122"/>
      <c r="BR131" s="122"/>
      <c r="BS131" s="122"/>
      <c r="BT131" s="122"/>
      <c r="BU131" s="122"/>
      <c r="BV131" s="122"/>
      <c r="BW131" s="122"/>
      <c r="BX131" s="122"/>
      <c r="BY131" s="122"/>
      <c r="BZ131" s="122"/>
      <c r="CA131" s="122"/>
      <c r="CB131" s="122"/>
      <c r="CC131" s="122"/>
      <c r="CD131" s="122"/>
      <c r="CE131" s="122"/>
      <c r="CF131" s="122"/>
      <c r="CG131" s="122"/>
      <c r="CH131" s="122"/>
      <c r="CI131" s="122"/>
      <c r="CJ131" s="122"/>
      <c r="CK131" s="122"/>
      <c r="CL131" s="122"/>
      <c r="CM131" s="122"/>
      <c r="CN131" s="122"/>
      <c r="CO131" s="122"/>
      <c r="CP131" s="122"/>
      <c r="CQ131" s="122"/>
      <c r="CR131" s="122"/>
      <c r="CS131" s="122"/>
      <c r="CT131" s="122"/>
      <c r="CU131" s="122"/>
      <c r="CV131" s="122"/>
      <c r="CW131" s="122"/>
      <c r="CX131" s="122"/>
      <c r="CY131" s="122"/>
      <c r="CZ131" s="122"/>
      <c r="DA131" s="122"/>
      <c r="DB131" s="122"/>
      <c r="DC131" s="122"/>
      <c r="DD131" s="122"/>
      <c r="DE131" s="122"/>
      <c r="DF131" s="122"/>
      <c r="DG131" s="122"/>
      <c r="DH131" s="122"/>
      <c r="DI131" s="122"/>
      <c r="DJ131" s="122"/>
      <c r="DK131" s="122"/>
      <c r="DL131" s="122"/>
      <c r="DM131" s="122"/>
      <c r="DN131" s="122"/>
      <c r="DO131" s="122"/>
      <c r="DP131" s="122"/>
      <c r="DQ131" s="122"/>
      <c r="DR131" s="122"/>
      <c r="DS131" s="122"/>
      <c r="DT131" s="122"/>
      <c r="DU131" s="122"/>
      <c r="DV131" s="122"/>
      <c r="DW131" s="122"/>
      <c r="DX131" s="122"/>
      <c r="DY131" s="122"/>
      <c r="DZ131" s="122"/>
      <c r="EA131" s="122"/>
      <c r="EB131" s="122"/>
      <c r="EC131" s="122"/>
      <c r="ED131" s="122"/>
      <c r="EE131" s="122"/>
      <c r="EF131" s="122"/>
      <c r="EG131" s="122"/>
      <c r="EH131" s="122"/>
      <c r="EI131" s="122"/>
      <c r="EJ131" s="122"/>
      <c r="EK131" s="122"/>
      <c r="EL131" s="122"/>
      <c r="EM131" s="122"/>
      <c r="EN131" s="122"/>
      <c r="EO131" s="122"/>
      <c r="EP131" s="122"/>
      <c r="EQ131" s="122"/>
      <c r="ER131" s="122"/>
      <c r="ES131" s="122"/>
      <c r="ET131" s="122"/>
      <c r="EU131" s="122"/>
      <c r="EV131" s="122"/>
      <c r="EW131" s="122"/>
      <c r="EX131" s="122"/>
      <c r="EY131" s="122"/>
      <c r="EZ131" s="122"/>
      <c r="FA131" s="122"/>
      <c r="FB131" s="122"/>
      <c r="FC131" s="122"/>
      <c r="FD131" s="122"/>
      <c r="FE131" s="122"/>
      <c r="FF131" s="122"/>
      <c r="FG131" s="122"/>
      <c r="FH131" s="122"/>
      <c r="FI131" s="122"/>
      <c r="FJ131" s="122"/>
      <c r="FK131" s="122"/>
      <c r="FL131" s="122"/>
      <c r="FM131" s="122"/>
      <c r="FN131" s="122"/>
      <c r="FO131" s="122"/>
      <c r="FP131" s="122"/>
      <c r="FQ131" s="122"/>
      <c r="FR131" s="122"/>
      <c r="FS131" s="122"/>
      <c r="FT131" s="122"/>
      <c r="FU131" s="122"/>
      <c r="FV131" s="122"/>
      <c r="FW131" s="122"/>
      <c r="FX131" s="122"/>
      <c r="FY131" s="122"/>
      <c r="FZ131" s="122"/>
      <c r="GA131" s="122"/>
      <c r="GB131" s="122"/>
      <c r="GC131" s="122"/>
      <c r="GD131" s="122"/>
      <c r="GE131" s="122"/>
      <c r="GF131" s="122"/>
      <c r="GG131" s="122"/>
      <c r="GH131" s="122"/>
      <c r="GI131" s="122"/>
      <c r="GJ131" s="122"/>
      <c r="GK131" s="122"/>
      <c r="GL131" s="122"/>
      <c r="GM131" s="122"/>
      <c r="GN131" s="122"/>
      <c r="GO131" s="122"/>
      <c r="GP131" s="122"/>
      <c r="GQ131" s="122"/>
      <c r="GR131" s="122"/>
      <c r="GS131" s="122"/>
      <c r="GT131" s="122"/>
      <c r="GU131" s="122"/>
      <c r="GV131" s="122"/>
      <c r="GW131" s="122"/>
      <c r="GX131" s="122"/>
      <c r="GY131" s="122"/>
      <c r="GZ131" s="122"/>
      <c r="HA131" s="122"/>
      <c r="HB131" s="122"/>
      <c r="HC131" s="122"/>
      <c r="HD131" s="122"/>
      <c r="HE131" s="122"/>
      <c r="HF131" s="122"/>
      <c r="HG131" s="122"/>
      <c r="HH131" s="122"/>
      <c r="HI131" s="122"/>
      <c r="HJ131" s="122"/>
      <c r="HK131" s="122"/>
      <c r="HL131" s="122"/>
      <c r="HM131" s="122"/>
      <c r="HN131" s="122"/>
      <c r="HO131" s="122"/>
      <c r="HP131" s="122"/>
      <c r="HQ131" s="122"/>
      <c r="HR131" s="122"/>
      <c r="HS131" s="122"/>
      <c r="HT131" s="122"/>
      <c r="HU131" s="122"/>
      <c r="HV131" s="122"/>
      <c r="HW131" s="122"/>
      <c r="HX131" s="122"/>
      <c r="HY131" s="122"/>
      <c r="HZ131" s="122"/>
      <c r="IA131" s="122"/>
      <c r="IB131" s="122"/>
      <c r="IC131" s="122"/>
      <c r="ID131" s="122"/>
      <c r="IE131" s="122"/>
      <c r="IF131" s="122"/>
      <c r="IG131" s="122"/>
      <c r="IH131" s="122"/>
      <c r="II131" s="122"/>
      <c r="IJ131" s="122"/>
      <c r="IK131" s="122"/>
      <c r="IL131" s="122"/>
      <c r="IM131" s="122"/>
      <c r="IN131" s="122"/>
      <c r="IO131" s="122"/>
      <c r="IP131" s="122"/>
      <c r="IQ131" s="122"/>
      <c r="IR131" s="122"/>
      <c r="IS131" s="122"/>
      <c r="IT131" s="122"/>
      <c r="IU131" s="122"/>
      <c r="IV131" s="122"/>
    </row>
    <row r="132" spans="1:256" s="127" customFormat="1" x14ac:dyDescent="0.25">
      <c r="A132" s="130"/>
      <c r="B132" s="125"/>
      <c r="C132" s="125"/>
      <c r="D132" s="122"/>
      <c r="F132" s="125"/>
      <c r="G132" s="125"/>
      <c r="H132" s="125"/>
      <c r="I132" s="125"/>
      <c r="J132" s="125"/>
      <c r="K132" s="313"/>
      <c r="L132" s="125"/>
      <c r="S132" s="122"/>
      <c r="T132" s="122"/>
      <c r="U132" s="122"/>
      <c r="V132" s="122"/>
      <c r="W132" s="122"/>
      <c r="X132" s="122"/>
      <c r="Y132" s="122"/>
      <c r="Z132" s="122"/>
      <c r="AA132" s="122"/>
      <c r="AB132" s="122"/>
      <c r="AC132" s="122"/>
      <c r="AD132" s="122"/>
      <c r="AE132" s="122"/>
      <c r="AF132" s="122"/>
      <c r="AG132" s="122"/>
      <c r="AH132" s="122"/>
      <c r="AI132" s="122"/>
      <c r="AJ132" s="122"/>
      <c r="AK132" s="122"/>
      <c r="AL132" s="122"/>
      <c r="AM132" s="122"/>
      <c r="AN132" s="122"/>
      <c r="AO132" s="122"/>
      <c r="AP132" s="122"/>
      <c r="AQ132" s="122"/>
      <c r="AR132" s="122"/>
      <c r="AS132" s="122"/>
      <c r="AT132" s="122"/>
      <c r="AU132" s="122"/>
      <c r="AV132" s="122"/>
      <c r="AW132" s="122"/>
      <c r="AX132" s="122"/>
      <c r="AY132" s="122"/>
      <c r="AZ132" s="122"/>
      <c r="BA132" s="122"/>
      <c r="BB132" s="122"/>
      <c r="BC132" s="122"/>
      <c r="BD132" s="122"/>
      <c r="BE132" s="122"/>
      <c r="BF132" s="122"/>
      <c r="BG132" s="122"/>
      <c r="BH132" s="122"/>
      <c r="BI132" s="122"/>
      <c r="BJ132" s="122"/>
      <c r="BK132" s="122"/>
      <c r="BL132" s="122"/>
      <c r="BM132" s="122"/>
      <c r="BN132" s="122"/>
      <c r="BO132" s="122"/>
      <c r="BP132" s="122"/>
      <c r="BQ132" s="122"/>
      <c r="BR132" s="122"/>
      <c r="BS132" s="122"/>
      <c r="BT132" s="122"/>
      <c r="BU132" s="122"/>
      <c r="BV132" s="122"/>
      <c r="BW132" s="122"/>
      <c r="BX132" s="122"/>
      <c r="BY132" s="122"/>
      <c r="BZ132" s="122"/>
      <c r="CA132" s="122"/>
      <c r="CB132" s="122"/>
      <c r="CC132" s="122"/>
      <c r="CD132" s="122"/>
      <c r="CE132" s="122"/>
      <c r="CF132" s="122"/>
      <c r="CG132" s="122"/>
      <c r="CH132" s="122"/>
      <c r="CI132" s="122"/>
      <c r="CJ132" s="122"/>
      <c r="CK132" s="122"/>
      <c r="CL132" s="122"/>
      <c r="CM132" s="122"/>
      <c r="CN132" s="122"/>
      <c r="CO132" s="122"/>
      <c r="CP132" s="122"/>
      <c r="CQ132" s="122"/>
      <c r="CR132" s="122"/>
      <c r="CS132" s="122"/>
      <c r="CT132" s="122"/>
      <c r="CU132" s="122"/>
      <c r="CV132" s="122"/>
      <c r="CW132" s="122"/>
      <c r="CX132" s="122"/>
      <c r="CY132" s="122"/>
      <c r="CZ132" s="122"/>
      <c r="DA132" s="122"/>
      <c r="DB132" s="122"/>
      <c r="DC132" s="122"/>
      <c r="DD132" s="122"/>
      <c r="DE132" s="122"/>
      <c r="DF132" s="122"/>
      <c r="DG132" s="122"/>
      <c r="DH132" s="122"/>
      <c r="DI132" s="122"/>
      <c r="DJ132" s="122"/>
      <c r="DK132" s="122"/>
      <c r="DL132" s="122"/>
      <c r="DM132" s="122"/>
      <c r="DN132" s="122"/>
      <c r="DO132" s="122"/>
      <c r="DP132" s="122"/>
      <c r="DQ132" s="122"/>
      <c r="DR132" s="122"/>
      <c r="DS132" s="122"/>
      <c r="DT132" s="122"/>
      <c r="DU132" s="122"/>
      <c r="DV132" s="122"/>
      <c r="DW132" s="122"/>
      <c r="DX132" s="122"/>
      <c r="DY132" s="122"/>
      <c r="DZ132" s="122"/>
      <c r="EA132" s="122"/>
      <c r="EB132" s="122"/>
      <c r="EC132" s="122"/>
      <c r="ED132" s="122"/>
      <c r="EE132" s="122"/>
      <c r="EF132" s="122"/>
      <c r="EG132" s="122"/>
      <c r="EH132" s="122"/>
      <c r="EI132" s="122"/>
      <c r="EJ132" s="122"/>
      <c r="EK132" s="122"/>
      <c r="EL132" s="122"/>
      <c r="EM132" s="122"/>
      <c r="EN132" s="122"/>
      <c r="EO132" s="122"/>
      <c r="EP132" s="122"/>
      <c r="EQ132" s="122"/>
      <c r="ER132" s="122"/>
      <c r="ES132" s="122"/>
      <c r="ET132" s="122"/>
      <c r="EU132" s="122"/>
      <c r="EV132" s="122"/>
      <c r="EW132" s="122"/>
      <c r="EX132" s="122"/>
      <c r="EY132" s="122"/>
      <c r="EZ132" s="122"/>
      <c r="FA132" s="122"/>
      <c r="FB132" s="122"/>
      <c r="FC132" s="122"/>
      <c r="FD132" s="122"/>
      <c r="FE132" s="122"/>
      <c r="FF132" s="122"/>
      <c r="FG132" s="122"/>
      <c r="FH132" s="122"/>
      <c r="FI132" s="122"/>
      <c r="FJ132" s="122"/>
      <c r="FK132" s="122"/>
      <c r="FL132" s="122"/>
      <c r="FM132" s="122"/>
      <c r="FN132" s="122"/>
      <c r="FO132" s="122"/>
      <c r="FP132" s="122"/>
      <c r="FQ132" s="122"/>
      <c r="FR132" s="122"/>
      <c r="FS132" s="122"/>
      <c r="FT132" s="122"/>
      <c r="FU132" s="122"/>
      <c r="FV132" s="122"/>
      <c r="FW132" s="122"/>
      <c r="FX132" s="122"/>
      <c r="FY132" s="122"/>
      <c r="FZ132" s="122"/>
      <c r="GA132" s="122"/>
      <c r="GB132" s="122"/>
      <c r="GC132" s="122"/>
      <c r="GD132" s="122"/>
      <c r="GE132" s="122"/>
      <c r="GF132" s="122"/>
      <c r="GG132" s="122"/>
      <c r="GH132" s="122"/>
      <c r="GI132" s="122"/>
      <c r="GJ132" s="122"/>
      <c r="GK132" s="122"/>
      <c r="GL132" s="122"/>
      <c r="GM132" s="122"/>
      <c r="GN132" s="122"/>
      <c r="GO132" s="122"/>
      <c r="GP132" s="122"/>
      <c r="GQ132" s="122"/>
      <c r="GR132" s="122"/>
      <c r="GS132" s="122"/>
      <c r="GT132" s="122"/>
      <c r="GU132" s="122"/>
      <c r="GV132" s="122"/>
      <c r="GW132" s="122"/>
      <c r="GX132" s="122"/>
      <c r="GY132" s="122"/>
      <c r="GZ132" s="122"/>
      <c r="HA132" s="122"/>
      <c r="HB132" s="122"/>
      <c r="HC132" s="122"/>
      <c r="HD132" s="122"/>
      <c r="HE132" s="122"/>
      <c r="HF132" s="122"/>
      <c r="HG132" s="122"/>
      <c r="HH132" s="122"/>
      <c r="HI132" s="122"/>
      <c r="HJ132" s="122"/>
      <c r="HK132" s="122"/>
      <c r="HL132" s="122"/>
      <c r="HM132" s="122"/>
      <c r="HN132" s="122"/>
      <c r="HO132" s="122"/>
      <c r="HP132" s="122"/>
      <c r="HQ132" s="122"/>
      <c r="HR132" s="122"/>
      <c r="HS132" s="122"/>
      <c r="HT132" s="122"/>
      <c r="HU132" s="122"/>
      <c r="HV132" s="122"/>
      <c r="HW132" s="122"/>
      <c r="HX132" s="122"/>
      <c r="HY132" s="122"/>
      <c r="HZ132" s="122"/>
      <c r="IA132" s="122"/>
      <c r="IB132" s="122"/>
      <c r="IC132" s="122"/>
      <c r="ID132" s="122"/>
      <c r="IE132" s="122"/>
      <c r="IF132" s="122"/>
      <c r="IG132" s="122"/>
      <c r="IH132" s="122"/>
      <c r="II132" s="122"/>
      <c r="IJ132" s="122"/>
      <c r="IK132" s="122"/>
      <c r="IL132" s="122"/>
      <c r="IM132" s="122"/>
      <c r="IN132" s="122"/>
      <c r="IO132" s="122"/>
      <c r="IP132" s="122"/>
      <c r="IQ132" s="122"/>
      <c r="IR132" s="122"/>
      <c r="IS132" s="122"/>
      <c r="IT132" s="122"/>
      <c r="IU132" s="122"/>
      <c r="IV132" s="122"/>
    </row>
    <row r="133" spans="1:256" s="122" customFormat="1" x14ac:dyDescent="0.25">
      <c r="A133" s="130"/>
      <c r="B133" s="125"/>
      <c r="C133" s="125"/>
      <c r="D133" s="127"/>
      <c r="E133" s="127"/>
      <c r="F133" s="125"/>
      <c r="G133" s="125"/>
      <c r="H133" s="125"/>
      <c r="I133" s="125"/>
      <c r="J133" s="125"/>
      <c r="K133" s="313"/>
      <c r="L133" s="125"/>
      <c r="M133" s="127"/>
      <c r="N133" s="127"/>
      <c r="O133" s="127"/>
      <c r="P133" s="127"/>
      <c r="Q133" s="127"/>
      <c r="R133" s="127"/>
      <c r="S133" s="127"/>
      <c r="T133" s="127"/>
      <c r="U133" s="127"/>
      <c r="V133" s="127"/>
      <c r="W133" s="127"/>
      <c r="X133" s="127"/>
      <c r="Y133" s="127"/>
      <c r="Z133" s="127"/>
      <c r="AA133" s="127"/>
      <c r="AB133" s="127"/>
      <c r="AC133" s="127"/>
      <c r="AD133" s="127"/>
      <c r="AE133" s="127"/>
      <c r="AF133" s="127"/>
      <c r="AG133" s="127"/>
      <c r="AH133" s="127"/>
      <c r="AI133" s="127"/>
      <c r="AJ133" s="127"/>
      <c r="AK133" s="127"/>
      <c r="AL133" s="127"/>
      <c r="AM133" s="127"/>
      <c r="AN133" s="127"/>
      <c r="AO133" s="127"/>
      <c r="AP133" s="127"/>
      <c r="AQ133" s="127"/>
      <c r="AR133" s="127"/>
      <c r="AS133" s="127"/>
      <c r="AT133" s="127"/>
      <c r="AU133" s="127"/>
      <c r="AV133" s="127"/>
      <c r="AW133" s="127"/>
      <c r="AX133" s="127"/>
      <c r="AY133" s="127"/>
      <c r="AZ133" s="127"/>
      <c r="BA133" s="127"/>
      <c r="BB133" s="127"/>
      <c r="BC133" s="127"/>
      <c r="BD133" s="127"/>
      <c r="BE133" s="127"/>
      <c r="BF133" s="127"/>
      <c r="BG133" s="127"/>
      <c r="BH133" s="127"/>
      <c r="BI133" s="127"/>
      <c r="BJ133" s="127"/>
      <c r="BK133" s="127"/>
      <c r="BL133" s="127"/>
      <c r="BM133" s="127"/>
      <c r="BN133" s="127"/>
      <c r="BO133" s="127"/>
      <c r="BP133" s="127"/>
      <c r="BQ133" s="127"/>
      <c r="BR133" s="127"/>
      <c r="BS133" s="127"/>
      <c r="BT133" s="127"/>
      <c r="BU133" s="127"/>
      <c r="BV133" s="127"/>
      <c r="BW133" s="127"/>
      <c r="BX133" s="127"/>
      <c r="BY133" s="127"/>
      <c r="BZ133" s="127"/>
      <c r="CA133" s="127"/>
      <c r="CB133" s="127"/>
      <c r="CC133" s="127"/>
      <c r="CD133" s="127"/>
      <c r="CE133" s="127"/>
      <c r="CF133" s="127"/>
      <c r="CG133" s="127"/>
      <c r="CH133" s="127"/>
      <c r="CI133" s="127"/>
      <c r="CJ133" s="127"/>
      <c r="CK133" s="127"/>
      <c r="CL133" s="127"/>
      <c r="CM133" s="127"/>
      <c r="CN133" s="127"/>
      <c r="CO133" s="127"/>
      <c r="CP133" s="127"/>
      <c r="CQ133" s="127"/>
      <c r="CR133" s="127"/>
      <c r="CS133" s="127"/>
      <c r="CT133" s="127"/>
      <c r="CU133" s="127"/>
      <c r="CV133" s="127"/>
      <c r="CW133" s="127"/>
      <c r="CX133" s="127"/>
      <c r="CY133" s="127"/>
      <c r="CZ133" s="127"/>
      <c r="DA133" s="127"/>
      <c r="DB133" s="127"/>
      <c r="DC133" s="127"/>
      <c r="DD133" s="127"/>
      <c r="DE133" s="127"/>
      <c r="DF133" s="127"/>
      <c r="DG133" s="127"/>
      <c r="DH133" s="127"/>
      <c r="DI133" s="127"/>
      <c r="DJ133" s="127"/>
      <c r="DK133" s="127"/>
      <c r="DL133" s="127"/>
      <c r="DM133" s="127"/>
      <c r="DN133" s="127"/>
      <c r="DO133" s="127"/>
      <c r="DP133" s="127"/>
      <c r="DQ133" s="127"/>
      <c r="DR133" s="127"/>
      <c r="DS133" s="127"/>
      <c r="DT133" s="127"/>
      <c r="DU133" s="127"/>
      <c r="DV133" s="127"/>
      <c r="DW133" s="127"/>
      <c r="DX133" s="127"/>
      <c r="DY133" s="127"/>
      <c r="DZ133" s="127"/>
      <c r="EA133" s="127"/>
      <c r="EB133" s="127"/>
      <c r="EC133" s="127"/>
      <c r="ED133" s="127"/>
      <c r="EE133" s="127"/>
      <c r="EF133" s="127"/>
      <c r="EG133" s="127"/>
      <c r="EH133" s="127"/>
      <c r="EI133" s="127"/>
      <c r="EJ133" s="127"/>
      <c r="EK133" s="127"/>
      <c r="EL133" s="127"/>
      <c r="EM133" s="127"/>
      <c r="EN133" s="127"/>
      <c r="EO133" s="127"/>
      <c r="EP133" s="127"/>
      <c r="EQ133" s="127"/>
      <c r="ER133" s="127"/>
      <c r="ES133" s="127"/>
      <c r="ET133" s="127"/>
      <c r="EU133" s="127"/>
      <c r="EV133" s="127"/>
      <c r="EW133" s="127"/>
      <c r="EX133" s="127"/>
      <c r="EY133" s="127"/>
      <c r="EZ133" s="127"/>
      <c r="FA133" s="127"/>
      <c r="FB133" s="127"/>
      <c r="FC133" s="127"/>
      <c r="FD133" s="127"/>
      <c r="FE133" s="127"/>
      <c r="FF133" s="127"/>
      <c r="FG133" s="127"/>
      <c r="FH133" s="127"/>
      <c r="FI133" s="127"/>
      <c r="FJ133" s="127"/>
      <c r="FK133" s="127"/>
      <c r="FL133" s="127"/>
      <c r="FM133" s="127"/>
      <c r="FN133" s="127"/>
      <c r="FO133" s="127"/>
      <c r="FP133" s="127"/>
      <c r="FQ133" s="127"/>
      <c r="FR133" s="127"/>
      <c r="FS133" s="127"/>
      <c r="FT133" s="127"/>
      <c r="FU133" s="127"/>
      <c r="FV133" s="127"/>
      <c r="FW133" s="127"/>
      <c r="FX133" s="127"/>
      <c r="FY133" s="127"/>
      <c r="FZ133" s="127"/>
      <c r="GA133" s="127"/>
      <c r="GB133" s="127"/>
      <c r="GC133" s="127"/>
      <c r="GD133" s="127"/>
      <c r="GE133" s="127"/>
      <c r="GF133" s="127"/>
      <c r="GG133" s="127"/>
      <c r="GH133" s="127"/>
      <c r="GI133" s="127"/>
      <c r="GJ133" s="127"/>
      <c r="GK133" s="127"/>
      <c r="GL133" s="127"/>
      <c r="GM133" s="127"/>
      <c r="GN133" s="127"/>
      <c r="GO133" s="127"/>
      <c r="GP133" s="127"/>
      <c r="GQ133" s="127"/>
      <c r="GR133" s="127"/>
      <c r="GS133" s="127"/>
      <c r="GT133" s="127"/>
      <c r="GU133" s="127"/>
      <c r="GV133" s="127"/>
      <c r="GW133" s="127"/>
      <c r="GX133" s="127"/>
      <c r="GY133" s="127"/>
      <c r="GZ133" s="127"/>
      <c r="HA133" s="127"/>
      <c r="HB133" s="127"/>
      <c r="HC133" s="127"/>
      <c r="HD133" s="127"/>
      <c r="HE133" s="127"/>
      <c r="HF133" s="127"/>
      <c r="HG133" s="127"/>
      <c r="HH133" s="127"/>
      <c r="HI133" s="127"/>
      <c r="HJ133" s="127"/>
      <c r="HK133" s="127"/>
      <c r="HL133" s="127"/>
      <c r="HM133" s="127"/>
      <c r="HN133" s="127"/>
      <c r="HO133" s="127"/>
      <c r="HP133" s="127"/>
      <c r="HQ133" s="127"/>
      <c r="HR133" s="127"/>
      <c r="HS133" s="127"/>
      <c r="HT133" s="127"/>
      <c r="HU133" s="127"/>
      <c r="HV133" s="127"/>
      <c r="HW133" s="127"/>
      <c r="HX133" s="127"/>
      <c r="HY133" s="127"/>
      <c r="HZ133" s="127"/>
      <c r="IA133" s="127"/>
      <c r="IB133" s="127"/>
      <c r="IC133" s="127"/>
      <c r="ID133" s="127"/>
      <c r="IE133" s="127"/>
      <c r="IF133" s="127"/>
      <c r="IG133" s="127"/>
      <c r="IH133" s="127"/>
      <c r="II133" s="127"/>
      <c r="IJ133" s="127"/>
      <c r="IK133" s="127"/>
      <c r="IL133" s="127"/>
      <c r="IM133" s="127"/>
      <c r="IN133" s="127"/>
      <c r="IO133" s="127"/>
      <c r="IP133" s="127"/>
      <c r="IQ133" s="127"/>
      <c r="IR133" s="127"/>
      <c r="IS133" s="127"/>
      <c r="IT133" s="127"/>
      <c r="IU133" s="127"/>
      <c r="IV133" s="127"/>
    </row>
    <row r="134" spans="1:256" s="122" customFormat="1" x14ac:dyDescent="0.25">
      <c r="A134" s="130"/>
      <c r="B134" s="125"/>
      <c r="C134" s="125"/>
      <c r="D134" s="127"/>
      <c r="E134" s="127"/>
      <c r="F134" s="125"/>
      <c r="G134" s="125"/>
      <c r="H134" s="125"/>
      <c r="I134" s="125"/>
      <c r="J134" s="125"/>
      <c r="K134" s="313"/>
      <c r="L134" s="125"/>
      <c r="M134" s="127"/>
      <c r="S134" s="127"/>
      <c r="T134" s="127"/>
      <c r="U134" s="127"/>
      <c r="V134" s="127"/>
      <c r="W134" s="127"/>
      <c r="X134" s="127"/>
      <c r="Y134" s="127"/>
      <c r="Z134" s="127"/>
      <c r="AA134" s="127"/>
      <c r="AB134" s="127"/>
      <c r="AC134" s="127"/>
      <c r="AD134" s="127"/>
      <c r="AE134" s="127"/>
      <c r="AF134" s="127"/>
      <c r="AG134" s="127"/>
      <c r="AH134" s="127"/>
      <c r="AI134" s="127"/>
      <c r="AJ134" s="127"/>
      <c r="AK134" s="127"/>
      <c r="AL134" s="127"/>
      <c r="AM134" s="127"/>
      <c r="AN134" s="127"/>
      <c r="AO134" s="127"/>
      <c r="AP134" s="127"/>
      <c r="AQ134" s="127"/>
      <c r="AR134" s="127"/>
      <c r="AS134" s="127"/>
      <c r="AT134" s="127"/>
      <c r="AU134" s="127"/>
      <c r="AV134" s="127"/>
      <c r="AW134" s="127"/>
      <c r="AX134" s="127"/>
      <c r="AY134" s="127"/>
      <c r="AZ134" s="127"/>
      <c r="BA134" s="127"/>
      <c r="BB134" s="127"/>
      <c r="BC134" s="127"/>
      <c r="BD134" s="127"/>
      <c r="BE134" s="127"/>
      <c r="BF134" s="127"/>
      <c r="BG134" s="127"/>
      <c r="BH134" s="127"/>
      <c r="BI134" s="127"/>
      <c r="BJ134" s="127"/>
      <c r="BK134" s="127"/>
      <c r="BL134" s="127"/>
      <c r="BM134" s="127"/>
      <c r="BN134" s="127"/>
      <c r="BO134" s="127"/>
      <c r="BP134" s="127"/>
      <c r="BQ134" s="127"/>
      <c r="BR134" s="127"/>
      <c r="BS134" s="127"/>
      <c r="BT134" s="127"/>
      <c r="BU134" s="127"/>
      <c r="BV134" s="127"/>
      <c r="BW134" s="127"/>
      <c r="BX134" s="127"/>
      <c r="BY134" s="127"/>
      <c r="BZ134" s="127"/>
      <c r="CA134" s="127"/>
      <c r="CB134" s="127"/>
      <c r="CC134" s="127"/>
      <c r="CD134" s="127"/>
      <c r="CE134" s="127"/>
      <c r="CF134" s="127"/>
      <c r="CG134" s="127"/>
      <c r="CH134" s="127"/>
      <c r="CI134" s="127"/>
      <c r="CJ134" s="127"/>
      <c r="CK134" s="127"/>
      <c r="CL134" s="127"/>
      <c r="CM134" s="127"/>
      <c r="CN134" s="127"/>
      <c r="CO134" s="127"/>
      <c r="CP134" s="127"/>
      <c r="CQ134" s="127"/>
      <c r="CR134" s="127"/>
      <c r="CS134" s="127"/>
      <c r="CT134" s="127"/>
      <c r="CU134" s="127"/>
      <c r="CV134" s="127"/>
      <c r="CW134" s="127"/>
      <c r="CX134" s="127"/>
      <c r="CY134" s="127"/>
      <c r="CZ134" s="127"/>
      <c r="DA134" s="127"/>
      <c r="DB134" s="127"/>
      <c r="DC134" s="127"/>
      <c r="DD134" s="127"/>
      <c r="DE134" s="127"/>
      <c r="DF134" s="127"/>
      <c r="DG134" s="127"/>
      <c r="DH134" s="127"/>
      <c r="DI134" s="127"/>
      <c r="DJ134" s="127"/>
      <c r="DK134" s="127"/>
      <c r="DL134" s="127"/>
      <c r="DM134" s="127"/>
      <c r="DN134" s="127"/>
      <c r="DO134" s="127"/>
      <c r="DP134" s="127"/>
      <c r="DQ134" s="127"/>
      <c r="DR134" s="127"/>
      <c r="DS134" s="127"/>
      <c r="DT134" s="127"/>
      <c r="DU134" s="127"/>
      <c r="DV134" s="127"/>
      <c r="DW134" s="127"/>
      <c r="DX134" s="127"/>
      <c r="DY134" s="127"/>
      <c r="DZ134" s="127"/>
      <c r="EA134" s="127"/>
      <c r="EB134" s="127"/>
      <c r="EC134" s="127"/>
      <c r="ED134" s="127"/>
      <c r="EE134" s="127"/>
      <c r="EF134" s="127"/>
      <c r="EG134" s="127"/>
      <c r="EH134" s="127"/>
      <c r="EI134" s="127"/>
      <c r="EJ134" s="127"/>
      <c r="EK134" s="127"/>
      <c r="EL134" s="127"/>
      <c r="EM134" s="127"/>
      <c r="EN134" s="127"/>
      <c r="EO134" s="127"/>
      <c r="EP134" s="127"/>
      <c r="EQ134" s="127"/>
      <c r="ER134" s="127"/>
      <c r="ES134" s="127"/>
      <c r="ET134" s="127"/>
      <c r="EU134" s="127"/>
      <c r="EV134" s="127"/>
      <c r="EW134" s="127"/>
      <c r="EX134" s="127"/>
      <c r="EY134" s="127"/>
      <c r="EZ134" s="127"/>
      <c r="FA134" s="127"/>
      <c r="FB134" s="127"/>
      <c r="FC134" s="127"/>
      <c r="FD134" s="127"/>
      <c r="FE134" s="127"/>
      <c r="FF134" s="127"/>
      <c r="FG134" s="127"/>
      <c r="FH134" s="127"/>
      <c r="FI134" s="127"/>
      <c r="FJ134" s="127"/>
      <c r="FK134" s="127"/>
      <c r="FL134" s="127"/>
      <c r="FM134" s="127"/>
      <c r="FN134" s="127"/>
      <c r="FO134" s="127"/>
      <c r="FP134" s="127"/>
      <c r="FQ134" s="127"/>
      <c r="FR134" s="127"/>
      <c r="FS134" s="127"/>
      <c r="FT134" s="127"/>
      <c r="FU134" s="127"/>
      <c r="FV134" s="127"/>
      <c r="FW134" s="127"/>
      <c r="FX134" s="127"/>
      <c r="FY134" s="127"/>
      <c r="FZ134" s="127"/>
      <c r="GA134" s="127"/>
      <c r="GB134" s="127"/>
      <c r="GC134" s="127"/>
      <c r="GD134" s="127"/>
      <c r="GE134" s="127"/>
      <c r="GF134" s="127"/>
      <c r="GG134" s="127"/>
      <c r="GH134" s="127"/>
      <c r="GI134" s="127"/>
      <c r="GJ134" s="127"/>
      <c r="GK134" s="127"/>
      <c r="GL134" s="127"/>
      <c r="GM134" s="127"/>
      <c r="GN134" s="127"/>
      <c r="GO134" s="127"/>
      <c r="GP134" s="127"/>
      <c r="GQ134" s="127"/>
      <c r="GR134" s="127"/>
      <c r="GS134" s="127"/>
      <c r="GT134" s="127"/>
      <c r="GU134" s="127"/>
      <c r="GV134" s="127"/>
      <c r="GW134" s="127"/>
      <c r="GX134" s="127"/>
      <c r="GY134" s="127"/>
      <c r="GZ134" s="127"/>
      <c r="HA134" s="127"/>
      <c r="HB134" s="127"/>
      <c r="HC134" s="127"/>
      <c r="HD134" s="127"/>
      <c r="HE134" s="127"/>
      <c r="HF134" s="127"/>
      <c r="HG134" s="127"/>
      <c r="HH134" s="127"/>
      <c r="HI134" s="127"/>
      <c r="HJ134" s="127"/>
      <c r="HK134" s="127"/>
      <c r="HL134" s="127"/>
      <c r="HM134" s="127"/>
      <c r="HN134" s="127"/>
      <c r="HO134" s="127"/>
      <c r="HP134" s="127"/>
      <c r="HQ134" s="127"/>
      <c r="HR134" s="127"/>
      <c r="HS134" s="127"/>
      <c r="HT134" s="127"/>
      <c r="HU134" s="127"/>
      <c r="HV134" s="127"/>
      <c r="HW134" s="127"/>
      <c r="HX134" s="127"/>
      <c r="HY134" s="127"/>
      <c r="HZ134" s="127"/>
      <c r="IA134" s="127"/>
      <c r="IB134" s="127"/>
      <c r="IC134" s="127"/>
      <c r="ID134" s="127"/>
      <c r="IE134" s="127"/>
      <c r="IF134" s="127"/>
      <c r="IG134" s="127"/>
      <c r="IH134" s="127"/>
      <c r="II134" s="127"/>
      <c r="IJ134" s="127"/>
      <c r="IK134" s="127"/>
      <c r="IL134" s="127"/>
      <c r="IM134" s="127"/>
      <c r="IN134" s="127"/>
      <c r="IO134" s="127"/>
      <c r="IP134" s="127"/>
      <c r="IQ134" s="127"/>
      <c r="IR134" s="127"/>
      <c r="IS134" s="127"/>
      <c r="IT134" s="127"/>
      <c r="IU134" s="127"/>
      <c r="IV134" s="127"/>
    </row>
    <row r="135" spans="1:256" s="122" customFormat="1" x14ac:dyDescent="0.25">
      <c r="A135" s="130"/>
      <c r="B135" s="125"/>
      <c r="C135" s="125"/>
      <c r="D135" s="127"/>
      <c r="E135" s="127"/>
      <c r="F135" s="125"/>
      <c r="G135" s="125"/>
      <c r="H135" s="125"/>
      <c r="I135" s="125"/>
      <c r="J135" s="125"/>
      <c r="K135" s="313"/>
      <c r="L135" s="125"/>
      <c r="M135" s="127"/>
      <c r="S135" s="127"/>
      <c r="T135" s="127"/>
      <c r="U135" s="127"/>
      <c r="V135" s="127"/>
      <c r="W135" s="127"/>
      <c r="X135" s="127"/>
      <c r="Y135" s="127"/>
      <c r="Z135" s="127"/>
      <c r="AA135" s="127"/>
      <c r="AB135" s="127"/>
      <c r="AC135" s="127"/>
      <c r="AD135" s="127"/>
      <c r="AE135" s="127"/>
      <c r="AF135" s="127"/>
      <c r="AG135" s="127"/>
      <c r="AH135" s="127"/>
      <c r="AI135" s="127"/>
      <c r="AJ135" s="127"/>
      <c r="AK135" s="127"/>
      <c r="AL135" s="127"/>
      <c r="AM135" s="127"/>
      <c r="AN135" s="127"/>
      <c r="AO135" s="127"/>
      <c r="AP135" s="127"/>
      <c r="AQ135" s="127"/>
      <c r="AR135" s="127"/>
      <c r="AS135" s="127"/>
      <c r="AT135" s="127"/>
      <c r="AU135" s="127"/>
      <c r="AV135" s="127"/>
      <c r="AW135" s="127"/>
      <c r="AX135" s="127"/>
      <c r="AY135" s="127"/>
      <c r="AZ135" s="127"/>
      <c r="BA135" s="127"/>
      <c r="BB135" s="127"/>
      <c r="BC135" s="127"/>
      <c r="BD135" s="127"/>
      <c r="BE135" s="127"/>
      <c r="BF135" s="127"/>
      <c r="BG135" s="127"/>
      <c r="BH135" s="127"/>
      <c r="BI135" s="127"/>
      <c r="BJ135" s="127"/>
      <c r="BK135" s="127"/>
      <c r="BL135" s="127"/>
      <c r="BM135" s="127"/>
      <c r="BN135" s="127"/>
      <c r="BO135" s="127"/>
      <c r="BP135" s="127"/>
      <c r="BQ135" s="127"/>
      <c r="BR135" s="127"/>
      <c r="BS135" s="127"/>
      <c r="BT135" s="127"/>
      <c r="BU135" s="127"/>
      <c r="BV135" s="127"/>
      <c r="BW135" s="127"/>
      <c r="BX135" s="127"/>
      <c r="BY135" s="127"/>
      <c r="BZ135" s="127"/>
      <c r="CA135" s="127"/>
      <c r="CB135" s="127"/>
      <c r="CC135" s="127"/>
      <c r="CD135" s="127"/>
      <c r="CE135" s="127"/>
      <c r="CF135" s="127"/>
      <c r="CG135" s="127"/>
      <c r="CH135" s="127"/>
      <c r="CI135" s="127"/>
      <c r="CJ135" s="127"/>
      <c r="CK135" s="127"/>
      <c r="CL135" s="127"/>
      <c r="CM135" s="127"/>
      <c r="CN135" s="127"/>
      <c r="CO135" s="127"/>
      <c r="CP135" s="127"/>
      <c r="CQ135" s="127"/>
      <c r="CR135" s="127"/>
      <c r="CS135" s="127"/>
      <c r="CT135" s="127"/>
      <c r="CU135" s="127"/>
      <c r="CV135" s="127"/>
      <c r="CW135" s="127"/>
      <c r="CX135" s="127"/>
      <c r="CY135" s="127"/>
      <c r="CZ135" s="127"/>
      <c r="DA135" s="127"/>
      <c r="DB135" s="127"/>
      <c r="DC135" s="127"/>
      <c r="DD135" s="127"/>
      <c r="DE135" s="127"/>
      <c r="DF135" s="127"/>
      <c r="DG135" s="127"/>
      <c r="DH135" s="127"/>
      <c r="DI135" s="127"/>
      <c r="DJ135" s="127"/>
      <c r="DK135" s="127"/>
      <c r="DL135" s="127"/>
      <c r="DM135" s="127"/>
      <c r="DN135" s="127"/>
      <c r="DO135" s="127"/>
      <c r="DP135" s="127"/>
      <c r="DQ135" s="127"/>
      <c r="DR135" s="127"/>
      <c r="DS135" s="127"/>
      <c r="DT135" s="127"/>
      <c r="DU135" s="127"/>
      <c r="DV135" s="127"/>
      <c r="DW135" s="127"/>
      <c r="DX135" s="127"/>
      <c r="DY135" s="127"/>
      <c r="DZ135" s="127"/>
      <c r="EA135" s="127"/>
      <c r="EB135" s="127"/>
      <c r="EC135" s="127"/>
      <c r="ED135" s="127"/>
      <c r="EE135" s="127"/>
      <c r="EF135" s="127"/>
      <c r="EG135" s="127"/>
      <c r="EH135" s="127"/>
      <c r="EI135" s="127"/>
      <c r="EJ135" s="127"/>
      <c r="EK135" s="127"/>
      <c r="EL135" s="127"/>
      <c r="EM135" s="127"/>
      <c r="EN135" s="127"/>
      <c r="EO135" s="127"/>
      <c r="EP135" s="127"/>
      <c r="EQ135" s="127"/>
      <c r="ER135" s="127"/>
      <c r="ES135" s="127"/>
      <c r="ET135" s="127"/>
      <c r="EU135" s="127"/>
      <c r="EV135" s="127"/>
      <c r="EW135" s="127"/>
      <c r="EX135" s="127"/>
      <c r="EY135" s="127"/>
      <c r="EZ135" s="127"/>
      <c r="FA135" s="127"/>
      <c r="FB135" s="127"/>
      <c r="FC135" s="127"/>
      <c r="FD135" s="127"/>
      <c r="FE135" s="127"/>
      <c r="FF135" s="127"/>
      <c r="FG135" s="127"/>
      <c r="FH135" s="127"/>
      <c r="FI135" s="127"/>
      <c r="FJ135" s="127"/>
      <c r="FK135" s="127"/>
      <c r="FL135" s="127"/>
      <c r="FM135" s="127"/>
      <c r="FN135" s="127"/>
      <c r="FO135" s="127"/>
      <c r="FP135" s="127"/>
      <c r="FQ135" s="127"/>
      <c r="FR135" s="127"/>
      <c r="FS135" s="127"/>
      <c r="FT135" s="127"/>
      <c r="FU135" s="127"/>
      <c r="FV135" s="127"/>
      <c r="FW135" s="127"/>
      <c r="FX135" s="127"/>
      <c r="FY135" s="127"/>
      <c r="FZ135" s="127"/>
      <c r="GA135" s="127"/>
      <c r="GB135" s="127"/>
      <c r="GC135" s="127"/>
      <c r="GD135" s="127"/>
      <c r="GE135" s="127"/>
      <c r="GF135" s="127"/>
      <c r="GG135" s="127"/>
      <c r="GH135" s="127"/>
      <c r="GI135" s="127"/>
      <c r="GJ135" s="127"/>
      <c r="GK135" s="127"/>
      <c r="GL135" s="127"/>
      <c r="GM135" s="127"/>
      <c r="GN135" s="127"/>
      <c r="GO135" s="127"/>
      <c r="GP135" s="127"/>
      <c r="GQ135" s="127"/>
      <c r="GR135" s="127"/>
      <c r="GS135" s="127"/>
      <c r="GT135" s="127"/>
      <c r="GU135" s="127"/>
      <c r="GV135" s="127"/>
      <c r="GW135" s="127"/>
      <c r="GX135" s="127"/>
      <c r="GY135" s="127"/>
      <c r="GZ135" s="127"/>
      <c r="HA135" s="127"/>
      <c r="HB135" s="127"/>
      <c r="HC135" s="127"/>
      <c r="HD135" s="127"/>
      <c r="HE135" s="127"/>
      <c r="HF135" s="127"/>
      <c r="HG135" s="127"/>
      <c r="HH135" s="127"/>
      <c r="HI135" s="127"/>
      <c r="HJ135" s="127"/>
      <c r="HK135" s="127"/>
      <c r="HL135" s="127"/>
      <c r="HM135" s="127"/>
      <c r="HN135" s="127"/>
      <c r="HO135" s="127"/>
      <c r="HP135" s="127"/>
      <c r="HQ135" s="127"/>
      <c r="HR135" s="127"/>
      <c r="HS135" s="127"/>
      <c r="HT135" s="127"/>
      <c r="HU135" s="127"/>
      <c r="HV135" s="127"/>
      <c r="HW135" s="127"/>
      <c r="HX135" s="127"/>
      <c r="HY135" s="127"/>
      <c r="HZ135" s="127"/>
      <c r="IA135" s="127"/>
      <c r="IB135" s="127"/>
      <c r="IC135" s="127"/>
      <c r="ID135" s="127"/>
      <c r="IE135" s="127"/>
      <c r="IF135" s="127"/>
      <c r="IG135" s="127"/>
      <c r="IH135" s="127"/>
      <c r="II135" s="127"/>
      <c r="IJ135" s="127"/>
      <c r="IK135" s="127"/>
      <c r="IL135" s="127"/>
      <c r="IM135" s="127"/>
      <c r="IN135" s="127"/>
      <c r="IO135" s="127"/>
      <c r="IP135" s="127"/>
      <c r="IQ135" s="127"/>
      <c r="IR135" s="127"/>
      <c r="IS135" s="127"/>
      <c r="IT135" s="127"/>
      <c r="IU135" s="127"/>
      <c r="IV135" s="127"/>
    </row>
    <row r="136" spans="1:256" s="122" customFormat="1" x14ac:dyDescent="0.25">
      <c r="A136" s="130"/>
      <c r="B136" s="131"/>
      <c r="C136" s="148"/>
      <c r="D136" s="127"/>
      <c r="F136" s="131"/>
      <c r="G136" s="131"/>
      <c r="H136" s="131"/>
      <c r="I136" s="131"/>
      <c r="J136" s="131"/>
      <c r="K136" s="313"/>
      <c r="L136" s="131"/>
      <c r="N136" s="127"/>
      <c r="O136" s="127"/>
      <c r="P136" s="127"/>
      <c r="Q136" s="127"/>
      <c r="R136" s="127"/>
      <c r="S136" s="127"/>
      <c r="T136" s="127"/>
      <c r="U136" s="127"/>
      <c r="V136" s="127"/>
      <c r="W136" s="127"/>
      <c r="X136" s="127"/>
      <c r="Y136" s="127"/>
      <c r="Z136" s="127"/>
      <c r="AA136" s="127"/>
      <c r="AB136" s="127"/>
      <c r="AC136" s="127"/>
      <c r="AD136" s="127"/>
      <c r="AE136" s="127"/>
      <c r="AF136" s="127"/>
      <c r="AG136" s="127"/>
      <c r="AH136" s="127"/>
      <c r="AI136" s="127"/>
      <c r="AJ136" s="127"/>
      <c r="AK136" s="127"/>
      <c r="AL136" s="127"/>
      <c r="AM136" s="127"/>
      <c r="AN136" s="127"/>
      <c r="AO136" s="127"/>
      <c r="AP136" s="127"/>
      <c r="AQ136" s="127"/>
      <c r="AR136" s="127"/>
      <c r="AS136" s="127"/>
      <c r="AT136" s="127"/>
      <c r="AU136" s="127"/>
      <c r="AV136" s="127"/>
      <c r="AW136" s="127"/>
      <c r="AX136" s="127"/>
      <c r="AY136" s="127"/>
      <c r="AZ136" s="127"/>
      <c r="BA136" s="127"/>
      <c r="BB136" s="127"/>
      <c r="BC136" s="127"/>
      <c r="BD136" s="127"/>
      <c r="BE136" s="127"/>
      <c r="BF136" s="127"/>
      <c r="BG136" s="127"/>
      <c r="BH136" s="127"/>
      <c r="BI136" s="127"/>
      <c r="BJ136" s="127"/>
      <c r="BK136" s="127"/>
      <c r="BL136" s="127"/>
      <c r="BM136" s="127"/>
      <c r="BN136" s="127"/>
      <c r="BO136" s="127"/>
      <c r="BP136" s="127"/>
      <c r="BQ136" s="127"/>
      <c r="BR136" s="127"/>
      <c r="BS136" s="127"/>
      <c r="BT136" s="127"/>
      <c r="BU136" s="127"/>
      <c r="BV136" s="127"/>
      <c r="BW136" s="127"/>
      <c r="BX136" s="127"/>
      <c r="BY136" s="127"/>
      <c r="BZ136" s="127"/>
      <c r="CA136" s="127"/>
      <c r="CB136" s="127"/>
      <c r="CC136" s="127"/>
      <c r="CD136" s="127"/>
      <c r="CE136" s="127"/>
      <c r="CF136" s="127"/>
      <c r="CG136" s="127"/>
      <c r="CH136" s="127"/>
      <c r="CI136" s="127"/>
      <c r="CJ136" s="127"/>
      <c r="CK136" s="127"/>
      <c r="CL136" s="127"/>
      <c r="CM136" s="127"/>
      <c r="CN136" s="127"/>
      <c r="CO136" s="127"/>
      <c r="CP136" s="127"/>
      <c r="CQ136" s="127"/>
      <c r="CR136" s="127"/>
      <c r="CS136" s="127"/>
      <c r="CT136" s="127"/>
      <c r="CU136" s="127"/>
      <c r="CV136" s="127"/>
      <c r="CW136" s="127"/>
      <c r="CX136" s="127"/>
      <c r="CY136" s="127"/>
      <c r="CZ136" s="127"/>
      <c r="DA136" s="127"/>
      <c r="DB136" s="127"/>
      <c r="DC136" s="127"/>
      <c r="DD136" s="127"/>
      <c r="DE136" s="127"/>
      <c r="DF136" s="127"/>
      <c r="DG136" s="127"/>
      <c r="DH136" s="127"/>
      <c r="DI136" s="127"/>
      <c r="DJ136" s="127"/>
      <c r="DK136" s="127"/>
      <c r="DL136" s="127"/>
      <c r="DM136" s="127"/>
      <c r="DN136" s="127"/>
      <c r="DO136" s="127"/>
      <c r="DP136" s="127"/>
      <c r="DQ136" s="127"/>
      <c r="DR136" s="127"/>
      <c r="DS136" s="127"/>
      <c r="DT136" s="127"/>
      <c r="DU136" s="127"/>
      <c r="DV136" s="127"/>
      <c r="DW136" s="127"/>
      <c r="DX136" s="127"/>
      <c r="DY136" s="127"/>
      <c r="DZ136" s="127"/>
      <c r="EA136" s="127"/>
      <c r="EB136" s="127"/>
      <c r="EC136" s="127"/>
      <c r="ED136" s="127"/>
      <c r="EE136" s="127"/>
      <c r="EF136" s="127"/>
      <c r="EG136" s="127"/>
      <c r="EH136" s="127"/>
      <c r="EI136" s="127"/>
      <c r="EJ136" s="127"/>
      <c r="EK136" s="127"/>
      <c r="EL136" s="127"/>
      <c r="EM136" s="127"/>
      <c r="EN136" s="127"/>
      <c r="EO136" s="127"/>
      <c r="EP136" s="127"/>
      <c r="EQ136" s="127"/>
      <c r="ER136" s="127"/>
      <c r="ES136" s="127"/>
      <c r="ET136" s="127"/>
      <c r="EU136" s="127"/>
      <c r="EV136" s="127"/>
      <c r="EW136" s="127"/>
      <c r="EX136" s="127"/>
      <c r="EY136" s="127"/>
      <c r="EZ136" s="127"/>
      <c r="FA136" s="127"/>
      <c r="FB136" s="127"/>
      <c r="FC136" s="127"/>
      <c r="FD136" s="127"/>
      <c r="FE136" s="127"/>
      <c r="FF136" s="127"/>
      <c r="FG136" s="127"/>
      <c r="FH136" s="127"/>
      <c r="FI136" s="127"/>
      <c r="FJ136" s="127"/>
      <c r="FK136" s="127"/>
      <c r="FL136" s="127"/>
      <c r="FM136" s="127"/>
      <c r="FN136" s="127"/>
      <c r="FO136" s="127"/>
      <c r="FP136" s="127"/>
      <c r="FQ136" s="127"/>
      <c r="FR136" s="127"/>
      <c r="FS136" s="127"/>
      <c r="FT136" s="127"/>
      <c r="FU136" s="127"/>
      <c r="FV136" s="127"/>
      <c r="FW136" s="127"/>
      <c r="FX136" s="127"/>
      <c r="FY136" s="127"/>
      <c r="FZ136" s="127"/>
      <c r="GA136" s="127"/>
      <c r="GB136" s="127"/>
      <c r="GC136" s="127"/>
      <c r="GD136" s="127"/>
      <c r="GE136" s="127"/>
      <c r="GF136" s="127"/>
      <c r="GG136" s="127"/>
      <c r="GH136" s="127"/>
      <c r="GI136" s="127"/>
      <c r="GJ136" s="127"/>
      <c r="GK136" s="127"/>
      <c r="GL136" s="127"/>
      <c r="GM136" s="127"/>
      <c r="GN136" s="127"/>
      <c r="GO136" s="127"/>
      <c r="GP136" s="127"/>
      <c r="GQ136" s="127"/>
      <c r="GR136" s="127"/>
      <c r="GS136" s="127"/>
      <c r="GT136" s="127"/>
      <c r="GU136" s="127"/>
      <c r="GV136" s="127"/>
      <c r="GW136" s="127"/>
      <c r="GX136" s="127"/>
      <c r="GY136" s="127"/>
      <c r="GZ136" s="127"/>
      <c r="HA136" s="127"/>
      <c r="HB136" s="127"/>
      <c r="HC136" s="127"/>
      <c r="HD136" s="127"/>
      <c r="HE136" s="127"/>
      <c r="HF136" s="127"/>
      <c r="HG136" s="127"/>
      <c r="HH136" s="127"/>
      <c r="HI136" s="127"/>
      <c r="HJ136" s="127"/>
      <c r="HK136" s="127"/>
      <c r="HL136" s="127"/>
      <c r="HM136" s="127"/>
      <c r="HN136" s="127"/>
      <c r="HO136" s="127"/>
      <c r="HP136" s="127"/>
      <c r="HQ136" s="127"/>
      <c r="HR136" s="127"/>
      <c r="HS136" s="127"/>
      <c r="HT136" s="127"/>
      <c r="HU136" s="127"/>
      <c r="HV136" s="127"/>
      <c r="HW136" s="127"/>
      <c r="HX136" s="127"/>
      <c r="HY136" s="127"/>
      <c r="HZ136" s="127"/>
      <c r="IA136" s="127"/>
      <c r="IB136" s="127"/>
      <c r="IC136" s="127"/>
      <c r="ID136" s="127"/>
      <c r="IE136" s="127"/>
      <c r="IF136" s="127"/>
      <c r="IG136" s="127"/>
      <c r="IH136" s="127"/>
      <c r="II136" s="127"/>
      <c r="IJ136" s="127"/>
      <c r="IK136" s="127"/>
      <c r="IL136" s="127"/>
      <c r="IM136" s="127"/>
      <c r="IN136" s="127"/>
      <c r="IO136" s="127"/>
      <c r="IP136" s="127"/>
      <c r="IQ136" s="127"/>
      <c r="IR136" s="127"/>
      <c r="IS136" s="127"/>
      <c r="IT136" s="127"/>
      <c r="IU136" s="127"/>
      <c r="IV136" s="127"/>
    </row>
    <row r="137" spans="1:256" s="122" customFormat="1" x14ac:dyDescent="0.25">
      <c r="A137" s="130"/>
      <c r="B137" s="131"/>
      <c r="C137" s="148"/>
      <c r="F137" s="131"/>
      <c r="G137" s="131"/>
      <c r="H137" s="131"/>
      <c r="I137" s="131"/>
      <c r="J137" s="131"/>
      <c r="K137" s="313"/>
      <c r="L137" s="131"/>
      <c r="N137" s="127"/>
      <c r="O137" s="127"/>
      <c r="P137" s="127"/>
      <c r="Q137" s="127"/>
      <c r="R137" s="127"/>
    </row>
    <row r="138" spans="1:256" s="122" customFormat="1" ht="15" customHeight="1" x14ac:dyDescent="0.25">
      <c r="A138" s="130"/>
      <c r="B138" s="131"/>
      <c r="C138" s="148"/>
      <c r="F138" s="131"/>
      <c r="G138" s="131"/>
      <c r="H138" s="131"/>
      <c r="I138" s="131"/>
      <c r="J138" s="131"/>
      <c r="K138" s="313"/>
      <c r="L138" s="131"/>
      <c r="N138" s="127"/>
      <c r="O138" s="127"/>
      <c r="P138" s="127"/>
      <c r="Q138" s="127"/>
      <c r="R138" s="127"/>
    </row>
    <row r="139" spans="1:256" s="122" customFormat="1" x14ac:dyDescent="0.25">
      <c r="A139" s="130"/>
      <c r="B139" s="131"/>
      <c r="C139" s="148"/>
      <c r="F139" s="131"/>
      <c r="G139" s="131"/>
      <c r="H139" s="131"/>
      <c r="I139" s="131"/>
      <c r="J139" s="131"/>
      <c r="K139" s="313"/>
      <c r="L139" s="131"/>
      <c r="N139" s="127"/>
      <c r="O139" s="127"/>
      <c r="P139" s="127"/>
      <c r="Q139" s="127"/>
      <c r="R139" s="127"/>
    </row>
    <row r="140" spans="1:256" s="122" customFormat="1" x14ac:dyDescent="0.25">
      <c r="A140" s="130"/>
      <c r="B140" s="125"/>
      <c r="C140" s="125"/>
      <c r="E140" s="127"/>
      <c r="F140" s="125"/>
      <c r="G140" s="125"/>
      <c r="H140" s="125"/>
      <c r="I140" s="125"/>
      <c r="J140" s="125"/>
      <c r="K140" s="313"/>
      <c r="L140" s="125"/>
      <c r="M140" s="127"/>
    </row>
    <row r="141" spans="1:256" s="122" customFormat="1" x14ac:dyDescent="0.25">
      <c r="A141" s="130"/>
      <c r="B141" s="125"/>
      <c r="C141" s="125"/>
      <c r="D141" s="127"/>
      <c r="E141" s="127"/>
      <c r="F141" s="125"/>
      <c r="G141" s="125"/>
      <c r="H141" s="125"/>
      <c r="I141" s="125"/>
      <c r="J141" s="125"/>
      <c r="K141" s="313"/>
      <c r="L141" s="125"/>
      <c r="M141" s="127"/>
      <c r="S141" s="127"/>
      <c r="T141" s="127"/>
      <c r="U141" s="127"/>
      <c r="V141" s="127"/>
      <c r="W141" s="127"/>
      <c r="X141" s="127"/>
      <c r="Y141" s="127"/>
      <c r="Z141" s="127"/>
      <c r="AA141" s="127"/>
      <c r="AB141" s="127"/>
      <c r="AC141" s="127"/>
      <c r="AD141" s="127"/>
      <c r="AE141" s="127"/>
      <c r="AF141" s="127"/>
      <c r="AG141" s="127"/>
      <c r="AH141" s="127"/>
      <c r="AI141" s="127"/>
      <c r="AJ141" s="127"/>
      <c r="AK141" s="127"/>
      <c r="AL141" s="127"/>
      <c r="AM141" s="127"/>
      <c r="AN141" s="127"/>
      <c r="AO141" s="127"/>
      <c r="AP141" s="127"/>
      <c r="AQ141" s="127"/>
      <c r="AR141" s="127"/>
      <c r="AS141" s="127"/>
      <c r="AT141" s="127"/>
      <c r="AU141" s="127"/>
      <c r="AV141" s="127"/>
      <c r="AW141" s="127"/>
      <c r="AX141" s="127"/>
      <c r="AY141" s="127"/>
      <c r="AZ141" s="127"/>
      <c r="BA141" s="127"/>
      <c r="BB141" s="127"/>
      <c r="BC141" s="127"/>
      <c r="BD141" s="127"/>
      <c r="BE141" s="127"/>
      <c r="BF141" s="127"/>
      <c r="BG141" s="127"/>
      <c r="BH141" s="127"/>
      <c r="BI141" s="127"/>
      <c r="BJ141" s="127"/>
      <c r="BK141" s="127"/>
      <c r="BL141" s="127"/>
      <c r="BM141" s="127"/>
      <c r="BN141" s="127"/>
      <c r="BO141" s="127"/>
      <c r="BP141" s="127"/>
      <c r="BQ141" s="127"/>
      <c r="BR141" s="127"/>
      <c r="BS141" s="127"/>
      <c r="BT141" s="127"/>
      <c r="BU141" s="127"/>
      <c r="BV141" s="127"/>
      <c r="BW141" s="127"/>
      <c r="BX141" s="127"/>
      <c r="BY141" s="127"/>
      <c r="BZ141" s="127"/>
      <c r="CA141" s="127"/>
      <c r="CB141" s="127"/>
      <c r="CC141" s="127"/>
      <c r="CD141" s="127"/>
      <c r="CE141" s="127"/>
      <c r="CF141" s="127"/>
      <c r="CG141" s="127"/>
      <c r="CH141" s="127"/>
      <c r="CI141" s="127"/>
      <c r="CJ141" s="127"/>
      <c r="CK141" s="127"/>
      <c r="CL141" s="127"/>
      <c r="CM141" s="127"/>
      <c r="CN141" s="127"/>
      <c r="CO141" s="127"/>
      <c r="CP141" s="127"/>
      <c r="CQ141" s="127"/>
      <c r="CR141" s="127"/>
      <c r="CS141" s="127"/>
      <c r="CT141" s="127"/>
      <c r="CU141" s="127"/>
      <c r="CV141" s="127"/>
      <c r="CW141" s="127"/>
      <c r="CX141" s="127"/>
      <c r="CY141" s="127"/>
      <c r="CZ141" s="127"/>
      <c r="DA141" s="127"/>
      <c r="DB141" s="127"/>
      <c r="DC141" s="127"/>
      <c r="DD141" s="127"/>
      <c r="DE141" s="127"/>
      <c r="DF141" s="127"/>
      <c r="DG141" s="127"/>
      <c r="DH141" s="127"/>
      <c r="DI141" s="127"/>
      <c r="DJ141" s="127"/>
      <c r="DK141" s="127"/>
      <c r="DL141" s="127"/>
      <c r="DM141" s="127"/>
      <c r="DN141" s="127"/>
      <c r="DO141" s="127"/>
      <c r="DP141" s="127"/>
      <c r="DQ141" s="127"/>
      <c r="DR141" s="127"/>
      <c r="DS141" s="127"/>
      <c r="DT141" s="127"/>
      <c r="DU141" s="127"/>
      <c r="DV141" s="127"/>
      <c r="DW141" s="127"/>
      <c r="DX141" s="127"/>
      <c r="DY141" s="127"/>
      <c r="DZ141" s="127"/>
      <c r="EA141" s="127"/>
      <c r="EB141" s="127"/>
      <c r="EC141" s="127"/>
      <c r="ED141" s="127"/>
      <c r="EE141" s="127"/>
      <c r="EF141" s="127"/>
      <c r="EG141" s="127"/>
      <c r="EH141" s="127"/>
      <c r="EI141" s="127"/>
      <c r="EJ141" s="127"/>
      <c r="EK141" s="127"/>
      <c r="EL141" s="127"/>
      <c r="EM141" s="127"/>
      <c r="EN141" s="127"/>
      <c r="EO141" s="127"/>
      <c r="EP141" s="127"/>
      <c r="EQ141" s="127"/>
      <c r="ER141" s="127"/>
      <c r="ES141" s="127"/>
      <c r="ET141" s="127"/>
      <c r="EU141" s="127"/>
      <c r="EV141" s="127"/>
      <c r="EW141" s="127"/>
      <c r="EX141" s="127"/>
      <c r="EY141" s="127"/>
      <c r="EZ141" s="127"/>
      <c r="FA141" s="127"/>
      <c r="FB141" s="127"/>
      <c r="FC141" s="127"/>
      <c r="FD141" s="127"/>
      <c r="FE141" s="127"/>
      <c r="FF141" s="127"/>
      <c r="FG141" s="127"/>
      <c r="FH141" s="127"/>
      <c r="FI141" s="127"/>
      <c r="FJ141" s="127"/>
      <c r="FK141" s="127"/>
      <c r="FL141" s="127"/>
      <c r="FM141" s="127"/>
      <c r="FN141" s="127"/>
      <c r="FO141" s="127"/>
      <c r="FP141" s="127"/>
      <c r="FQ141" s="127"/>
      <c r="FR141" s="127"/>
      <c r="FS141" s="127"/>
      <c r="FT141" s="127"/>
      <c r="FU141" s="127"/>
      <c r="FV141" s="127"/>
      <c r="FW141" s="127"/>
      <c r="FX141" s="127"/>
      <c r="FY141" s="127"/>
      <c r="FZ141" s="127"/>
      <c r="GA141" s="127"/>
      <c r="GB141" s="127"/>
      <c r="GC141" s="127"/>
      <c r="GD141" s="127"/>
      <c r="GE141" s="127"/>
      <c r="GF141" s="127"/>
      <c r="GG141" s="127"/>
      <c r="GH141" s="127"/>
      <c r="GI141" s="127"/>
      <c r="GJ141" s="127"/>
      <c r="GK141" s="127"/>
      <c r="GL141" s="127"/>
      <c r="GM141" s="127"/>
      <c r="GN141" s="127"/>
      <c r="GO141" s="127"/>
      <c r="GP141" s="127"/>
      <c r="GQ141" s="127"/>
      <c r="GR141" s="127"/>
      <c r="GS141" s="127"/>
      <c r="GT141" s="127"/>
      <c r="GU141" s="127"/>
      <c r="GV141" s="127"/>
      <c r="GW141" s="127"/>
      <c r="GX141" s="127"/>
      <c r="GY141" s="127"/>
      <c r="GZ141" s="127"/>
      <c r="HA141" s="127"/>
      <c r="HB141" s="127"/>
      <c r="HC141" s="127"/>
      <c r="HD141" s="127"/>
      <c r="HE141" s="127"/>
      <c r="HF141" s="127"/>
      <c r="HG141" s="127"/>
      <c r="HH141" s="127"/>
      <c r="HI141" s="127"/>
      <c r="HJ141" s="127"/>
      <c r="HK141" s="127"/>
      <c r="HL141" s="127"/>
      <c r="HM141" s="127"/>
      <c r="HN141" s="127"/>
      <c r="HO141" s="127"/>
      <c r="HP141" s="127"/>
      <c r="HQ141" s="127"/>
      <c r="HR141" s="127"/>
      <c r="HS141" s="127"/>
      <c r="HT141" s="127"/>
      <c r="HU141" s="127"/>
      <c r="HV141" s="127"/>
      <c r="HW141" s="127"/>
      <c r="HX141" s="127"/>
      <c r="HY141" s="127"/>
      <c r="HZ141" s="127"/>
      <c r="IA141" s="127"/>
      <c r="IB141" s="127"/>
      <c r="IC141" s="127"/>
      <c r="ID141" s="127"/>
      <c r="IE141" s="127"/>
      <c r="IF141" s="127"/>
      <c r="IG141" s="127"/>
      <c r="IH141" s="127"/>
      <c r="II141" s="127"/>
      <c r="IJ141" s="127"/>
      <c r="IK141" s="127"/>
      <c r="IL141" s="127"/>
      <c r="IM141" s="127"/>
      <c r="IN141" s="127"/>
      <c r="IO141" s="127"/>
      <c r="IP141" s="127"/>
      <c r="IQ141" s="127"/>
      <c r="IR141" s="127"/>
      <c r="IS141" s="127"/>
      <c r="IT141" s="127"/>
      <c r="IU141" s="127"/>
      <c r="IV141" s="127"/>
    </row>
    <row r="142" spans="1:256" s="122" customFormat="1" x14ac:dyDescent="0.25">
      <c r="A142" s="130"/>
      <c r="B142" s="125"/>
      <c r="C142" s="125"/>
      <c r="D142" s="127"/>
      <c r="E142" s="127"/>
      <c r="F142" s="125"/>
      <c r="G142" s="125"/>
      <c r="H142" s="125"/>
      <c r="I142" s="125"/>
      <c r="J142" s="125"/>
      <c r="K142" s="313"/>
      <c r="L142" s="125"/>
      <c r="M142" s="127"/>
      <c r="S142" s="127"/>
      <c r="T142" s="127"/>
      <c r="U142" s="127"/>
      <c r="V142" s="127"/>
      <c r="W142" s="127"/>
      <c r="X142" s="127"/>
      <c r="Y142" s="127"/>
      <c r="Z142" s="127"/>
      <c r="AA142" s="127"/>
      <c r="AB142" s="127"/>
      <c r="AC142" s="127"/>
      <c r="AD142" s="127"/>
      <c r="AE142" s="127"/>
      <c r="AF142" s="127"/>
      <c r="AG142" s="127"/>
      <c r="AH142" s="127"/>
      <c r="AI142" s="127"/>
      <c r="AJ142" s="127"/>
      <c r="AK142" s="127"/>
      <c r="AL142" s="127"/>
      <c r="AM142" s="127"/>
      <c r="AN142" s="127"/>
      <c r="AO142" s="127"/>
      <c r="AP142" s="127"/>
      <c r="AQ142" s="127"/>
      <c r="AR142" s="127"/>
      <c r="AS142" s="127"/>
      <c r="AT142" s="127"/>
      <c r="AU142" s="127"/>
      <c r="AV142" s="127"/>
      <c r="AW142" s="127"/>
      <c r="AX142" s="127"/>
      <c r="AY142" s="127"/>
      <c r="AZ142" s="127"/>
      <c r="BA142" s="127"/>
      <c r="BB142" s="127"/>
      <c r="BC142" s="127"/>
      <c r="BD142" s="127"/>
      <c r="BE142" s="127"/>
      <c r="BF142" s="127"/>
      <c r="BG142" s="127"/>
      <c r="BH142" s="127"/>
      <c r="BI142" s="127"/>
      <c r="BJ142" s="127"/>
      <c r="BK142" s="127"/>
      <c r="BL142" s="127"/>
      <c r="BM142" s="127"/>
      <c r="BN142" s="127"/>
      <c r="BO142" s="127"/>
      <c r="BP142" s="127"/>
      <c r="BQ142" s="127"/>
      <c r="BR142" s="127"/>
      <c r="BS142" s="127"/>
      <c r="BT142" s="127"/>
      <c r="BU142" s="127"/>
      <c r="BV142" s="127"/>
      <c r="BW142" s="127"/>
      <c r="BX142" s="127"/>
      <c r="BY142" s="127"/>
      <c r="BZ142" s="127"/>
      <c r="CA142" s="127"/>
      <c r="CB142" s="127"/>
      <c r="CC142" s="127"/>
      <c r="CD142" s="127"/>
      <c r="CE142" s="127"/>
      <c r="CF142" s="127"/>
      <c r="CG142" s="127"/>
      <c r="CH142" s="127"/>
      <c r="CI142" s="127"/>
      <c r="CJ142" s="127"/>
      <c r="CK142" s="127"/>
      <c r="CL142" s="127"/>
      <c r="CM142" s="127"/>
      <c r="CN142" s="127"/>
      <c r="CO142" s="127"/>
      <c r="CP142" s="127"/>
      <c r="CQ142" s="127"/>
      <c r="CR142" s="127"/>
      <c r="CS142" s="127"/>
      <c r="CT142" s="127"/>
      <c r="CU142" s="127"/>
      <c r="CV142" s="127"/>
      <c r="CW142" s="127"/>
      <c r="CX142" s="127"/>
      <c r="CY142" s="127"/>
      <c r="CZ142" s="127"/>
      <c r="DA142" s="127"/>
      <c r="DB142" s="127"/>
      <c r="DC142" s="127"/>
      <c r="DD142" s="127"/>
      <c r="DE142" s="127"/>
      <c r="DF142" s="127"/>
      <c r="DG142" s="127"/>
      <c r="DH142" s="127"/>
      <c r="DI142" s="127"/>
      <c r="DJ142" s="127"/>
      <c r="DK142" s="127"/>
      <c r="DL142" s="127"/>
      <c r="DM142" s="127"/>
      <c r="DN142" s="127"/>
      <c r="DO142" s="127"/>
      <c r="DP142" s="127"/>
      <c r="DQ142" s="127"/>
      <c r="DR142" s="127"/>
      <c r="DS142" s="127"/>
      <c r="DT142" s="127"/>
      <c r="DU142" s="127"/>
      <c r="DV142" s="127"/>
      <c r="DW142" s="127"/>
      <c r="DX142" s="127"/>
      <c r="DY142" s="127"/>
      <c r="DZ142" s="127"/>
      <c r="EA142" s="127"/>
      <c r="EB142" s="127"/>
      <c r="EC142" s="127"/>
      <c r="ED142" s="127"/>
      <c r="EE142" s="127"/>
      <c r="EF142" s="127"/>
      <c r="EG142" s="127"/>
      <c r="EH142" s="127"/>
      <c r="EI142" s="127"/>
      <c r="EJ142" s="127"/>
      <c r="EK142" s="127"/>
      <c r="EL142" s="127"/>
      <c r="EM142" s="127"/>
      <c r="EN142" s="127"/>
      <c r="EO142" s="127"/>
      <c r="EP142" s="127"/>
      <c r="EQ142" s="127"/>
      <c r="ER142" s="127"/>
      <c r="ES142" s="127"/>
      <c r="ET142" s="127"/>
      <c r="EU142" s="127"/>
      <c r="EV142" s="127"/>
      <c r="EW142" s="127"/>
      <c r="EX142" s="127"/>
      <c r="EY142" s="127"/>
      <c r="EZ142" s="127"/>
      <c r="FA142" s="127"/>
      <c r="FB142" s="127"/>
      <c r="FC142" s="127"/>
      <c r="FD142" s="127"/>
      <c r="FE142" s="127"/>
      <c r="FF142" s="127"/>
      <c r="FG142" s="127"/>
      <c r="FH142" s="127"/>
      <c r="FI142" s="127"/>
      <c r="FJ142" s="127"/>
      <c r="FK142" s="127"/>
      <c r="FL142" s="127"/>
      <c r="FM142" s="127"/>
      <c r="FN142" s="127"/>
      <c r="FO142" s="127"/>
      <c r="FP142" s="127"/>
      <c r="FQ142" s="127"/>
      <c r="FR142" s="127"/>
      <c r="FS142" s="127"/>
      <c r="FT142" s="127"/>
      <c r="FU142" s="127"/>
      <c r="FV142" s="127"/>
      <c r="FW142" s="127"/>
      <c r="FX142" s="127"/>
      <c r="FY142" s="127"/>
      <c r="FZ142" s="127"/>
      <c r="GA142" s="127"/>
      <c r="GB142" s="127"/>
      <c r="GC142" s="127"/>
      <c r="GD142" s="127"/>
      <c r="GE142" s="127"/>
      <c r="GF142" s="127"/>
      <c r="GG142" s="127"/>
      <c r="GH142" s="127"/>
      <c r="GI142" s="127"/>
      <c r="GJ142" s="127"/>
      <c r="GK142" s="127"/>
      <c r="GL142" s="127"/>
      <c r="GM142" s="127"/>
      <c r="GN142" s="127"/>
      <c r="GO142" s="127"/>
      <c r="GP142" s="127"/>
      <c r="GQ142" s="127"/>
      <c r="GR142" s="127"/>
      <c r="GS142" s="127"/>
      <c r="GT142" s="127"/>
      <c r="GU142" s="127"/>
      <c r="GV142" s="127"/>
      <c r="GW142" s="127"/>
      <c r="GX142" s="127"/>
      <c r="GY142" s="127"/>
      <c r="GZ142" s="127"/>
      <c r="HA142" s="127"/>
      <c r="HB142" s="127"/>
      <c r="HC142" s="127"/>
      <c r="HD142" s="127"/>
      <c r="HE142" s="127"/>
      <c r="HF142" s="127"/>
      <c r="HG142" s="127"/>
      <c r="HH142" s="127"/>
      <c r="HI142" s="127"/>
      <c r="HJ142" s="127"/>
      <c r="HK142" s="127"/>
      <c r="HL142" s="127"/>
      <c r="HM142" s="127"/>
      <c r="HN142" s="127"/>
      <c r="HO142" s="127"/>
      <c r="HP142" s="127"/>
      <c r="HQ142" s="127"/>
      <c r="HR142" s="127"/>
      <c r="HS142" s="127"/>
      <c r="HT142" s="127"/>
      <c r="HU142" s="127"/>
      <c r="HV142" s="127"/>
      <c r="HW142" s="127"/>
      <c r="HX142" s="127"/>
      <c r="HY142" s="127"/>
      <c r="HZ142" s="127"/>
      <c r="IA142" s="127"/>
      <c r="IB142" s="127"/>
      <c r="IC142" s="127"/>
      <c r="ID142" s="127"/>
      <c r="IE142" s="127"/>
      <c r="IF142" s="127"/>
      <c r="IG142" s="127"/>
      <c r="IH142" s="127"/>
      <c r="II142" s="127"/>
      <c r="IJ142" s="127"/>
      <c r="IK142" s="127"/>
      <c r="IL142" s="127"/>
      <c r="IM142" s="127"/>
      <c r="IN142" s="127"/>
      <c r="IO142" s="127"/>
      <c r="IP142" s="127"/>
      <c r="IQ142" s="127"/>
      <c r="IR142" s="127"/>
      <c r="IS142" s="127"/>
      <c r="IT142" s="127"/>
      <c r="IU142" s="127"/>
      <c r="IV142" s="127"/>
    </row>
    <row r="143" spans="1:256" s="122" customFormat="1" x14ac:dyDescent="0.25">
      <c r="A143" s="130"/>
      <c r="B143" s="125"/>
      <c r="C143" s="125"/>
      <c r="D143" s="127"/>
      <c r="E143" s="127"/>
      <c r="F143" s="125"/>
      <c r="G143" s="125"/>
      <c r="H143" s="125"/>
      <c r="I143" s="125"/>
      <c r="J143" s="125"/>
      <c r="K143" s="313"/>
      <c r="L143" s="125"/>
      <c r="M143" s="127"/>
      <c r="S143" s="127"/>
      <c r="T143" s="127"/>
      <c r="U143" s="127"/>
      <c r="V143" s="127"/>
      <c r="W143" s="127"/>
      <c r="X143" s="127"/>
      <c r="Y143" s="127"/>
      <c r="Z143" s="127"/>
      <c r="AA143" s="127"/>
      <c r="AB143" s="127"/>
      <c r="AC143" s="127"/>
      <c r="AD143" s="127"/>
      <c r="AE143" s="127"/>
      <c r="AF143" s="127"/>
      <c r="AG143" s="127"/>
      <c r="AH143" s="127"/>
      <c r="AI143" s="127"/>
      <c r="AJ143" s="127"/>
      <c r="AK143" s="127"/>
      <c r="AL143" s="127"/>
      <c r="AM143" s="127"/>
      <c r="AN143" s="127"/>
      <c r="AO143" s="127"/>
      <c r="AP143" s="127"/>
      <c r="AQ143" s="127"/>
      <c r="AR143" s="127"/>
      <c r="AS143" s="127"/>
      <c r="AT143" s="127"/>
      <c r="AU143" s="127"/>
      <c r="AV143" s="127"/>
      <c r="AW143" s="127"/>
      <c r="AX143" s="127"/>
      <c r="AY143" s="127"/>
      <c r="AZ143" s="127"/>
      <c r="BA143" s="127"/>
      <c r="BB143" s="127"/>
      <c r="BC143" s="127"/>
      <c r="BD143" s="127"/>
      <c r="BE143" s="127"/>
      <c r="BF143" s="127"/>
      <c r="BG143" s="127"/>
      <c r="BH143" s="127"/>
      <c r="BI143" s="127"/>
      <c r="BJ143" s="127"/>
      <c r="BK143" s="127"/>
      <c r="BL143" s="127"/>
      <c r="BM143" s="127"/>
      <c r="BN143" s="127"/>
      <c r="BO143" s="127"/>
      <c r="BP143" s="127"/>
      <c r="BQ143" s="127"/>
      <c r="BR143" s="127"/>
      <c r="BS143" s="127"/>
      <c r="BT143" s="127"/>
      <c r="BU143" s="127"/>
      <c r="BV143" s="127"/>
      <c r="BW143" s="127"/>
      <c r="BX143" s="127"/>
      <c r="BY143" s="127"/>
      <c r="BZ143" s="127"/>
      <c r="CA143" s="127"/>
      <c r="CB143" s="127"/>
      <c r="CC143" s="127"/>
      <c r="CD143" s="127"/>
      <c r="CE143" s="127"/>
      <c r="CF143" s="127"/>
      <c r="CG143" s="127"/>
      <c r="CH143" s="127"/>
      <c r="CI143" s="127"/>
      <c r="CJ143" s="127"/>
      <c r="CK143" s="127"/>
      <c r="CL143" s="127"/>
      <c r="CM143" s="127"/>
      <c r="CN143" s="127"/>
      <c r="CO143" s="127"/>
      <c r="CP143" s="127"/>
      <c r="CQ143" s="127"/>
      <c r="CR143" s="127"/>
      <c r="CS143" s="127"/>
      <c r="CT143" s="127"/>
      <c r="CU143" s="127"/>
      <c r="CV143" s="127"/>
      <c r="CW143" s="127"/>
      <c r="CX143" s="127"/>
      <c r="CY143" s="127"/>
      <c r="CZ143" s="127"/>
      <c r="DA143" s="127"/>
      <c r="DB143" s="127"/>
      <c r="DC143" s="127"/>
      <c r="DD143" s="127"/>
      <c r="DE143" s="127"/>
      <c r="DF143" s="127"/>
      <c r="DG143" s="127"/>
      <c r="DH143" s="127"/>
      <c r="DI143" s="127"/>
      <c r="DJ143" s="127"/>
      <c r="DK143" s="127"/>
      <c r="DL143" s="127"/>
      <c r="DM143" s="127"/>
      <c r="DN143" s="127"/>
      <c r="DO143" s="127"/>
      <c r="DP143" s="127"/>
      <c r="DQ143" s="127"/>
      <c r="DR143" s="127"/>
      <c r="DS143" s="127"/>
      <c r="DT143" s="127"/>
      <c r="DU143" s="127"/>
      <c r="DV143" s="127"/>
      <c r="DW143" s="127"/>
      <c r="DX143" s="127"/>
      <c r="DY143" s="127"/>
      <c r="DZ143" s="127"/>
      <c r="EA143" s="127"/>
      <c r="EB143" s="127"/>
      <c r="EC143" s="127"/>
      <c r="ED143" s="127"/>
      <c r="EE143" s="127"/>
      <c r="EF143" s="127"/>
      <c r="EG143" s="127"/>
      <c r="EH143" s="127"/>
      <c r="EI143" s="127"/>
      <c r="EJ143" s="127"/>
      <c r="EK143" s="127"/>
      <c r="EL143" s="127"/>
      <c r="EM143" s="127"/>
      <c r="EN143" s="127"/>
      <c r="EO143" s="127"/>
      <c r="EP143" s="127"/>
      <c r="EQ143" s="127"/>
      <c r="ER143" s="127"/>
      <c r="ES143" s="127"/>
      <c r="ET143" s="127"/>
      <c r="EU143" s="127"/>
      <c r="EV143" s="127"/>
      <c r="EW143" s="127"/>
      <c r="EX143" s="127"/>
      <c r="EY143" s="127"/>
      <c r="EZ143" s="127"/>
      <c r="FA143" s="127"/>
      <c r="FB143" s="127"/>
      <c r="FC143" s="127"/>
      <c r="FD143" s="127"/>
      <c r="FE143" s="127"/>
      <c r="FF143" s="127"/>
      <c r="FG143" s="127"/>
      <c r="FH143" s="127"/>
      <c r="FI143" s="127"/>
      <c r="FJ143" s="127"/>
      <c r="FK143" s="127"/>
      <c r="FL143" s="127"/>
      <c r="FM143" s="127"/>
      <c r="FN143" s="127"/>
      <c r="FO143" s="127"/>
      <c r="FP143" s="127"/>
      <c r="FQ143" s="127"/>
      <c r="FR143" s="127"/>
      <c r="FS143" s="127"/>
      <c r="FT143" s="127"/>
      <c r="FU143" s="127"/>
      <c r="FV143" s="127"/>
      <c r="FW143" s="127"/>
      <c r="FX143" s="127"/>
      <c r="FY143" s="127"/>
      <c r="FZ143" s="127"/>
      <c r="GA143" s="127"/>
      <c r="GB143" s="127"/>
      <c r="GC143" s="127"/>
      <c r="GD143" s="127"/>
      <c r="GE143" s="127"/>
      <c r="GF143" s="127"/>
      <c r="GG143" s="127"/>
      <c r="GH143" s="127"/>
      <c r="GI143" s="127"/>
      <c r="GJ143" s="127"/>
      <c r="GK143" s="127"/>
      <c r="GL143" s="127"/>
      <c r="GM143" s="127"/>
      <c r="GN143" s="127"/>
      <c r="GO143" s="127"/>
      <c r="GP143" s="127"/>
      <c r="GQ143" s="127"/>
      <c r="GR143" s="127"/>
      <c r="GS143" s="127"/>
      <c r="GT143" s="127"/>
      <c r="GU143" s="127"/>
      <c r="GV143" s="127"/>
      <c r="GW143" s="127"/>
      <c r="GX143" s="127"/>
      <c r="GY143" s="127"/>
      <c r="GZ143" s="127"/>
      <c r="HA143" s="127"/>
      <c r="HB143" s="127"/>
      <c r="HC143" s="127"/>
      <c r="HD143" s="127"/>
      <c r="HE143" s="127"/>
      <c r="HF143" s="127"/>
      <c r="HG143" s="127"/>
      <c r="HH143" s="127"/>
      <c r="HI143" s="127"/>
      <c r="HJ143" s="127"/>
      <c r="HK143" s="127"/>
      <c r="HL143" s="127"/>
      <c r="HM143" s="127"/>
      <c r="HN143" s="127"/>
      <c r="HO143" s="127"/>
      <c r="HP143" s="127"/>
      <c r="HQ143" s="127"/>
      <c r="HR143" s="127"/>
      <c r="HS143" s="127"/>
      <c r="HT143" s="127"/>
      <c r="HU143" s="127"/>
      <c r="HV143" s="127"/>
      <c r="HW143" s="127"/>
      <c r="HX143" s="127"/>
      <c r="HY143" s="127"/>
      <c r="HZ143" s="127"/>
      <c r="IA143" s="127"/>
      <c r="IB143" s="127"/>
      <c r="IC143" s="127"/>
      <c r="ID143" s="127"/>
      <c r="IE143" s="127"/>
      <c r="IF143" s="127"/>
      <c r="IG143" s="127"/>
      <c r="IH143" s="127"/>
      <c r="II143" s="127"/>
      <c r="IJ143" s="127"/>
      <c r="IK143" s="127"/>
      <c r="IL143" s="127"/>
      <c r="IM143" s="127"/>
      <c r="IN143" s="127"/>
      <c r="IO143" s="127"/>
      <c r="IP143" s="127"/>
      <c r="IQ143" s="127"/>
      <c r="IR143" s="127"/>
      <c r="IS143" s="127"/>
      <c r="IT143" s="127"/>
      <c r="IU143" s="127"/>
      <c r="IV143" s="127"/>
    </row>
    <row r="144" spans="1:256" s="122" customFormat="1" x14ac:dyDescent="0.25">
      <c r="A144" s="130"/>
      <c r="B144" s="131"/>
      <c r="C144" s="131"/>
      <c r="D144" s="127"/>
      <c r="F144" s="131"/>
      <c r="G144" s="131"/>
      <c r="H144" s="131"/>
      <c r="I144" s="131"/>
      <c r="J144" s="131"/>
      <c r="K144" s="217"/>
      <c r="L144" s="131"/>
      <c r="N144" s="127"/>
      <c r="O144" s="127"/>
      <c r="P144" s="127"/>
      <c r="Q144" s="127"/>
      <c r="R144" s="127"/>
      <c r="S144" s="127"/>
      <c r="T144" s="127"/>
      <c r="U144" s="127"/>
      <c r="V144" s="127"/>
      <c r="W144" s="127"/>
      <c r="X144" s="127"/>
      <c r="Y144" s="127"/>
      <c r="Z144" s="127"/>
      <c r="AA144" s="127"/>
      <c r="AB144" s="127"/>
      <c r="AC144" s="127"/>
      <c r="AD144" s="127"/>
      <c r="AE144" s="127"/>
      <c r="AF144" s="127"/>
      <c r="AG144" s="127"/>
      <c r="AH144" s="127"/>
      <c r="AI144" s="127"/>
      <c r="AJ144" s="127"/>
      <c r="AK144" s="127"/>
      <c r="AL144" s="127"/>
      <c r="AM144" s="127"/>
      <c r="AN144" s="127"/>
      <c r="AO144" s="127"/>
      <c r="AP144" s="127"/>
      <c r="AQ144" s="127"/>
      <c r="AR144" s="127"/>
      <c r="AS144" s="127"/>
      <c r="AT144" s="127"/>
      <c r="AU144" s="127"/>
      <c r="AV144" s="127"/>
      <c r="AW144" s="127"/>
      <c r="AX144" s="127"/>
      <c r="AY144" s="127"/>
      <c r="AZ144" s="127"/>
      <c r="BA144" s="127"/>
      <c r="BB144" s="127"/>
      <c r="BC144" s="127"/>
      <c r="BD144" s="127"/>
      <c r="BE144" s="127"/>
      <c r="BF144" s="127"/>
      <c r="BG144" s="127"/>
      <c r="BH144" s="127"/>
      <c r="BI144" s="127"/>
      <c r="BJ144" s="127"/>
      <c r="BK144" s="127"/>
      <c r="BL144" s="127"/>
      <c r="BM144" s="127"/>
      <c r="BN144" s="127"/>
      <c r="BO144" s="127"/>
      <c r="BP144" s="127"/>
      <c r="BQ144" s="127"/>
      <c r="BR144" s="127"/>
      <c r="BS144" s="127"/>
      <c r="BT144" s="127"/>
      <c r="BU144" s="127"/>
      <c r="BV144" s="127"/>
      <c r="BW144" s="127"/>
      <c r="BX144" s="127"/>
      <c r="BY144" s="127"/>
      <c r="BZ144" s="127"/>
      <c r="CA144" s="127"/>
      <c r="CB144" s="127"/>
      <c r="CC144" s="127"/>
      <c r="CD144" s="127"/>
      <c r="CE144" s="127"/>
      <c r="CF144" s="127"/>
      <c r="CG144" s="127"/>
      <c r="CH144" s="127"/>
      <c r="CI144" s="127"/>
      <c r="CJ144" s="127"/>
      <c r="CK144" s="127"/>
      <c r="CL144" s="127"/>
      <c r="CM144" s="127"/>
      <c r="CN144" s="127"/>
      <c r="CO144" s="127"/>
      <c r="CP144" s="127"/>
      <c r="CQ144" s="127"/>
      <c r="CR144" s="127"/>
      <c r="CS144" s="127"/>
      <c r="CT144" s="127"/>
      <c r="CU144" s="127"/>
      <c r="CV144" s="127"/>
      <c r="CW144" s="127"/>
      <c r="CX144" s="127"/>
      <c r="CY144" s="127"/>
      <c r="CZ144" s="127"/>
      <c r="DA144" s="127"/>
      <c r="DB144" s="127"/>
      <c r="DC144" s="127"/>
      <c r="DD144" s="127"/>
      <c r="DE144" s="127"/>
      <c r="DF144" s="127"/>
      <c r="DG144" s="127"/>
      <c r="DH144" s="127"/>
      <c r="DI144" s="127"/>
      <c r="DJ144" s="127"/>
      <c r="DK144" s="127"/>
      <c r="DL144" s="127"/>
      <c r="DM144" s="127"/>
      <c r="DN144" s="127"/>
      <c r="DO144" s="127"/>
      <c r="DP144" s="127"/>
      <c r="DQ144" s="127"/>
      <c r="DR144" s="127"/>
      <c r="DS144" s="127"/>
      <c r="DT144" s="127"/>
      <c r="DU144" s="127"/>
      <c r="DV144" s="127"/>
      <c r="DW144" s="127"/>
      <c r="DX144" s="127"/>
      <c r="DY144" s="127"/>
      <c r="DZ144" s="127"/>
      <c r="EA144" s="127"/>
      <c r="EB144" s="127"/>
      <c r="EC144" s="127"/>
      <c r="ED144" s="127"/>
      <c r="EE144" s="127"/>
      <c r="EF144" s="127"/>
      <c r="EG144" s="127"/>
      <c r="EH144" s="127"/>
      <c r="EI144" s="127"/>
      <c r="EJ144" s="127"/>
      <c r="EK144" s="127"/>
      <c r="EL144" s="127"/>
      <c r="EM144" s="127"/>
      <c r="EN144" s="127"/>
      <c r="EO144" s="127"/>
      <c r="EP144" s="127"/>
      <c r="EQ144" s="127"/>
      <c r="ER144" s="127"/>
      <c r="ES144" s="127"/>
      <c r="ET144" s="127"/>
      <c r="EU144" s="127"/>
      <c r="EV144" s="127"/>
      <c r="EW144" s="127"/>
      <c r="EX144" s="127"/>
      <c r="EY144" s="127"/>
      <c r="EZ144" s="127"/>
      <c r="FA144" s="127"/>
      <c r="FB144" s="127"/>
      <c r="FC144" s="127"/>
      <c r="FD144" s="127"/>
      <c r="FE144" s="127"/>
      <c r="FF144" s="127"/>
      <c r="FG144" s="127"/>
      <c r="FH144" s="127"/>
      <c r="FI144" s="127"/>
      <c r="FJ144" s="127"/>
      <c r="FK144" s="127"/>
      <c r="FL144" s="127"/>
      <c r="FM144" s="127"/>
      <c r="FN144" s="127"/>
      <c r="FO144" s="127"/>
      <c r="FP144" s="127"/>
      <c r="FQ144" s="127"/>
      <c r="FR144" s="127"/>
      <c r="FS144" s="127"/>
      <c r="FT144" s="127"/>
      <c r="FU144" s="127"/>
      <c r="FV144" s="127"/>
      <c r="FW144" s="127"/>
      <c r="FX144" s="127"/>
      <c r="FY144" s="127"/>
      <c r="FZ144" s="127"/>
      <c r="GA144" s="127"/>
      <c r="GB144" s="127"/>
      <c r="GC144" s="127"/>
      <c r="GD144" s="127"/>
      <c r="GE144" s="127"/>
      <c r="GF144" s="127"/>
      <c r="GG144" s="127"/>
      <c r="GH144" s="127"/>
      <c r="GI144" s="127"/>
      <c r="GJ144" s="127"/>
      <c r="GK144" s="127"/>
      <c r="GL144" s="127"/>
      <c r="GM144" s="127"/>
      <c r="GN144" s="127"/>
      <c r="GO144" s="127"/>
      <c r="GP144" s="127"/>
      <c r="GQ144" s="127"/>
      <c r="GR144" s="127"/>
      <c r="GS144" s="127"/>
      <c r="GT144" s="127"/>
      <c r="GU144" s="127"/>
      <c r="GV144" s="127"/>
      <c r="GW144" s="127"/>
      <c r="GX144" s="127"/>
      <c r="GY144" s="127"/>
      <c r="GZ144" s="127"/>
      <c r="HA144" s="127"/>
      <c r="HB144" s="127"/>
      <c r="HC144" s="127"/>
      <c r="HD144" s="127"/>
      <c r="HE144" s="127"/>
      <c r="HF144" s="127"/>
      <c r="HG144" s="127"/>
      <c r="HH144" s="127"/>
      <c r="HI144" s="127"/>
      <c r="HJ144" s="127"/>
      <c r="HK144" s="127"/>
      <c r="HL144" s="127"/>
      <c r="HM144" s="127"/>
      <c r="HN144" s="127"/>
      <c r="HO144" s="127"/>
      <c r="HP144" s="127"/>
      <c r="HQ144" s="127"/>
      <c r="HR144" s="127"/>
      <c r="HS144" s="127"/>
      <c r="HT144" s="127"/>
      <c r="HU144" s="127"/>
      <c r="HV144" s="127"/>
      <c r="HW144" s="127"/>
      <c r="HX144" s="127"/>
      <c r="HY144" s="127"/>
      <c r="HZ144" s="127"/>
      <c r="IA144" s="127"/>
      <c r="IB144" s="127"/>
      <c r="IC144" s="127"/>
      <c r="ID144" s="127"/>
      <c r="IE144" s="127"/>
      <c r="IF144" s="127"/>
      <c r="IG144" s="127"/>
      <c r="IH144" s="127"/>
      <c r="II144" s="127"/>
      <c r="IJ144" s="127"/>
      <c r="IK144" s="127"/>
      <c r="IL144" s="127"/>
      <c r="IM144" s="127"/>
      <c r="IN144" s="127"/>
      <c r="IO144" s="127"/>
      <c r="IP144" s="127"/>
      <c r="IQ144" s="127"/>
      <c r="IR144" s="127"/>
      <c r="IS144" s="127"/>
      <c r="IT144" s="127"/>
      <c r="IU144" s="127"/>
      <c r="IV144" s="127"/>
    </row>
    <row r="145" spans="1:256" s="122" customFormat="1" x14ac:dyDescent="0.25">
      <c r="A145" s="130"/>
      <c r="B145" s="131"/>
      <c r="C145" s="131"/>
      <c r="F145" s="131"/>
      <c r="G145" s="131"/>
      <c r="H145" s="131"/>
      <c r="I145" s="131"/>
      <c r="J145" s="131"/>
      <c r="K145" s="217"/>
      <c r="L145" s="131"/>
      <c r="N145" s="127"/>
      <c r="O145" s="127"/>
      <c r="P145" s="127"/>
      <c r="Q145" s="127"/>
      <c r="R145" s="127"/>
      <c r="S145" s="127"/>
      <c r="T145" s="127"/>
      <c r="U145" s="127"/>
      <c r="V145" s="127"/>
      <c r="W145" s="127"/>
      <c r="X145" s="127"/>
      <c r="Y145" s="127"/>
      <c r="Z145" s="127"/>
      <c r="AA145" s="127"/>
      <c r="AB145" s="127"/>
      <c r="AC145" s="127"/>
      <c r="AD145" s="127"/>
      <c r="AE145" s="127"/>
      <c r="AF145" s="127"/>
      <c r="AG145" s="127"/>
      <c r="AH145" s="127"/>
      <c r="AI145" s="127"/>
      <c r="AJ145" s="127"/>
      <c r="AK145" s="127"/>
      <c r="AL145" s="127"/>
      <c r="AM145" s="127"/>
      <c r="AN145" s="127"/>
      <c r="AO145" s="127"/>
      <c r="AP145" s="127"/>
      <c r="AQ145" s="127"/>
      <c r="AR145" s="127"/>
      <c r="AS145" s="127"/>
      <c r="AT145" s="127"/>
      <c r="AU145" s="127"/>
      <c r="AV145" s="127"/>
      <c r="AW145" s="127"/>
      <c r="AX145" s="127"/>
      <c r="AY145" s="127"/>
      <c r="AZ145" s="127"/>
      <c r="BA145" s="127"/>
      <c r="BB145" s="127"/>
      <c r="BC145" s="127"/>
      <c r="BD145" s="127"/>
      <c r="BE145" s="127"/>
      <c r="BF145" s="127"/>
      <c r="BG145" s="127"/>
      <c r="BH145" s="127"/>
      <c r="BI145" s="127"/>
      <c r="BJ145" s="127"/>
      <c r="BK145" s="127"/>
      <c r="BL145" s="127"/>
      <c r="BM145" s="127"/>
      <c r="BN145" s="127"/>
      <c r="BO145" s="127"/>
      <c r="BP145" s="127"/>
      <c r="BQ145" s="127"/>
      <c r="BR145" s="127"/>
      <c r="BS145" s="127"/>
      <c r="BT145" s="127"/>
      <c r="BU145" s="127"/>
      <c r="BV145" s="127"/>
      <c r="BW145" s="127"/>
      <c r="BX145" s="127"/>
      <c r="BY145" s="127"/>
      <c r="BZ145" s="127"/>
      <c r="CA145" s="127"/>
      <c r="CB145" s="127"/>
      <c r="CC145" s="127"/>
      <c r="CD145" s="127"/>
      <c r="CE145" s="127"/>
      <c r="CF145" s="127"/>
      <c r="CG145" s="127"/>
      <c r="CH145" s="127"/>
      <c r="CI145" s="127"/>
      <c r="CJ145" s="127"/>
      <c r="CK145" s="127"/>
      <c r="CL145" s="127"/>
      <c r="CM145" s="127"/>
      <c r="CN145" s="127"/>
      <c r="CO145" s="127"/>
      <c r="CP145" s="127"/>
      <c r="CQ145" s="127"/>
      <c r="CR145" s="127"/>
      <c r="CS145" s="127"/>
      <c r="CT145" s="127"/>
      <c r="CU145" s="127"/>
      <c r="CV145" s="127"/>
      <c r="CW145" s="127"/>
      <c r="CX145" s="127"/>
      <c r="CY145" s="127"/>
      <c r="CZ145" s="127"/>
      <c r="DA145" s="127"/>
      <c r="DB145" s="127"/>
      <c r="DC145" s="127"/>
      <c r="DD145" s="127"/>
      <c r="DE145" s="127"/>
      <c r="DF145" s="127"/>
      <c r="DG145" s="127"/>
      <c r="DH145" s="127"/>
      <c r="DI145" s="127"/>
      <c r="DJ145" s="127"/>
      <c r="DK145" s="127"/>
      <c r="DL145" s="127"/>
      <c r="DM145" s="127"/>
      <c r="DN145" s="127"/>
      <c r="DO145" s="127"/>
      <c r="DP145" s="127"/>
      <c r="DQ145" s="127"/>
      <c r="DR145" s="127"/>
      <c r="DS145" s="127"/>
      <c r="DT145" s="127"/>
      <c r="DU145" s="127"/>
      <c r="DV145" s="127"/>
      <c r="DW145" s="127"/>
      <c r="DX145" s="127"/>
      <c r="DY145" s="127"/>
      <c r="DZ145" s="127"/>
      <c r="EA145" s="127"/>
      <c r="EB145" s="127"/>
      <c r="EC145" s="127"/>
      <c r="ED145" s="127"/>
      <c r="EE145" s="127"/>
      <c r="EF145" s="127"/>
      <c r="EG145" s="127"/>
      <c r="EH145" s="127"/>
      <c r="EI145" s="127"/>
      <c r="EJ145" s="127"/>
      <c r="EK145" s="127"/>
      <c r="EL145" s="127"/>
      <c r="EM145" s="127"/>
      <c r="EN145" s="127"/>
      <c r="EO145" s="127"/>
      <c r="EP145" s="127"/>
      <c r="EQ145" s="127"/>
      <c r="ER145" s="127"/>
      <c r="ES145" s="127"/>
      <c r="ET145" s="127"/>
      <c r="EU145" s="127"/>
      <c r="EV145" s="127"/>
      <c r="EW145" s="127"/>
      <c r="EX145" s="127"/>
      <c r="EY145" s="127"/>
      <c r="EZ145" s="127"/>
      <c r="FA145" s="127"/>
      <c r="FB145" s="127"/>
      <c r="FC145" s="127"/>
      <c r="FD145" s="127"/>
      <c r="FE145" s="127"/>
      <c r="FF145" s="127"/>
      <c r="FG145" s="127"/>
      <c r="FH145" s="127"/>
      <c r="FI145" s="127"/>
      <c r="FJ145" s="127"/>
      <c r="FK145" s="127"/>
      <c r="FL145" s="127"/>
      <c r="FM145" s="127"/>
      <c r="FN145" s="127"/>
      <c r="FO145" s="127"/>
      <c r="FP145" s="127"/>
      <c r="FQ145" s="127"/>
      <c r="FR145" s="127"/>
      <c r="FS145" s="127"/>
      <c r="FT145" s="127"/>
      <c r="FU145" s="127"/>
      <c r="FV145" s="127"/>
      <c r="FW145" s="127"/>
      <c r="FX145" s="127"/>
      <c r="FY145" s="127"/>
      <c r="FZ145" s="127"/>
      <c r="GA145" s="127"/>
      <c r="GB145" s="127"/>
      <c r="GC145" s="127"/>
      <c r="GD145" s="127"/>
      <c r="GE145" s="127"/>
      <c r="GF145" s="127"/>
      <c r="GG145" s="127"/>
      <c r="GH145" s="127"/>
      <c r="GI145" s="127"/>
      <c r="GJ145" s="127"/>
      <c r="GK145" s="127"/>
      <c r="GL145" s="127"/>
      <c r="GM145" s="127"/>
      <c r="GN145" s="127"/>
      <c r="GO145" s="127"/>
      <c r="GP145" s="127"/>
      <c r="GQ145" s="127"/>
      <c r="GR145" s="127"/>
      <c r="GS145" s="127"/>
      <c r="GT145" s="127"/>
      <c r="GU145" s="127"/>
      <c r="GV145" s="127"/>
      <c r="GW145" s="127"/>
      <c r="GX145" s="127"/>
      <c r="GY145" s="127"/>
      <c r="GZ145" s="127"/>
      <c r="HA145" s="127"/>
      <c r="HB145" s="127"/>
      <c r="HC145" s="127"/>
      <c r="HD145" s="127"/>
      <c r="HE145" s="127"/>
      <c r="HF145" s="127"/>
      <c r="HG145" s="127"/>
      <c r="HH145" s="127"/>
      <c r="HI145" s="127"/>
      <c r="HJ145" s="127"/>
      <c r="HK145" s="127"/>
      <c r="HL145" s="127"/>
      <c r="HM145" s="127"/>
      <c r="HN145" s="127"/>
      <c r="HO145" s="127"/>
      <c r="HP145" s="127"/>
      <c r="HQ145" s="127"/>
      <c r="HR145" s="127"/>
      <c r="HS145" s="127"/>
      <c r="HT145" s="127"/>
      <c r="HU145" s="127"/>
      <c r="HV145" s="127"/>
      <c r="HW145" s="127"/>
      <c r="HX145" s="127"/>
      <c r="HY145" s="127"/>
      <c r="HZ145" s="127"/>
      <c r="IA145" s="127"/>
      <c r="IB145" s="127"/>
      <c r="IC145" s="127"/>
      <c r="ID145" s="127"/>
      <c r="IE145" s="127"/>
      <c r="IF145" s="127"/>
      <c r="IG145" s="127"/>
      <c r="IH145" s="127"/>
      <c r="II145" s="127"/>
      <c r="IJ145" s="127"/>
      <c r="IK145" s="127"/>
      <c r="IL145" s="127"/>
      <c r="IM145" s="127"/>
      <c r="IN145" s="127"/>
      <c r="IO145" s="127"/>
      <c r="IP145" s="127"/>
      <c r="IQ145" s="127"/>
      <c r="IR145" s="127"/>
      <c r="IS145" s="127"/>
      <c r="IT145" s="127"/>
      <c r="IU145" s="127"/>
      <c r="IV145" s="127"/>
    </row>
    <row r="146" spans="1:256" s="122" customFormat="1" x14ac:dyDescent="0.25">
      <c r="A146" s="130"/>
      <c r="B146" s="125"/>
      <c r="C146" s="125"/>
      <c r="E146" s="127"/>
      <c r="F146" s="125"/>
      <c r="G146" s="125"/>
      <c r="H146" s="125"/>
      <c r="I146" s="125"/>
      <c r="J146" s="125"/>
      <c r="K146" s="314"/>
      <c r="L146" s="125"/>
      <c r="M146" s="127"/>
      <c r="N146" s="127"/>
      <c r="O146" s="127"/>
      <c r="P146" s="127"/>
      <c r="Q146" s="127"/>
      <c r="R146" s="127"/>
      <c r="S146" s="127"/>
      <c r="T146" s="127"/>
      <c r="U146" s="127"/>
      <c r="V146" s="127"/>
      <c r="W146" s="127"/>
      <c r="X146" s="127"/>
      <c r="Y146" s="127"/>
      <c r="Z146" s="127"/>
      <c r="AA146" s="127"/>
      <c r="AB146" s="127"/>
      <c r="AC146" s="127"/>
      <c r="AD146" s="127"/>
      <c r="AE146" s="127"/>
      <c r="AF146" s="127"/>
      <c r="AG146" s="127"/>
      <c r="AH146" s="127"/>
      <c r="AI146" s="127"/>
      <c r="AJ146" s="127"/>
      <c r="AK146" s="127"/>
      <c r="AL146" s="127"/>
      <c r="AM146" s="127"/>
      <c r="AN146" s="127"/>
      <c r="AO146" s="127"/>
      <c r="AP146" s="127"/>
      <c r="AQ146" s="127"/>
      <c r="AR146" s="127"/>
      <c r="AS146" s="127"/>
      <c r="AT146" s="127"/>
      <c r="AU146" s="127"/>
      <c r="AV146" s="127"/>
      <c r="AW146" s="127"/>
      <c r="AX146" s="127"/>
      <c r="AY146" s="127"/>
      <c r="AZ146" s="127"/>
      <c r="BA146" s="127"/>
      <c r="BB146" s="127"/>
      <c r="BC146" s="127"/>
      <c r="BD146" s="127"/>
      <c r="BE146" s="127"/>
      <c r="BF146" s="127"/>
      <c r="BG146" s="127"/>
      <c r="BH146" s="127"/>
      <c r="BI146" s="127"/>
      <c r="BJ146" s="127"/>
      <c r="BK146" s="127"/>
      <c r="BL146" s="127"/>
      <c r="BM146" s="127"/>
      <c r="BN146" s="127"/>
      <c r="BO146" s="127"/>
      <c r="BP146" s="127"/>
      <c r="BQ146" s="127"/>
      <c r="BR146" s="127"/>
      <c r="BS146" s="127"/>
      <c r="BT146" s="127"/>
      <c r="BU146" s="127"/>
      <c r="BV146" s="127"/>
      <c r="BW146" s="127"/>
      <c r="BX146" s="127"/>
      <c r="BY146" s="127"/>
      <c r="BZ146" s="127"/>
      <c r="CA146" s="127"/>
      <c r="CB146" s="127"/>
      <c r="CC146" s="127"/>
      <c r="CD146" s="127"/>
      <c r="CE146" s="127"/>
      <c r="CF146" s="127"/>
      <c r="CG146" s="127"/>
      <c r="CH146" s="127"/>
      <c r="CI146" s="127"/>
      <c r="CJ146" s="127"/>
      <c r="CK146" s="127"/>
      <c r="CL146" s="127"/>
      <c r="CM146" s="127"/>
      <c r="CN146" s="127"/>
      <c r="CO146" s="127"/>
      <c r="CP146" s="127"/>
      <c r="CQ146" s="127"/>
      <c r="CR146" s="127"/>
      <c r="CS146" s="127"/>
      <c r="CT146" s="127"/>
      <c r="CU146" s="127"/>
      <c r="CV146" s="127"/>
      <c r="CW146" s="127"/>
      <c r="CX146" s="127"/>
      <c r="CY146" s="127"/>
      <c r="CZ146" s="127"/>
      <c r="DA146" s="127"/>
      <c r="DB146" s="127"/>
      <c r="DC146" s="127"/>
      <c r="DD146" s="127"/>
      <c r="DE146" s="127"/>
      <c r="DF146" s="127"/>
      <c r="DG146" s="127"/>
      <c r="DH146" s="127"/>
      <c r="DI146" s="127"/>
      <c r="DJ146" s="127"/>
      <c r="DK146" s="127"/>
      <c r="DL146" s="127"/>
      <c r="DM146" s="127"/>
      <c r="DN146" s="127"/>
      <c r="DO146" s="127"/>
      <c r="DP146" s="127"/>
      <c r="DQ146" s="127"/>
      <c r="DR146" s="127"/>
      <c r="DS146" s="127"/>
      <c r="DT146" s="127"/>
      <c r="DU146" s="127"/>
      <c r="DV146" s="127"/>
      <c r="DW146" s="127"/>
      <c r="DX146" s="127"/>
      <c r="DY146" s="127"/>
      <c r="DZ146" s="127"/>
      <c r="EA146" s="127"/>
      <c r="EB146" s="127"/>
      <c r="EC146" s="127"/>
      <c r="ED146" s="127"/>
      <c r="EE146" s="127"/>
      <c r="EF146" s="127"/>
      <c r="EG146" s="127"/>
      <c r="EH146" s="127"/>
      <c r="EI146" s="127"/>
      <c r="EJ146" s="127"/>
      <c r="EK146" s="127"/>
      <c r="EL146" s="127"/>
      <c r="EM146" s="127"/>
      <c r="EN146" s="127"/>
      <c r="EO146" s="127"/>
      <c r="EP146" s="127"/>
      <c r="EQ146" s="127"/>
      <c r="ER146" s="127"/>
      <c r="ES146" s="127"/>
      <c r="ET146" s="127"/>
      <c r="EU146" s="127"/>
      <c r="EV146" s="127"/>
      <c r="EW146" s="127"/>
      <c r="EX146" s="127"/>
      <c r="EY146" s="127"/>
      <c r="EZ146" s="127"/>
      <c r="FA146" s="127"/>
      <c r="FB146" s="127"/>
      <c r="FC146" s="127"/>
      <c r="FD146" s="127"/>
      <c r="FE146" s="127"/>
      <c r="FF146" s="127"/>
      <c r="FG146" s="127"/>
      <c r="FH146" s="127"/>
      <c r="FI146" s="127"/>
      <c r="FJ146" s="127"/>
      <c r="FK146" s="127"/>
      <c r="FL146" s="127"/>
      <c r="FM146" s="127"/>
      <c r="FN146" s="127"/>
      <c r="FO146" s="127"/>
      <c r="FP146" s="127"/>
      <c r="FQ146" s="127"/>
      <c r="FR146" s="127"/>
      <c r="FS146" s="127"/>
      <c r="FT146" s="127"/>
      <c r="FU146" s="127"/>
      <c r="FV146" s="127"/>
      <c r="FW146" s="127"/>
      <c r="FX146" s="127"/>
      <c r="FY146" s="127"/>
      <c r="FZ146" s="127"/>
      <c r="GA146" s="127"/>
      <c r="GB146" s="127"/>
      <c r="GC146" s="127"/>
      <c r="GD146" s="127"/>
      <c r="GE146" s="127"/>
      <c r="GF146" s="127"/>
      <c r="GG146" s="127"/>
      <c r="GH146" s="127"/>
      <c r="GI146" s="127"/>
      <c r="GJ146" s="127"/>
      <c r="GK146" s="127"/>
      <c r="GL146" s="127"/>
      <c r="GM146" s="127"/>
      <c r="GN146" s="127"/>
      <c r="GO146" s="127"/>
      <c r="GP146" s="127"/>
      <c r="GQ146" s="127"/>
      <c r="GR146" s="127"/>
      <c r="GS146" s="127"/>
      <c r="GT146" s="127"/>
      <c r="GU146" s="127"/>
      <c r="GV146" s="127"/>
      <c r="GW146" s="127"/>
      <c r="GX146" s="127"/>
      <c r="GY146" s="127"/>
      <c r="GZ146" s="127"/>
      <c r="HA146" s="127"/>
      <c r="HB146" s="127"/>
      <c r="HC146" s="127"/>
      <c r="HD146" s="127"/>
      <c r="HE146" s="127"/>
      <c r="HF146" s="127"/>
      <c r="HG146" s="127"/>
      <c r="HH146" s="127"/>
      <c r="HI146" s="127"/>
      <c r="HJ146" s="127"/>
      <c r="HK146" s="127"/>
      <c r="HL146" s="127"/>
      <c r="HM146" s="127"/>
      <c r="HN146" s="127"/>
      <c r="HO146" s="127"/>
      <c r="HP146" s="127"/>
      <c r="HQ146" s="127"/>
      <c r="HR146" s="127"/>
      <c r="HS146" s="127"/>
      <c r="HT146" s="127"/>
      <c r="HU146" s="127"/>
      <c r="HV146" s="127"/>
      <c r="HW146" s="127"/>
      <c r="HX146" s="127"/>
      <c r="HY146" s="127"/>
      <c r="HZ146" s="127"/>
      <c r="IA146" s="127"/>
      <c r="IB146" s="127"/>
      <c r="IC146" s="127"/>
      <c r="ID146" s="127"/>
      <c r="IE146" s="127"/>
      <c r="IF146" s="127"/>
      <c r="IG146" s="127"/>
      <c r="IH146" s="127"/>
      <c r="II146" s="127"/>
      <c r="IJ146" s="127"/>
      <c r="IK146" s="127"/>
      <c r="IL146" s="127"/>
      <c r="IM146" s="127"/>
      <c r="IN146" s="127"/>
      <c r="IO146" s="127"/>
      <c r="IP146" s="127"/>
      <c r="IQ146" s="127"/>
      <c r="IR146" s="127"/>
      <c r="IS146" s="127"/>
      <c r="IT146" s="127"/>
      <c r="IU146" s="127"/>
      <c r="IV146" s="127"/>
    </row>
    <row r="147" spans="1:256" s="122" customFormat="1" x14ac:dyDescent="0.25">
      <c r="A147" s="130"/>
      <c r="B147" s="125"/>
      <c r="C147" s="125"/>
      <c r="D147" s="127"/>
      <c r="E147" s="127"/>
      <c r="F147" s="125"/>
      <c r="G147" s="125"/>
      <c r="H147" s="125"/>
      <c r="I147" s="125"/>
      <c r="J147" s="125"/>
      <c r="K147" s="314"/>
      <c r="L147" s="125"/>
      <c r="M147" s="127"/>
      <c r="N147" s="127"/>
      <c r="O147" s="127"/>
      <c r="P147" s="127"/>
      <c r="Q147" s="127"/>
      <c r="R147" s="127"/>
      <c r="S147" s="127"/>
      <c r="T147" s="127"/>
      <c r="U147" s="127"/>
      <c r="V147" s="127"/>
      <c r="W147" s="127"/>
      <c r="X147" s="127"/>
      <c r="Y147" s="127"/>
      <c r="Z147" s="127"/>
      <c r="AA147" s="127"/>
      <c r="AB147" s="127"/>
      <c r="AC147" s="127"/>
      <c r="AD147" s="127"/>
      <c r="AE147" s="127"/>
      <c r="AF147" s="127"/>
      <c r="AG147" s="127"/>
      <c r="AH147" s="127"/>
      <c r="AI147" s="127"/>
      <c r="AJ147" s="127"/>
      <c r="AK147" s="127"/>
      <c r="AL147" s="127"/>
      <c r="AM147" s="127"/>
      <c r="AN147" s="127"/>
      <c r="AO147" s="127"/>
      <c r="AP147" s="127"/>
      <c r="AQ147" s="127"/>
      <c r="AR147" s="127"/>
      <c r="AS147" s="127"/>
      <c r="AT147" s="127"/>
      <c r="AU147" s="127"/>
      <c r="AV147" s="127"/>
      <c r="AW147" s="127"/>
      <c r="AX147" s="127"/>
      <c r="AY147" s="127"/>
      <c r="AZ147" s="127"/>
      <c r="BA147" s="127"/>
      <c r="BB147" s="127"/>
      <c r="BC147" s="127"/>
      <c r="BD147" s="127"/>
      <c r="BE147" s="127"/>
      <c r="BF147" s="127"/>
      <c r="BG147" s="127"/>
      <c r="BH147" s="127"/>
      <c r="BI147" s="127"/>
      <c r="BJ147" s="127"/>
      <c r="BK147" s="127"/>
      <c r="BL147" s="127"/>
      <c r="BM147" s="127"/>
      <c r="BN147" s="127"/>
      <c r="BO147" s="127"/>
      <c r="BP147" s="127"/>
      <c r="BQ147" s="127"/>
      <c r="BR147" s="127"/>
      <c r="BS147" s="127"/>
      <c r="BT147" s="127"/>
      <c r="BU147" s="127"/>
      <c r="BV147" s="127"/>
      <c r="BW147" s="127"/>
      <c r="BX147" s="127"/>
      <c r="BY147" s="127"/>
      <c r="BZ147" s="127"/>
      <c r="CA147" s="127"/>
      <c r="CB147" s="127"/>
      <c r="CC147" s="127"/>
      <c r="CD147" s="127"/>
      <c r="CE147" s="127"/>
      <c r="CF147" s="127"/>
      <c r="CG147" s="127"/>
      <c r="CH147" s="127"/>
      <c r="CI147" s="127"/>
      <c r="CJ147" s="127"/>
      <c r="CK147" s="127"/>
      <c r="CL147" s="127"/>
      <c r="CM147" s="127"/>
      <c r="CN147" s="127"/>
      <c r="CO147" s="127"/>
      <c r="CP147" s="127"/>
      <c r="CQ147" s="127"/>
      <c r="CR147" s="127"/>
      <c r="CS147" s="127"/>
      <c r="CT147" s="127"/>
      <c r="CU147" s="127"/>
      <c r="CV147" s="127"/>
      <c r="CW147" s="127"/>
      <c r="CX147" s="127"/>
      <c r="CY147" s="127"/>
      <c r="CZ147" s="127"/>
      <c r="DA147" s="127"/>
      <c r="DB147" s="127"/>
      <c r="DC147" s="127"/>
      <c r="DD147" s="127"/>
      <c r="DE147" s="127"/>
      <c r="DF147" s="127"/>
      <c r="DG147" s="127"/>
      <c r="DH147" s="127"/>
      <c r="DI147" s="127"/>
      <c r="DJ147" s="127"/>
      <c r="DK147" s="127"/>
      <c r="DL147" s="127"/>
      <c r="DM147" s="127"/>
      <c r="DN147" s="127"/>
      <c r="DO147" s="127"/>
      <c r="DP147" s="127"/>
      <c r="DQ147" s="127"/>
      <c r="DR147" s="127"/>
      <c r="DS147" s="127"/>
      <c r="DT147" s="127"/>
      <c r="DU147" s="127"/>
      <c r="DV147" s="127"/>
      <c r="DW147" s="127"/>
      <c r="DX147" s="127"/>
      <c r="DY147" s="127"/>
      <c r="DZ147" s="127"/>
      <c r="EA147" s="127"/>
      <c r="EB147" s="127"/>
      <c r="EC147" s="127"/>
      <c r="ED147" s="127"/>
      <c r="EE147" s="127"/>
      <c r="EF147" s="127"/>
      <c r="EG147" s="127"/>
      <c r="EH147" s="127"/>
      <c r="EI147" s="127"/>
      <c r="EJ147" s="127"/>
      <c r="EK147" s="127"/>
      <c r="EL147" s="127"/>
      <c r="EM147" s="127"/>
      <c r="EN147" s="127"/>
      <c r="EO147" s="127"/>
      <c r="EP147" s="127"/>
      <c r="EQ147" s="127"/>
      <c r="ER147" s="127"/>
      <c r="ES147" s="127"/>
      <c r="ET147" s="127"/>
      <c r="EU147" s="127"/>
      <c r="EV147" s="127"/>
      <c r="EW147" s="127"/>
      <c r="EX147" s="127"/>
      <c r="EY147" s="127"/>
      <c r="EZ147" s="127"/>
      <c r="FA147" s="127"/>
      <c r="FB147" s="127"/>
      <c r="FC147" s="127"/>
      <c r="FD147" s="127"/>
      <c r="FE147" s="127"/>
      <c r="FF147" s="127"/>
      <c r="FG147" s="127"/>
      <c r="FH147" s="127"/>
      <c r="FI147" s="127"/>
      <c r="FJ147" s="127"/>
      <c r="FK147" s="127"/>
      <c r="FL147" s="127"/>
      <c r="FM147" s="127"/>
      <c r="FN147" s="127"/>
      <c r="FO147" s="127"/>
      <c r="FP147" s="127"/>
      <c r="FQ147" s="127"/>
      <c r="FR147" s="127"/>
      <c r="FS147" s="127"/>
      <c r="FT147" s="127"/>
      <c r="FU147" s="127"/>
      <c r="FV147" s="127"/>
      <c r="FW147" s="127"/>
      <c r="FX147" s="127"/>
      <c r="FY147" s="127"/>
      <c r="FZ147" s="127"/>
      <c r="GA147" s="127"/>
      <c r="GB147" s="127"/>
      <c r="GC147" s="127"/>
      <c r="GD147" s="127"/>
      <c r="GE147" s="127"/>
      <c r="GF147" s="127"/>
      <c r="GG147" s="127"/>
      <c r="GH147" s="127"/>
      <c r="GI147" s="127"/>
      <c r="GJ147" s="127"/>
      <c r="GK147" s="127"/>
      <c r="GL147" s="127"/>
      <c r="GM147" s="127"/>
      <c r="GN147" s="127"/>
      <c r="GO147" s="127"/>
      <c r="GP147" s="127"/>
      <c r="GQ147" s="127"/>
      <c r="GR147" s="127"/>
      <c r="GS147" s="127"/>
      <c r="GT147" s="127"/>
      <c r="GU147" s="127"/>
      <c r="GV147" s="127"/>
      <c r="GW147" s="127"/>
      <c r="GX147" s="127"/>
      <c r="GY147" s="127"/>
      <c r="GZ147" s="127"/>
      <c r="HA147" s="127"/>
      <c r="HB147" s="127"/>
      <c r="HC147" s="127"/>
      <c r="HD147" s="127"/>
      <c r="HE147" s="127"/>
      <c r="HF147" s="127"/>
      <c r="HG147" s="127"/>
      <c r="HH147" s="127"/>
      <c r="HI147" s="127"/>
      <c r="HJ147" s="127"/>
      <c r="HK147" s="127"/>
      <c r="HL147" s="127"/>
      <c r="HM147" s="127"/>
      <c r="HN147" s="127"/>
      <c r="HO147" s="127"/>
      <c r="HP147" s="127"/>
      <c r="HQ147" s="127"/>
      <c r="HR147" s="127"/>
      <c r="HS147" s="127"/>
      <c r="HT147" s="127"/>
      <c r="HU147" s="127"/>
      <c r="HV147" s="127"/>
      <c r="HW147" s="127"/>
      <c r="HX147" s="127"/>
      <c r="HY147" s="127"/>
      <c r="HZ147" s="127"/>
      <c r="IA147" s="127"/>
      <c r="IB147" s="127"/>
      <c r="IC147" s="127"/>
      <c r="ID147" s="127"/>
      <c r="IE147" s="127"/>
      <c r="IF147" s="127"/>
      <c r="IG147" s="127"/>
      <c r="IH147" s="127"/>
      <c r="II147" s="127"/>
      <c r="IJ147" s="127"/>
      <c r="IK147" s="127"/>
      <c r="IL147" s="127"/>
      <c r="IM147" s="127"/>
      <c r="IN147" s="127"/>
      <c r="IO147" s="127"/>
      <c r="IP147" s="127"/>
      <c r="IQ147" s="127"/>
      <c r="IR147" s="127"/>
      <c r="IS147" s="127"/>
      <c r="IT147" s="127"/>
      <c r="IU147" s="127"/>
      <c r="IV147" s="127"/>
    </row>
    <row r="148" spans="1:256" s="122" customFormat="1" x14ac:dyDescent="0.25">
      <c r="A148" s="130"/>
      <c r="B148" s="125"/>
      <c r="C148" s="125"/>
      <c r="D148" s="127"/>
      <c r="E148" s="127"/>
      <c r="F148" s="125"/>
      <c r="G148" s="125"/>
      <c r="H148" s="125"/>
      <c r="I148" s="125"/>
      <c r="J148" s="125"/>
      <c r="K148" s="314"/>
      <c r="L148" s="125"/>
      <c r="M148" s="127"/>
      <c r="N148" s="127"/>
      <c r="O148" s="127"/>
      <c r="P148" s="127"/>
      <c r="Q148" s="127"/>
      <c r="R148" s="127"/>
      <c r="S148" s="127"/>
      <c r="T148" s="127"/>
      <c r="U148" s="127"/>
      <c r="V148" s="127"/>
      <c r="W148" s="127"/>
      <c r="X148" s="127"/>
      <c r="Y148" s="127"/>
      <c r="Z148" s="127"/>
      <c r="AA148" s="127"/>
      <c r="AB148" s="127"/>
      <c r="AC148" s="127"/>
      <c r="AD148" s="127"/>
      <c r="AE148" s="127"/>
      <c r="AF148" s="127"/>
      <c r="AG148" s="127"/>
      <c r="AH148" s="127"/>
      <c r="AI148" s="127"/>
      <c r="AJ148" s="127"/>
      <c r="AK148" s="127"/>
      <c r="AL148" s="127"/>
      <c r="AM148" s="127"/>
      <c r="AN148" s="127"/>
      <c r="AO148" s="127"/>
      <c r="AP148" s="127"/>
      <c r="AQ148" s="127"/>
      <c r="AR148" s="127"/>
      <c r="AS148" s="127"/>
      <c r="AT148" s="127"/>
      <c r="AU148" s="127"/>
      <c r="AV148" s="127"/>
      <c r="AW148" s="127"/>
      <c r="AX148" s="127"/>
      <c r="AY148" s="127"/>
      <c r="AZ148" s="127"/>
      <c r="BA148" s="127"/>
      <c r="BB148" s="127"/>
      <c r="BC148" s="127"/>
      <c r="BD148" s="127"/>
      <c r="BE148" s="127"/>
      <c r="BF148" s="127"/>
      <c r="BG148" s="127"/>
      <c r="BH148" s="127"/>
      <c r="BI148" s="127"/>
      <c r="BJ148" s="127"/>
      <c r="BK148" s="127"/>
      <c r="BL148" s="127"/>
      <c r="BM148" s="127"/>
      <c r="BN148" s="127"/>
      <c r="BO148" s="127"/>
      <c r="BP148" s="127"/>
      <c r="BQ148" s="127"/>
      <c r="BR148" s="127"/>
      <c r="BS148" s="127"/>
      <c r="BT148" s="127"/>
      <c r="BU148" s="127"/>
      <c r="BV148" s="127"/>
      <c r="BW148" s="127"/>
      <c r="BX148" s="127"/>
      <c r="BY148" s="127"/>
      <c r="BZ148" s="127"/>
      <c r="CA148" s="127"/>
      <c r="CB148" s="127"/>
      <c r="CC148" s="127"/>
      <c r="CD148" s="127"/>
      <c r="CE148" s="127"/>
      <c r="CF148" s="127"/>
      <c r="CG148" s="127"/>
      <c r="CH148" s="127"/>
      <c r="CI148" s="127"/>
      <c r="CJ148" s="127"/>
      <c r="CK148" s="127"/>
      <c r="CL148" s="127"/>
      <c r="CM148" s="127"/>
      <c r="CN148" s="127"/>
      <c r="CO148" s="127"/>
      <c r="CP148" s="127"/>
      <c r="CQ148" s="127"/>
      <c r="CR148" s="127"/>
      <c r="CS148" s="127"/>
      <c r="CT148" s="127"/>
      <c r="CU148" s="127"/>
      <c r="CV148" s="127"/>
      <c r="CW148" s="127"/>
      <c r="CX148" s="127"/>
      <c r="CY148" s="127"/>
      <c r="CZ148" s="127"/>
      <c r="DA148" s="127"/>
      <c r="DB148" s="127"/>
      <c r="DC148" s="127"/>
      <c r="DD148" s="127"/>
      <c r="DE148" s="127"/>
      <c r="DF148" s="127"/>
      <c r="DG148" s="127"/>
      <c r="DH148" s="127"/>
      <c r="DI148" s="127"/>
      <c r="DJ148" s="127"/>
      <c r="DK148" s="127"/>
      <c r="DL148" s="127"/>
      <c r="DM148" s="127"/>
      <c r="DN148" s="127"/>
      <c r="DO148" s="127"/>
      <c r="DP148" s="127"/>
      <c r="DQ148" s="127"/>
      <c r="DR148" s="127"/>
      <c r="DS148" s="127"/>
      <c r="DT148" s="127"/>
      <c r="DU148" s="127"/>
      <c r="DV148" s="127"/>
      <c r="DW148" s="127"/>
      <c r="DX148" s="127"/>
      <c r="DY148" s="127"/>
      <c r="DZ148" s="127"/>
      <c r="EA148" s="127"/>
      <c r="EB148" s="127"/>
      <c r="EC148" s="127"/>
      <c r="ED148" s="127"/>
      <c r="EE148" s="127"/>
      <c r="EF148" s="127"/>
      <c r="EG148" s="127"/>
      <c r="EH148" s="127"/>
      <c r="EI148" s="127"/>
      <c r="EJ148" s="127"/>
      <c r="EK148" s="127"/>
      <c r="EL148" s="127"/>
      <c r="EM148" s="127"/>
      <c r="EN148" s="127"/>
      <c r="EO148" s="127"/>
      <c r="EP148" s="127"/>
      <c r="EQ148" s="127"/>
      <c r="ER148" s="127"/>
      <c r="ES148" s="127"/>
      <c r="ET148" s="127"/>
      <c r="EU148" s="127"/>
      <c r="EV148" s="127"/>
      <c r="EW148" s="127"/>
      <c r="EX148" s="127"/>
      <c r="EY148" s="127"/>
      <c r="EZ148" s="127"/>
      <c r="FA148" s="127"/>
      <c r="FB148" s="127"/>
      <c r="FC148" s="127"/>
      <c r="FD148" s="127"/>
      <c r="FE148" s="127"/>
      <c r="FF148" s="127"/>
      <c r="FG148" s="127"/>
      <c r="FH148" s="127"/>
      <c r="FI148" s="127"/>
      <c r="FJ148" s="127"/>
      <c r="FK148" s="127"/>
      <c r="FL148" s="127"/>
      <c r="FM148" s="127"/>
      <c r="FN148" s="127"/>
      <c r="FO148" s="127"/>
      <c r="FP148" s="127"/>
      <c r="FQ148" s="127"/>
      <c r="FR148" s="127"/>
      <c r="FS148" s="127"/>
      <c r="FT148" s="127"/>
      <c r="FU148" s="127"/>
      <c r="FV148" s="127"/>
      <c r="FW148" s="127"/>
      <c r="FX148" s="127"/>
      <c r="FY148" s="127"/>
      <c r="FZ148" s="127"/>
      <c r="GA148" s="127"/>
      <c r="GB148" s="127"/>
      <c r="GC148" s="127"/>
      <c r="GD148" s="127"/>
      <c r="GE148" s="127"/>
      <c r="GF148" s="127"/>
      <c r="GG148" s="127"/>
      <c r="GH148" s="127"/>
      <c r="GI148" s="127"/>
      <c r="GJ148" s="127"/>
      <c r="GK148" s="127"/>
      <c r="GL148" s="127"/>
      <c r="GM148" s="127"/>
      <c r="GN148" s="127"/>
      <c r="GO148" s="127"/>
      <c r="GP148" s="127"/>
      <c r="GQ148" s="127"/>
      <c r="GR148" s="127"/>
      <c r="GS148" s="127"/>
      <c r="GT148" s="127"/>
      <c r="GU148" s="127"/>
      <c r="GV148" s="127"/>
      <c r="GW148" s="127"/>
      <c r="GX148" s="127"/>
      <c r="GY148" s="127"/>
      <c r="GZ148" s="127"/>
      <c r="HA148" s="127"/>
      <c r="HB148" s="127"/>
      <c r="HC148" s="127"/>
      <c r="HD148" s="127"/>
      <c r="HE148" s="127"/>
      <c r="HF148" s="127"/>
      <c r="HG148" s="127"/>
      <c r="HH148" s="127"/>
      <c r="HI148" s="127"/>
      <c r="HJ148" s="127"/>
      <c r="HK148" s="127"/>
      <c r="HL148" s="127"/>
      <c r="HM148" s="127"/>
      <c r="HN148" s="127"/>
      <c r="HO148" s="127"/>
      <c r="HP148" s="127"/>
      <c r="HQ148" s="127"/>
      <c r="HR148" s="127"/>
      <c r="HS148" s="127"/>
      <c r="HT148" s="127"/>
      <c r="HU148" s="127"/>
      <c r="HV148" s="127"/>
      <c r="HW148" s="127"/>
      <c r="HX148" s="127"/>
      <c r="HY148" s="127"/>
      <c r="HZ148" s="127"/>
      <c r="IA148" s="127"/>
      <c r="IB148" s="127"/>
      <c r="IC148" s="127"/>
      <c r="ID148" s="127"/>
      <c r="IE148" s="127"/>
      <c r="IF148" s="127"/>
      <c r="IG148" s="127"/>
      <c r="IH148" s="127"/>
      <c r="II148" s="127"/>
      <c r="IJ148" s="127"/>
      <c r="IK148" s="127"/>
      <c r="IL148" s="127"/>
      <c r="IM148" s="127"/>
      <c r="IN148" s="127"/>
      <c r="IO148" s="127"/>
      <c r="IP148" s="127"/>
      <c r="IQ148" s="127"/>
      <c r="IR148" s="127"/>
      <c r="IS148" s="127"/>
      <c r="IT148" s="127"/>
      <c r="IU148" s="127"/>
      <c r="IV148" s="127"/>
    </row>
    <row r="149" spans="1:256" s="122" customFormat="1" x14ac:dyDescent="0.25">
      <c r="A149" s="130"/>
      <c r="B149" s="125"/>
      <c r="C149" s="125"/>
      <c r="D149" s="127"/>
      <c r="E149" s="127"/>
      <c r="F149" s="125"/>
      <c r="G149" s="125"/>
      <c r="H149" s="125"/>
      <c r="I149" s="125"/>
      <c r="J149" s="125"/>
      <c r="K149" s="314"/>
      <c r="L149" s="125"/>
      <c r="M149" s="127"/>
      <c r="N149" s="127"/>
      <c r="O149" s="127"/>
      <c r="P149" s="127"/>
      <c r="Q149" s="127"/>
      <c r="R149" s="127"/>
    </row>
    <row r="150" spans="1:256" s="122" customFormat="1" x14ac:dyDescent="0.25">
      <c r="A150" s="130"/>
      <c r="B150" s="131"/>
      <c r="C150" s="131"/>
      <c r="D150" s="127"/>
      <c r="F150" s="131"/>
      <c r="G150" s="131"/>
      <c r="H150" s="131"/>
      <c r="I150" s="131"/>
      <c r="J150" s="131"/>
      <c r="K150" s="217"/>
      <c r="L150" s="131"/>
      <c r="N150" s="127"/>
      <c r="O150" s="127"/>
      <c r="P150" s="127"/>
      <c r="Q150" s="127"/>
      <c r="R150" s="127"/>
    </row>
    <row r="151" spans="1:256" s="122" customFormat="1" x14ac:dyDescent="0.25">
      <c r="A151" s="130"/>
      <c r="B151" s="131"/>
      <c r="C151" s="131"/>
      <c r="F151" s="131"/>
      <c r="G151" s="131"/>
      <c r="H151" s="131"/>
      <c r="I151" s="131"/>
      <c r="J151" s="131"/>
      <c r="K151" s="217"/>
      <c r="L151" s="131"/>
      <c r="N151" s="127"/>
      <c r="O151" s="127"/>
      <c r="P151" s="127"/>
      <c r="Q151" s="127"/>
      <c r="R151" s="127"/>
    </row>
    <row r="152" spans="1:256" s="122" customFormat="1" x14ac:dyDescent="0.25">
      <c r="A152" s="130"/>
      <c r="B152" s="131"/>
      <c r="C152" s="131"/>
      <c r="F152" s="131"/>
      <c r="G152" s="131"/>
      <c r="H152" s="131"/>
      <c r="I152" s="131"/>
      <c r="J152" s="131"/>
      <c r="K152" s="217"/>
      <c r="L152" s="131"/>
    </row>
    <row r="153" spans="1:256" s="122" customFormat="1" x14ac:dyDescent="0.25">
      <c r="A153" s="130"/>
      <c r="B153" s="131"/>
      <c r="C153" s="131"/>
      <c r="F153" s="131"/>
      <c r="G153" s="131"/>
      <c r="H153" s="131"/>
      <c r="I153" s="131"/>
      <c r="J153" s="131"/>
      <c r="K153" s="217"/>
      <c r="L153" s="131"/>
      <c r="S153" s="127"/>
      <c r="T153" s="127"/>
      <c r="U153" s="127"/>
      <c r="V153" s="127"/>
      <c r="W153" s="127"/>
      <c r="X153" s="127"/>
      <c r="Y153" s="127"/>
      <c r="Z153" s="127"/>
      <c r="AA153" s="127"/>
      <c r="AB153" s="127"/>
      <c r="AC153" s="127"/>
      <c r="AD153" s="127"/>
      <c r="AE153" s="127"/>
      <c r="AF153" s="127"/>
      <c r="AG153" s="127"/>
      <c r="AH153" s="127"/>
      <c r="AI153" s="127"/>
      <c r="AJ153" s="127"/>
      <c r="AK153" s="127"/>
      <c r="AL153" s="127"/>
      <c r="AM153" s="127"/>
      <c r="AN153" s="127"/>
      <c r="AO153" s="127"/>
      <c r="AP153" s="127"/>
      <c r="AQ153" s="127"/>
      <c r="AR153" s="127"/>
      <c r="AS153" s="127"/>
      <c r="AT153" s="127"/>
      <c r="AU153" s="127"/>
      <c r="AV153" s="127"/>
      <c r="AW153" s="127"/>
      <c r="AX153" s="127"/>
      <c r="AY153" s="127"/>
      <c r="AZ153" s="127"/>
      <c r="BA153" s="127"/>
      <c r="BB153" s="127"/>
      <c r="BC153" s="127"/>
      <c r="BD153" s="127"/>
      <c r="BE153" s="127"/>
      <c r="BF153" s="127"/>
      <c r="BG153" s="127"/>
      <c r="BH153" s="127"/>
      <c r="BI153" s="127"/>
      <c r="BJ153" s="127"/>
      <c r="BK153" s="127"/>
      <c r="BL153" s="127"/>
      <c r="BM153" s="127"/>
      <c r="BN153" s="127"/>
      <c r="BO153" s="127"/>
      <c r="BP153" s="127"/>
      <c r="BQ153" s="127"/>
      <c r="BR153" s="127"/>
      <c r="BS153" s="127"/>
      <c r="BT153" s="127"/>
      <c r="BU153" s="127"/>
      <c r="BV153" s="127"/>
      <c r="BW153" s="127"/>
      <c r="BX153" s="127"/>
      <c r="BY153" s="127"/>
      <c r="BZ153" s="127"/>
      <c r="CA153" s="127"/>
      <c r="CB153" s="127"/>
      <c r="CC153" s="127"/>
      <c r="CD153" s="127"/>
      <c r="CE153" s="127"/>
      <c r="CF153" s="127"/>
      <c r="CG153" s="127"/>
      <c r="CH153" s="127"/>
      <c r="CI153" s="127"/>
      <c r="CJ153" s="127"/>
      <c r="CK153" s="127"/>
      <c r="CL153" s="127"/>
      <c r="CM153" s="127"/>
      <c r="CN153" s="127"/>
      <c r="CO153" s="127"/>
      <c r="CP153" s="127"/>
      <c r="CQ153" s="127"/>
      <c r="CR153" s="127"/>
      <c r="CS153" s="127"/>
      <c r="CT153" s="127"/>
      <c r="CU153" s="127"/>
      <c r="CV153" s="127"/>
      <c r="CW153" s="127"/>
      <c r="CX153" s="127"/>
      <c r="CY153" s="127"/>
      <c r="CZ153" s="127"/>
      <c r="DA153" s="127"/>
      <c r="DB153" s="127"/>
      <c r="DC153" s="127"/>
      <c r="DD153" s="127"/>
      <c r="DE153" s="127"/>
      <c r="DF153" s="127"/>
      <c r="DG153" s="127"/>
      <c r="DH153" s="127"/>
      <c r="DI153" s="127"/>
      <c r="DJ153" s="127"/>
      <c r="DK153" s="127"/>
      <c r="DL153" s="127"/>
      <c r="DM153" s="127"/>
      <c r="DN153" s="127"/>
      <c r="DO153" s="127"/>
      <c r="DP153" s="127"/>
      <c r="DQ153" s="127"/>
      <c r="DR153" s="127"/>
      <c r="DS153" s="127"/>
      <c r="DT153" s="127"/>
      <c r="DU153" s="127"/>
      <c r="DV153" s="127"/>
      <c r="DW153" s="127"/>
      <c r="DX153" s="127"/>
      <c r="DY153" s="127"/>
      <c r="DZ153" s="127"/>
      <c r="EA153" s="127"/>
      <c r="EB153" s="127"/>
      <c r="EC153" s="127"/>
      <c r="ED153" s="127"/>
      <c r="EE153" s="127"/>
      <c r="EF153" s="127"/>
      <c r="EG153" s="127"/>
      <c r="EH153" s="127"/>
      <c r="EI153" s="127"/>
      <c r="EJ153" s="127"/>
      <c r="EK153" s="127"/>
      <c r="EL153" s="127"/>
      <c r="EM153" s="127"/>
      <c r="EN153" s="127"/>
      <c r="EO153" s="127"/>
      <c r="EP153" s="127"/>
      <c r="EQ153" s="127"/>
      <c r="ER153" s="127"/>
      <c r="ES153" s="127"/>
      <c r="ET153" s="127"/>
      <c r="EU153" s="127"/>
      <c r="EV153" s="127"/>
      <c r="EW153" s="127"/>
      <c r="EX153" s="127"/>
      <c r="EY153" s="127"/>
      <c r="EZ153" s="127"/>
      <c r="FA153" s="127"/>
      <c r="FB153" s="127"/>
      <c r="FC153" s="127"/>
      <c r="FD153" s="127"/>
      <c r="FE153" s="127"/>
      <c r="FF153" s="127"/>
      <c r="FG153" s="127"/>
      <c r="FH153" s="127"/>
      <c r="FI153" s="127"/>
      <c r="FJ153" s="127"/>
      <c r="FK153" s="127"/>
      <c r="FL153" s="127"/>
      <c r="FM153" s="127"/>
      <c r="FN153" s="127"/>
      <c r="FO153" s="127"/>
      <c r="FP153" s="127"/>
      <c r="FQ153" s="127"/>
      <c r="FR153" s="127"/>
      <c r="FS153" s="127"/>
      <c r="FT153" s="127"/>
      <c r="FU153" s="127"/>
      <c r="FV153" s="127"/>
      <c r="FW153" s="127"/>
      <c r="FX153" s="127"/>
      <c r="FY153" s="127"/>
      <c r="FZ153" s="127"/>
      <c r="GA153" s="127"/>
      <c r="GB153" s="127"/>
      <c r="GC153" s="127"/>
      <c r="GD153" s="127"/>
      <c r="GE153" s="127"/>
      <c r="GF153" s="127"/>
      <c r="GG153" s="127"/>
      <c r="GH153" s="127"/>
      <c r="GI153" s="127"/>
      <c r="GJ153" s="127"/>
      <c r="GK153" s="127"/>
      <c r="GL153" s="127"/>
      <c r="GM153" s="127"/>
      <c r="GN153" s="127"/>
      <c r="GO153" s="127"/>
      <c r="GP153" s="127"/>
      <c r="GQ153" s="127"/>
      <c r="GR153" s="127"/>
      <c r="GS153" s="127"/>
      <c r="GT153" s="127"/>
      <c r="GU153" s="127"/>
      <c r="GV153" s="127"/>
      <c r="GW153" s="127"/>
      <c r="GX153" s="127"/>
      <c r="GY153" s="127"/>
      <c r="GZ153" s="127"/>
      <c r="HA153" s="127"/>
      <c r="HB153" s="127"/>
      <c r="HC153" s="127"/>
      <c r="HD153" s="127"/>
      <c r="HE153" s="127"/>
      <c r="HF153" s="127"/>
      <c r="HG153" s="127"/>
      <c r="HH153" s="127"/>
      <c r="HI153" s="127"/>
      <c r="HJ153" s="127"/>
      <c r="HK153" s="127"/>
      <c r="HL153" s="127"/>
      <c r="HM153" s="127"/>
      <c r="HN153" s="127"/>
      <c r="HO153" s="127"/>
      <c r="HP153" s="127"/>
      <c r="HQ153" s="127"/>
      <c r="HR153" s="127"/>
      <c r="HS153" s="127"/>
      <c r="HT153" s="127"/>
      <c r="HU153" s="127"/>
      <c r="HV153" s="127"/>
      <c r="HW153" s="127"/>
      <c r="HX153" s="127"/>
      <c r="HY153" s="127"/>
      <c r="HZ153" s="127"/>
      <c r="IA153" s="127"/>
      <c r="IB153" s="127"/>
      <c r="IC153" s="127"/>
      <c r="ID153" s="127"/>
      <c r="IE153" s="127"/>
      <c r="IF153" s="127"/>
      <c r="IG153" s="127"/>
      <c r="IH153" s="127"/>
      <c r="II153" s="127"/>
      <c r="IJ153" s="127"/>
      <c r="IK153" s="127"/>
      <c r="IL153" s="127"/>
      <c r="IM153" s="127"/>
      <c r="IN153" s="127"/>
      <c r="IO153" s="127"/>
      <c r="IP153" s="127"/>
      <c r="IQ153" s="127"/>
      <c r="IR153" s="127"/>
      <c r="IS153" s="127"/>
      <c r="IT153" s="127"/>
      <c r="IU153" s="127"/>
      <c r="IV153" s="127"/>
    </row>
    <row r="154" spans="1:256" s="122" customFormat="1" x14ac:dyDescent="0.25">
      <c r="A154" s="130"/>
      <c r="B154" s="125"/>
      <c r="C154" s="125"/>
      <c r="E154" s="127"/>
      <c r="F154" s="125"/>
      <c r="G154" s="125"/>
      <c r="H154" s="125"/>
      <c r="I154" s="125"/>
      <c r="J154" s="125"/>
      <c r="K154" s="314"/>
      <c r="L154" s="125"/>
      <c r="M154" s="127"/>
      <c r="S154" s="127"/>
      <c r="T154" s="127"/>
      <c r="U154" s="127"/>
      <c r="V154" s="127"/>
      <c r="W154" s="127"/>
      <c r="X154" s="127"/>
      <c r="Y154" s="127"/>
      <c r="Z154" s="127"/>
      <c r="AA154" s="127"/>
      <c r="AB154" s="127"/>
      <c r="AC154" s="127"/>
      <c r="AD154" s="127"/>
      <c r="AE154" s="127"/>
      <c r="AF154" s="127"/>
      <c r="AG154" s="127"/>
      <c r="AH154" s="127"/>
      <c r="AI154" s="127"/>
      <c r="AJ154" s="127"/>
      <c r="AK154" s="127"/>
      <c r="AL154" s="127"/>
      <c r="AM154" s="127"/>
      <c r="AN154" s="127"/>
      <c r="AO154" s="127"/>
      <c r="AP154" s="127"/>
      <c r="AQ154" s="127"/>
      <c r="AR154" s="127"/>
      <c r="AS154" s="127"/>
      <c r="AT154" s="127"/>
      <c r="AU154" s="127"/>
      <c r="AV154" s="127"/>
      <c r="AW154" s="127"/>
      <c r="AX154" s="127"/>
      <c r="AY154" s="127"/>
      <c r="AZ154" s="127"/>
      <c r="BA154" s="127"/>
      <c r="BB154" s="127"/>
      <c r="BC154" s="127"/>
      <c r="BD154" s="127"/>
      <c r="BE154" s="127"/>
      <c r="BF154" s="127"/>
      <c r="BG154" s="127"/>
      <c r="BH154" s="127"/>
      <c r="BI154" s="127"/>
      <c r="BJ154" s="127"/>
      <c r="BK154" s="127"/>
      <c r="BL154" s="127"/>
      <c r="BM154" s="127"/>
      <c r="BN154" s="127"/>
      <c r="BO154" s="127"/>
      <c r="BP154" s="127"/>
      <c r="BQ154" s="127"/>
      <c r="BR154" s="127"/>
      <c r="BS154" s="127"/>
      <c r="BT154" s="127"/>
      <c r="BU154" s="127"/>
      <c r="BV154" s="127"/>
      <c r="BW154" s="127"/>
      <c r="BX154" s="127"/>
      <c r="BY154" s="127"/>
      <c r="BZ154" s="127"/>
      <c r="CA154" s="127"/>
      <c r="CB154" s="127"/>
      <c r="CC154" s="127"/>
      <c r="CD154" s="127"/>
      <c r="CE154" s="127"/>
      <c r="CF154" s="127"/>
      <c r="CG154" s="127"/>
      <c r="CH154" s="127"/>
      <c r="CI154" s="127"/>
      <c r="CJ154" s="127"/>
      <c r="CK154" s="127"/>
      <c r="CL154" s="127"/>
      <c r="CM154" s="127"/>
      <c r="CN154" s="127"/>
      <c r="CO154" s="127"/>
      <c r="CP154" s="127"/>
      <c r="CQ154" s="127"/>
      <c r="CR154" s="127"/>
      <c r="CS154" s="127"/>
      <c r="CT154" s="127"/>
      <c r="CU154" s="127"/>
      <c r="CV154" s="127"/>
      <c r="CW154" s="127"/>
      <c r="CX154" s="127"/>
      <c r="CY154" s="127"/>
      <c r="CZ154" s="127"/>
      <c r="DA154" s="127"/>
      <c r="DB154" s="127"/>
      <c r="DC154" s="127"/>
      <c r="DD154" s="127"/>
      <c r="DE154" s="127"/>
      <c r="DF154" s="127"/>
      <c r="DG154" s="127"/>
      <c r="DH154" s="127"/>
      <c r="DI154" s="127"/>
      <c r="DJ154" s="127"/>
      <c r="DK154" s="127"/>
      <c r="DL154" s="127"/>
      <c r="DM154" s="127"/>
      <c r="DN154" s="127"/>
      <c r="DO154" s="127"/>
      <c r="DP154" s="127"/>
      <c r="DQ154" s="127"/>
      <c r="DR154" s="127"/>
      <c r="DS154" s="127"/>
      <c r="DT154" s="127"/>
      <c r="DU154" s="127"/>
      <c r="DV154" s="127"/>
      <c r="DW154" s="127"/>
      <c r="DX154" s="127"/>
      <c r="DY154" s="127"/>
      <c r="DZ154" s="127"/>
      <c r="EA154" s="127"/>
      <c r="EB154" s="127"/>
      <c r="EC154" s="127"/>
      <c r="ED154" s="127"/>
      <c r="EE154" s="127"/>
      <c r="EF154" s="127"/>
      <c r="EG154" s="127"/>
      <c r="EH154" s="127"/>
      <c r="EI154" s="127"/>
      <c r="EJ154" s="127"/>
      <c r="EK154" s="127"/>
      <c r="EL154" s="127"/>
      <c r="EM154" s="127"/>
      <c r="EN154" s="127"/>
      <c r="EO154" s="127"/>
      <c r="EP154" s="127"/>
      <c r="EQ154" s="127"/>
      <c r="ER154" s="127"/>
      <c r="ES154" s="127"/>
      <c r="ET154" s="127"/>
      <c r="EU154" s="127"/>
      <c r="EV154" s="127"/>
      <c r="EW154" s="127"/>
      <c r="EX154" s="127"/>
      <c r="EY154" s="127"/>
      <c r="EZ154" s="127"/>
      <c r="FA154" s="127"/>
      <c r="FB154" s="127"/>
      <c r="FC154" s="127"/>
      <c r="FD154" s="127"/>
      <c r="FE154" s="127"/>
      <c r="FF154" s="127"/>
      <c r="FG154" s="127"/>
      <c r="FH154" s="127"/>
      <c r="FI154" s="127"/>
      <c r="FJ154" s="127"/>
      <c r="FK154" s="127"/>
      <c r="FL154" s="127"/>
      <c r="FM154" s="127"/>
      <c r="FN154" s="127"/>
      <c r="FO154" s="127"/>
      <c r="FP154" s="127"/>
      <c r="FQ154" s="127"/>
      <c r="FR154" s="127"/>
      <c r="FS154" s="127"/>
      <c r="FT154" s="127"/>
      <c r="FU154" s="127"/>
      <c r="FV154" s="127"/>
      <c r="FW154" s="127"/>
      <c r="FX154" s="127"/>
      <c r="FY154" s="127"/>
      <c r="FZ154" s="127"/>
      <c r="GA154" s="127"/>
      <c r="GB154" s="127"/>
      <c r="GC154" s="127"/>
      <c r="GD154" s="127"/>
      <c r="GE154" s="127"/>
      <c r="GF154" s="127"/>
      <c r="GG154" s="127"/>
      <c r="GH154" s="127"/>
      <c r="GI154" s="127"/>
      <c r="GJ154" s="127"/>
      <c r="GK154" s="127"/>
      <c r="GL154" s="127"/>
      <c r="GM154" s="127"/>
      <c r="GN154" s="127"/>
      <c r="GO154" s="127"/>
      <c r="GP154" s="127"/>
      <c r="GQ154" s="127"/>
      <c r="GR154" s="127"/>
      <c r="GS154" s="127"/>
      <c r="GT154" s="127"/>
      <c r="GU154" s="127"/>
      <c r="GV154" s="127"/>
      <c r="GW154" s="127"/>
      <c r="GX154" s="127"/>
      <c r="GY154" s="127"/>
      <c r="GZ154" s="127"/>
      <c r="HA154" s="127"/>
      <c r="HB154" s="127"/>
      <c r="HC154" s="127"/>
      <c r="HD154" s="127"/>
      <c r="HE154" s="127"/>
      <c r="HF154" s="127"/>
      <c r="HG154" s="127"/>
      <c r="HH154" s="127"/>
      <c r="HI154" s="127"/>
      <c r="HJ154" s="127"/>
      <c r="HK154" s="127"/>
      <c r="HL154" s="127"/>
      <c r="HM154" s="127"/>
      <c r="HN154" s="127"/>
      <c r="HO154" s="127"/>
      <c r="HP154" s="127"/>
      <c r="HQ154" s="127"/>
      <c r="HR154" s="127"/>
      <c r="HS154" s="127"/>
      <c r="HT154" s="127"/>
      <c r="HU154" s="127"/>
      <c r="HV154" s="127"/>
      <c r="HW154" s="127"/>
      <c r="HX154" s="127"/>
      <c r="HY154" s="127"/>
      <c r="HZ154" s="127"/>
      <c r="IA154" s="127"/>
      <c r="IB154" s="127"/>
      <c r="IC154" s="127"/>
      <c r="ID154" s="127"/>
      <c r="IE154" s="127"/>
      <c r="IF154" s="127"/>
      <c r="IG154" s="127"/>
      <c r="IH154" s="127"/>
      <c r="II154" s="127"/>
      <c r="IJ154" s="127"/>
      <c r="IK154" s="127"/>
      <c r="IL154" s="127"/>
      <c r="IM154" s="127"/>
      <c r="IN154" s="127"/>
      <c r="IO154" s="127"/>
      <c r="IP154" s="127"/>
      <c r="IQ154" s="127"/>
      <c r="IR154" s="127"/>
      <c r="IS154" s="127"/>
      <c r="IT154" s="127"/>
      <c r="IU154" s="127"/>
      <c r="IV154" s="127"/>
    </row>
    <row r="155" spans="1:256" s="122" customFormat="1" x14ac:dyDescent="0.25">
      <c r="A155" s="130"/>
      <c r="B155" s="125"/>
      <c r="C155" s="125"/>
      <c r="D155" s="127"/>
      <c r="E155" s="127"/>
      <c r="F155" s="125"/>
      <c r="G155" s="125"/>
      <c r="H155" s="125"/>
      <c r="I155" s="125"/>
      <c r="J155" s="125"/>
      <c r="K155" s="314"/>
      <c r="L155" s="125"/>
      <c r="M155" s="127"/>
      <c r="S155" s="127"/>
      <c r="T155" s="127"/>
      <c r="U155" s="127"/>
      <c r="V155" s="127"/>
      <c r="W155" s="127"/>
      <c r="X155" s="127"/>
      <c r="Y155" s="127"/>
      <c r="Z155" s="127"/>
      <c r="AA155" s="127"/>
      <c r="AB155" s="127"/>
      <c r="AC155" s="127"/>
      <c r="AD155" s="127"/>
      <c r="AE155" s="127"/>
      <c r="AF155" s="127"/>
      <c r="AG155" s="127"/>
      <c r="AH155" s="127"/>
      <c r="AI155" s="127"/>
      <c r="AJ155" s="127"/>
      <c r="AK155" s="127"/>
      <c r="AL155" s="127"/>
      <c r="AM155" s="127"/>
      <c r="AN155" s="127"/>
      <c r="AO155" s="127"/>
      <c r="AP155" s="127"/>
      <c r="AQ155" s="127"/>
      <c r="AR155" s="127"/>
      <c r="AS155" s="127"/>
      <c r="AT155" s="127"/>
      <c r="AU155" s="127"/>
      <c r="AV155" s="127"/>
      <c r="AW155" s="127"/>
      <c r="AX155" s="127"/>
      <c r="AY155" s="127"/>
      <c r="AZ155" s="127"/>
      <c r="BA155" s="127"/>
      <c r="BB155" s="127"/>
      <c r="BC155" s="127"/>
      <c r="BD155" s="127"/>
      <c r="BE155" s="127"/>
      <c r="BF155" s="127"/>
      <c r="BG155" s="127"/>
      <c r="BH155" s="127"/>
      <c r="BI155" s="127"/>
      <c r="BJ155" s="127"/>
      <c r="BK155" s="127"/>
      <c r="BL155" s="127"/>
      <c r="BM155" s="127"/>
      <c r="BN155" s="127"/>
      <c r="BO155" s="127"/>
      <c r="BP155" s="127"/>
      <c r="BQ155" s="127"/>
      <c r="BR155" s="127"/>
      <c r="BS155" s="127"/>
      <c r="BT155" s="127"/>
      <c r="BU155" s="127"/>
      <c r="BV155" s="127"/>
      <c r="BW155" s="127"/>
      <c r="BX155" s="127"/>
      <c r="BY155" s="127"/>
      <c r="BZ155" s="127"/>
      <c r="CA155" s="127"/>
      <c r="CB155" s="127"/>
      <c r="CC155" s="127"/>
      <c r="CD155" s="127"/>
      <c r="CE155" s="127"/>
      <c r="CF155" s="127"/>
      <c r="CG155" s="127"/>
      <c r="CH155" s="127"/>
      <c r="CI155" s="127"/>
      <c r="CJ155" s="127"/>
      <c r="CK155" s="127"/>
      <c r="CL155" s="127"/>
      <c r="CM155" s="127"/>
      <c r="CN155" s="127"/>
      <c r="CO155" s="127"/>
      <c r="CP155" s="127"/>
      <c r="CQ155" s="127"/>
      <c r="CR155" s="127"/>
      <c r="CS155" s="127"/>
      <c r="CT155" s="127"/>
      <c r="CU155" s="127"/>
      <c r="CV155" s="127"/>
      <c r="CW155" s="127"/>
      <c r="CX155" s="127"/>
      <c r="CY155" s="127"/>
      <c r="CZ155" s="127"/>
      <c r="DA155" s="127"/>
      <c r="DB155" s="127"/>
      <c r="DC155" s="127"/>
      <c r="DD155" s="127"/>
      <c r="DE155" s="127"/>
      <c r="DF155" s="127"/>
      <c r="DG155" s="127"/>
      <c r="DH155" s="127"/>
      <c r="DI155" s="127"/>
      <c r="DJ155" s="127"/>
      <c r="DK155" s="127"/>
      <c r="DL155" s="127"/>
      <c r="DM155" s="127"/>
      <c r="DN155" s="127"/>
      <c r="DO155" s="127"/>
      <c r="DP155" s="127"/>
      <c r="DQ155" s="127"/>
      <c r="DR155" s="127"/>
      <c r="DS155" s="127"/>
      <c r="DT155" s="127"/>
      <c r="DU155" s="127"/>
      <c r="DV155" s="127"/>
      <c r="DW155" s="127"/>
      <c r="DX155" s="127"/>
      <c r="DY155" s="127"/>
      <c r="DZ155" s="127"/>
      <c r="EA155" s="127"/>
      <c r="EB155" s="127"/>
      <c r="EC155" s="127"/>
      <c r="ED155" s="127"/>
      <c r="EE155" s="127"/>
      <c r="EF155" s="127"/>
      <c r="EG155" s="127"/>
      <c r="EH155" s="127"/>
      <c r="EI155" s="127"/>
      <c r="EJ155" s="127"/>
      <c r="EK155" s="127"/>
      <c r="EL155" s="127"/>
      <c r="EM155" s="127"/>
      <c r="EN155" s="127"/>
      <c r="EO155" s="127"/>
      <c r="EP155" s="127"/>
      <c r="EQ155" s="127"/>
      <c r="ER155" s="127"/>
      <c r="ES155" s="127"/>
      <c r="ET155" s="127"/>
      <c r="EU155" s="127"/>
      <c r="EV155" s="127"/>
      <c r="EW155" s="127"/>
      <c r="EX155" s="127"/>
      <c r="EY155" s="127"/>
      <c r="EZ155" s="127"/>
      <c r="FA155" s="127"/>
      <c r="FB155" s="127"/>
      <c r="FC155" s="127"/>
      <c r="FD155" s="127"/>
      <c r="FE155" s="127"/>
      <c r="FF155" s="127"/>
      <c r="FG155" s="127"/>
      <c r="FH155" s="127"/>
      <c r="FI155" s="127"/>
      <c r="FJ155" s="127"/>
      <c r="FK155" s="127"/>
      <c r="FL155" s="127"/>
      <c r="FM155" s="127"/>
      <c r="FN155" s="127"/>
      <c r="FO155" s="127"/>
      <c r="FP155" s="127"/>
      <c r="FQ155" s="127"/>
      <c r="FR155" s="127"/>
      <c r="FS155" s="127"/>
      <c r="FT155" s="127"/>
      <c r="FU155" s="127"/>
      <c r="FV155" s="127"/>
      <c r="FW155" s="127"/>
      <c r="FX155" s="127"/>
      <c r="FY155" s="127"/>
      <c r="FZ155" s="127"/>
      <c r="GA155" s="127"/>
      <c r="GB155" s="127"/>
      <c r="GC155" s="127"/>
      <c r="GD155" s="127"/>
      <c r="GE155" s="127"/>
      <c r="GF155" s="127"/>
      <c r="GG155" s="127"/>
      <c r="GH155" s="127"/>
      <c r="GI155" s="127"/>
      <c r="GJ155" s="127"/>
      <c r="GK155" s="127"/>
      <c r="GL155" s="127"/>
      <c r="GM155" s="127"/>
      <c r="GN155" s="127"/>
      <c r="GO155" s="127"/>
      <c r="GP155" s="127"/>
      <c r="GQ155" s="127"/>
      <c r="GR155" s="127"/>
      <c r="GS155" s="127"/>
      <c r="GT155" s="127"/>
      <c r="GU155" s="127"/>
      <c r="GV155" s="127"/>
      <c r="GW155" s="127"/>
      <c r="GX155" s="127"/>
      <c r="GY155" s="127"/>
      <c r="GZ155" s="127"/>
      <c r="HA155" s="127"/>
      <c r="HB155" s="127"/>
      <c r="HC155" s="127"/>
      <c r="HD155" s="127"/>
      <c r="HE155" s="127"/>
      <c r="HF155" s="127"/>
      <c r="HG155" s="127"/>
      <c r="HH155" s="127"/>
      <c r="HI155" s="127"/>
      <c r="HJ155" s="127"/>
      <c r="HK155" s="127"/>
      <c r="HL155" s="127"/>
      <c r="HM155" s="127"/>
      <c r="HN155" s="127"/>
      <c r="HO155" s="127"/>
      <c r="HP155" s="127"/>
      <c r="HQ155" s="127"/>
      <c r="HR155" s="127"/>
      <c r="HS155" s="127"/>
      <c r="HT155" s="127"/>
      <c r="HU155" s="127"/>
      <c r="HV155" s="127"/>
      <c r="HW155" s="127"/>
      <c r="HX155" s="127"/>
      <c r="HY155" s="127"/>
      <c r="HZ155" s="127"/>
      <c r="IA155" s="127"/>
      <c r="IB155" s="127"/>
      <c r="IC155" s="127"/>
      <c r="ID155" s="127"/>
      <c r="IE155" s="127"/>
      <c r="IF155" s="127"/>
      <c r="IG155" s="127"/>
      <c r="IH155" s="127"/>
      <c r="II155" s="127"/>
      <c r="IJ155" s="127"/>
      <c r="IK155" s="127"/>
      <c r="IL155" s="127"/>
      <c r="IM155" s="127"/>
      <c r="IN155" s="127"/>
      <c r="IO155" s="127"/>
      <c r="IP155" s="127"/>
      <c r="IQ155" s="127"/>
      <c r="IR155" s="127"/>
      <c r="IS155" s="127"/>
      <c r="IT155" s="127"/>
      <c r="IU155" s="127"/>
      <c r="IV155" s="127"/>
    </row>
    <row r="156" spans="1:256" s="122" customFormat="1" x14ac:dyDescent="0.25">
      <c r="A156" s="130"/>
      <c r="B156" s="125"/>
      <c r="C156" s="125"/>
      <c r="D156" s="127"/>
      <c r="E156" s="127"/>
      <c r="F156" s="125"/>
      <c r="G156" s="125"/>
      <c r="H156" s="125"/>
      <c r="I156" s="125"/>
      <c r="J156" s="125"/>
      <c r="K156" s="314"/>
      <c r="L156" s="125"/>
      <c r="M156" s="127"/>
      <c r="N156" s="127"/>
      <c r="O156" s="127"/>
      <c r="P156" s="127"/>
      <c r="Q156" s="127"/>
      <c r="R156" s="127"/>
      <c r="S156" s="127"/>
      <c r="T156" s="127"/>
      <c r="U156" s="127"/>
      <c r="V156" s="127"/>
      <c r="W156" s="127"/>
      <c r="X156" s="127"/>
      <c r="Y156" s="127"/>
      <c r="Z156" s="127"/>
      <c r="AA156" s="127"/>
      <c r="AB156" s="127"/>
      <c r="AC156" s="127"/>
      <c r="AD156" s="127"/>
      <c r="AE156" s="127"/>
      <c r="AF156" s="127"/>
      <c r="AG156" s="127"/>
      <c r="AH156" s="127"/>
      <c r="AI156" s="127"/>
      <c r="AJ156" s="127"/>
      <c r="AK156" s="127"/>
      <c r="AL156" s="127"/>
      <c r="AM156" s="127"/>
      <c r="AN156" s="127"/>
      <c r="AO156" s="127"/>
      <c r="AP156" s="127"/>
      <c r="AQ156" s="127"/>
      <c r="AR156" s="127"/>
      <c r="AS156" s="127"/>
      <c r="AT156" s="127"/>
      <c r="AU156" s="127"/>
      <c r="AV156" s="127"/>
      <c r="AW156" s="127"/>
      <c r="AX156" s="127"/>
      <c r="AY156" s="127"/>
      <c r="AZ156" s="127"/>
      <c r="BA156" s="127"/>
      <c r="BB156" s="127"/>
      <c r="BC156" s="127"/>
      <c r="BD156" s="127"/>
      <c r="BE156" s="127"/>
      <c r="BF156" s="127"/>
      <c r="BG156" s="127"/>
      <c r="BH156" s="127"/>
      <c r="BI156" s="127"/>
      <c r="BJ156" s="127"/>
      <c r="BK156" s="127"/>
      <c r="BL156" s="127"/>
      <c r="BM156" s="127"/>
      <c r="BN156" s="127"/>
      <c r="BO156" s="127"/>
      <c r="BP156" s="127"/>
      <c r="BQ156" s="127"/>
      <c r="BR156" s="127"/>
      <c r="BS156" s="127"/>
      <c r="BT156" s="127"/>
      <c r="BU156" s="127"/>
      <c r="BV156" s="127"/>
      <c r="BW156" s="127"/>
      <c r="BX156" s="127"/>
      <c r="BY156" s="127"/>
      <c r="BZ156" s="127"/>
      <c r="CA156" s="127"/>
      <c r="CB156" s="127"/>
      <c r="CC156" s="127"/>
      <c r="CD156" s="127"/>
      <c r="CE156" s="127"/>
      <c r="CF156" s="127"/>
      <c r="CG156" s="127"/>
      <c r="CH156" s="127"/>
      <c r="CI156" s="127"/>
      <c r="CJ156" s="127"/>
      <c r="CK156" s="127"/>
      <c r="CL156" s="127"/>
      <c r="CM156" s="127"/>
      <c r="CN156" s="127"/>
      <c r="CO156" s="127"/>
      <c r="CP156" s="127"/>
      <c r="CQ156" s="127"/>
      <c r="CR156" s="127"/>
      <c r="CS156" s="127"/>
      <c r="CT156" s="127"/>
      <c r="CU156" s="127"/>
      <c r="CV156" s="127"/>
      <c r="CW156" s="127"/>
      <c r="CX156" s="127"/>
      <c r="CY156" s="127"/>
      <c r="CZ156" s="127"/>
      <c r="DA156" s="127"/>
      <c r="DB156" s="127"/>
      <c r="DC156" s="127"/>
      <c r="DD156" s="127"/>
      <c r="DE156" s="127"/>
      <c r="DF156" s="127"/>
      <c r="DG156" s="127"/>
      <c r="DH156" s="127"/>
      <c r="DI156" s="127"/>
      <c r="DJ156" s="127"/>
      <c r="DK156" s="127"/>
      <c r="DL156" s="127"/>
      <c r="DM156" s="127"/>
      <c r="DN156" s="127"/>
      <c r="DO156" s="127"/>
      <c r="DP156" s="127"/>
      <c r="DQ156" s="127"/>
      <c r="DR156" s="127"/>
      <c r="DS156" s="127"/>
      <c r="DT156" s="127"/>
      <c r="DU156" s="127"/>
      <c r="DV156" s="127"/>
      <c r="DW156" s="127"/>
      <c r="DX156" s="127"/>
      <c r="DY156" s="127"/>
      <c r="DZ156" s="127"/>
      <c r="EA156" s="127"/>
      <c r="EB156" s="127"/>
      <c r="EC156" s="127"/>
      <c r="ED156" s="127"/>
      <c r="EE156" s="127"/>
      <c r="EF156" s="127"/>
      <c r="EG156" s="127"/>
      <c r="EH156" s="127"/>
      <c r="EI156" s="127"/>
      <c r="EJ156" s="127"/>
      <c r="EK156" s="127"/>
      <c r="EL156" s="127"/>
      <c r="EM156" s="127"/>
      <c r="EN156" s="127"/>
      <c r="EO156" s="127"/>
      <c r="EP156" s="127"/>
      <c r="EQ156" s="127"/>
      <c r="ER156" s="127"/>
      <c r="ES156" s="127"/>
      <c r="ET156" s="127"/>
      <c r="EU156" s="127"/>
      <c r="EV156" s="127"/>
      <c r="EW156" s="127"/>
      <c r="EX156" s="127"/>
      <c r="EY156" s="127"/>
      <c r="EZ156" s="127"/>
      <c r="FA156" s="127"/>
      <c r="FB156" s="127"/>
      <c r="FC156" s="127"/>
      <c r="FD156" s="127"/>
      <c r="FE156" s="127"/>
      <c r="FF156" s="127"/>
      <c r="FG156" s="127"/>
      <c r="FH156" s="127"/>
      <c r="FI156" s="127"/>
      <c r="FJ156" s="127"/>
      <c r="FK156" s="127"/>
      <c r="FL156" s="127"/>
      <c r="FM156" s="127"/>
      <c r="FN156" s="127"/>
      <c r="FO156" s="127"/>
      <c r="FP156" s="127"/>
      <c r="FQ156" s="127"/>
      <c r="FR156" s="127"/>
      <c r="FS156" s="127"/>
      <c r="FT156" s="127"/>
      <c r="FU156" s="127"/>
      <c r="FV156" s="127"/>
      <c r="FW156" s="127"/>
      <c r="FX156" s="127"/>
      <c r="FY156" s="127"/>
      <c r="FZ156" s="127"/>
      <c r="GA156" s="127"/>
      <c r="GB156" s="127"/>
      <c r="GC156" s="127"/>
      <c r="GD156" s="127"/>
      <c r="GE156" s="127"/>
      <c r="GF156" s="127"/>
      <c r="GG156" s="127"/>
      <c r="GH156" s="127"/>
      <c r="GI156" s="127"/>
      <c r="GJ156" s="127"/>
      <c r="GK156" s="127"/>
      <c r="GL156" s="127"/>
      <c r="GM156" s="127"/>
      <c r="GN156" s="127"/>
      <c r="GO156" s="127"/>
      <c r="GP156" s="127"/>
      <c r="GQ156" s="127"/>
      <c r="GR156" s="127"/>
      <c r="GS156" s="127"/>
      <c r="GT156" s="127"/>
      <c r="GU156" s="127"/>
      <c r="GV156" s="127"/>
      <c r="GW156" s="127"/>
      <c r="GX156" s="127"/>
      <c r="GY156" s="127"/>
      <c r="GZ156" s="127"/>
      <c r="HA156" s="127"/>
      <c r="HB156" s="127"/>
      <c r="HC156" s="127"/>
      <c r="HD156" s="127"/>
      <c r="HE156" s="127"/>
      <c r="HF156" s="127"/>
      <c r="HG156" s="127"/>
      <c r="HH156" s="127"/>
      <c r="HI156" s="127"/>
      <c r="HJ156" s="127"/>
      <c r="HK156" s="127"/>
      <c r="HL156" s="127"/>
      <c r="HM156" s="127"/>
      <c r="HN156" s="127"/>
      <c r="HO156" s="127"/>
      <c r="HP156" s="127"/>
      <c r="HQ156" s="127"/>
      <c r="HR156" s="127"/>
      <c r="HS156" s="127"/>
      <c r="HT156" s="127"/>
      <c r="HU156" s="127"/>
      <c r="HV156" s="127"/>
      <c r="HW156" s="127"/>
      <c r="HX156" s="127"/>
      <c r="HY156" s="127"/>
      <c r="HZ156" s="127"/>
      <c r="IA156" s="127"/>
      <c r="IB156" s="127"/>
      <c r="IC156" s="127"/>
      <c r="ID156" s="127"/>
      <c r="IE156" s="127"/>
      <c r="IF156" s="127"/>
      <c r="IG156" s="127"/>
      <c r="IH156" s="127"/>
      <c r="II156" s="127"/>
      <c r="IJ156" s="127"/>
      <c r="IK156" s="127"/>
      <c r="IL156" s="127"/>
      <c r="IM156" s="127"/>
      <c r="IN156" s="127"/>
      <c r="IO156" s="127"/>
      <c r="IP156" s="127"/>
      <c r="IQ156" s="127"/>
      <c r="IR156" s="127"/>
      <c r="IS156" s="127"/>
      <c r="IT156" s="127"/>
      <c r="IU156" s="127"/>
      <c r="IV156" s="127"/>
    </row>
    <row r="157" spans="1:256" s="122" customFormat="1" x14ac:dyDescent="0.25">
      <c r="A157" s="130"/>
      <c r="B157" s="125"/>
      <c r="C157" s="125"/>
      <c r="D157" s="127"/>
      <c r="E157" s="127"/>
      <c r="F157" s="125"/>
      <c r="G157" s="125"/>
      <c r="H157" s="125"/>
      <c r="I157" s="125"/>
      <c r="J157" s="125"/>
      <c r="K157" s="314"/>
      <c r="L157" s="125"/>
      <c r="M157" s="127"/>
      <c r="N157" s="127"/>
      <c r="O157" s="127"/>
      <c r="P157" s="127"/>
      <c r="Q157" s="127"/>
      <c r="R157" s="127"/>
    </row>
    <row r="158" spans="1:256" s="122" customFormat="1" x14ac:dyDescent="0.25">
      <c r="A158" s="130"/>
      <c r="B158" s="125"/>
      <c r="C158" s="125"/>
      <c r="D158" s="127"/>
      <c r="E158" s="127"/>
      <c r="F158" s="125"/>
      <c r="G158" s="125"/>
      <c r="H158" s="125"/>
      <c r="I158" s="125"/>
      <c r="J158" s="125"/>
      <c r="K158" s="314"/>
      <c r="L158" s="125"/>
      <c r="M158" s="127"/>
      <c r="N158" s="127"/>
      <c r="O158" s="127"/>
      <c r="P158" s="127"/>
      <c r="Q158" s="127"/>
      <c r="R158" s="127"/>
    </row>
    <row r="159" spans="1:256" s="122" customFormat="1" x14ac:dyDescent="0.25">
      <c r="A159" s="130"/>
      <c r="B159" s="125"/>
      <c r="C159" s="125"/>
      <c r="D159" s="127"/>
      <c r="E159" s="127"/>
      <c r="F159" s="125"/>
      <c r="G159" s="125"/>
      <c r="H159" s="125"/>
      <c r="I159" s="125"/>
      <c r="J159" s="125"/>
      <c r="K159" s="314"/>
      <c r="L159" s="125"/>
      <c r="M159" s="127"/>
      <c r="N159" s="127"/>
      <c r="O159" s="127"/>
      <c r="P159" s="127"/>
      <c r="Q159" s="127"/>
      <c r="R159" s="127"/>
    </row>
    <row r="160" spans="1:256" s="122" customFormat="1" x14ac:dyDescent="0.25">
      <c r="A160" s="130"/>
      <c r="B160" s="125"/>
      <c r="C160" s="125"/>
      <c r="D160" s="127"/>
      <c r="E160" s="127"/>
      <c r="F160" s="125"/>
      <c r="G160" s="125"/>
      <c r="H160" s="125"/>
      <c r="I160" s="125"/>
      <c r="J160" s="125"/>
      <c r="K160" s="314"/>
      <c r="L160" s="125"/>
      <c r="M160" s="127"/>
    </row>
    <row r="161" spans="1:13" s="122" customFormat="1" x14ac:dyDescent="0.25">
      <c r="A161" s="130"/>
      <c r="B161" s="125"/>
      <c r="C161" s="125"/>
      <c r="D161" s="127"/>
      <c r="E161" s="127"/>
      <c r="F161" s="125"/>
      <c r="G161" s="125"/>
      <c r="H161" s="125"/>
      <c r="I161" s="125"/>
      <c r="J161" s="125"/>
      <c r="K161" s="314"/>
      <c r="L161" s="125"/>
      <c r="M161" s="127"/>
    </row>
    <row r="162" spans="1:13" s="122" customFormat="1" x14ac:dyDescent="0.25">
      <c r="A162" s="130"/>
      <c r="B162" s="131"/>
      <c r="C162" s="131"/>
      <c r="D162" s="127"/>
      <c r="F162" s="131"/>
      <c r="G162" s="131"/>
      <c r="H162" s="131"/>
      <c r="I162" s="131"/>
      <c r="J162" s="131"/>
      <c r="K162" s="217"/>
      <c r="L162" s="131"/>
    </row>
    <row r="163" spans="1:13" s="122" customFormat="1" x14ac:dyDescent="0.25">
      <c r="A163" s="130"/>
      <c r="B163" s="131"/>
      <c r="C163" s="131"/>
      <c r="F163" s="131"/>
      <c r="G163" s="131"/>
      <c r="H163" s="131"/>
      <c r="I163" s="131"/>
      <c r="J163" s="131"/>
      <c r="K163" s="217"/>
      <c r="L163" s="131"/>
    </row>
    <row r="164" spans="1:13" s="122" customFormat="1" x14ac:dyDescent="0.25">
      <c r="A164" s="130"/>
      <c r="B164" s="131"/>
      <c r="C164" s="131"/>
      <c r="F164" s="131"/>
      <c r="G164" s="131"/>
      <c r="H164" s="131"/>
      <c r="I164" s="131"/>
      <c r="J164" s="131"/>
      <c r="K164" s="217"/>
      <c r="L164" s="131"/>
    </row>
    <row r="165" spans="1:13" s="122" customFormat="1" x14ac:dyDescent="0.25">
      <c r="A165" s="130"/>
      <c r="B165" s="131"/>
      <c r="C165" s="131"/>
      <c r="F165" s="131"/>
      <c r="G165" s="131"/>
      <c r="H165" s="131"/>
      <c r="I165" s="131"/>
      <c r="J165" s="131"/>
      <c r="K165" s="217"/>
      <c r="L165" s="131"/>
    </row>
    <row r="166" spans="1:13" s="122" customFormat="1" x14ac:dyDescent="0.25">
      <c r="A166" s="130"/>
      <c r="B166" s="125"/>
      <c r="C166" s="125"/>
      <c r="E166" s="127"/>
      <c r="F166" s="125"/>
      <c r="G166" s="125"/>
      <c r="H166" s="125"/>
      <c r="I166" s="125"/>
      <c r="J166" s="125"/>
      <c r="K166" s="314"/>
      <c r="L166" s="125"/>
      <c r="M166" s="127"/>
    </row>
    <row r="167" spans="1:13" s="122" customFormat="1" x14ac:dyDescent="0.25">
      <c r="A167" s="130"/>
      <c r="B167" s="125"/>
      <c r="C167" s="125"/>
      <c r="D167" s="127"/>
      <c r="E167" s="127"/>
      <c r="F167" s="125"/>
      <c r="G167" s="125"/>
      <c r="H167" s="125"/>
      <c r="I167" s="125"/>
      <c r="J167" s="125"/>
      <c r="K167" s="314"/>
      <c r="L167" s="125"/>
      <c r="M167" s="127"/>
    </row>
    <row r="168" spans="1:13" s="122" customFormat="1" x14ac:dyDescent="0.25">
      <c r="A168" s="130"/>
      <c r="B168" s="125"/>
      <c r="C168" s="125"/>
      <c r="D168" s="127"/>
      <c r="E168" s="127"/>
      <c r="F168" s="125"/>
      <c r="G168" s="125"/>
      <c r="H168" s="125"/>
      <c r="I168" s="125"/>
      <c r="J168" s="125"/>
      <c r="K168" s="314"/>
      <c r="L168" s="125"/>
      <c r="M168" s="127"/>
    </row>
    <row r="169" spans="1:13" s="122" customFormat="1" x14ac:dyDescent="0.25">
      <c r="A169" s="130"/>
      <c r="B169" s="125"/>
      <c r="C169" s="125"/>
      <c r="D169" s="127"/>
      <c r="E169" s="127"/>
      <c r="F169" s="125"/>
      <c r="G169" s="125"/>
      <c r="H169" s="125"/>
      <c r="I169" s="125"/>
      <c r="J169" s="125"/>
      <c r="K169" s="314"/>
      <c r="L169" s="125"/>
      <c r="M169" s="127"/>
    </row>
    <row r="170" spans="1:13" s="122" customFormat="1" x14ac:dyDescent="0.25">
      <c r="A170" s="130"/>
      <c r="B170" s="131"/>
      <c r="C170" s="131"/>
      <c r="D170" s="127"/>
      <c r="F170" s="131"/>
      <c r="G170" s="131"/>
      <c r="H170" s="131"/>
      <c r="I170" s="131"/>
      <c r="J170" s="131"/>
      <c r="K170" s="217"/>
      <c r="L170" s="131"/>
    </row>
    <row r="171" spans="1:13" s="122" customFormat="1" x14ac:dyDescent="0.25">
      <c r="A171" s="130"/>
      <c r="B171" s="131"/>
      <c r="C171" s="131"/>
      <c r="F171" s="131"/>
      <c r="G171" s="131"/>
      <c r="H171" s="131"/>
      <c r="I171" s="131"/>
      <c r="J171" s="131"/>
      <c r="K171" s="217"/>
      <c r="L171" s="131"/>
    </row>
    <row r="172" spans="1:13" s="122" customFormat="1" x14ac:dyDescent="0.25">
      <c r="A172" s="130"/>
      <c r="B172" s="131"/>
      <c r="C172" s="131"/>
      <c r="F172" s="131"/>
      <c r="G172" s="131"/>
      <c r="H172" s="131"/>
      <c r="I172" s="131"/>
      <c r="J172" s="131"/>
      <c r="K172" s="217"/>
      <c r="L172" s="131"/>
    </row>
    <row r="173" spans="1:13" s="122" customFormat="1" x14ac:dyDescent="0.25">
      <c r="A173" s="130"/>
      <c r="B173" s="131"/>
      <c r="C173" s="131"/>
      <c r="F173" s="131"/>
      <c r="G173" s="131"/>
      <c r="H173" s="131"/>
      <c r="I173" s="131"/>
      <c r="J173" s="131"/>
      <c r="K173" s="217"/>
      <c r="L173" s="131"/>
    </row>
    <row r="174" spans="1:13" s="122" customFormat="1" x14ac:dyDescent="0.25">
      <c r="A174" s="130"/>
      <c r="B174" s="131"/>
      <c r="C174" s="131"/>
      <c r="F174" s="131"/>
      <c r="G174" s="131"/>
      <c r="H174" s="131"/>
      <c r="I174" s="131"/>
      <c r="J174" s="131"/>
      <c r="K174" s="217"/>
      <c r="L174" s="131"/>
    </row>
    <row r="175" spans="1:13" s="122" customFormat="1" x14ac:dyDescent="0.25">
      <c r="A175" s="130"/>
      <c r="B175" s="131"/>
      <c r="C175" s="131"/>
      <c r="F175" s="131"/>
      <c r="G175" s="131"/>
      <c r="H175" s="131"/>
      <c r="I175" s="131"/>
      <c r="J175" s="131"/>
      <c r="K175" s="217"/>
      <c r="L175" s="131"/>
    </row>
    <row r="176" spans="1:13" s="122" customFormat="1" x14ac:dyDescent="0.25">
      <c r="A176" s="130"/>
      <c r="B176" s="131"/>
      <c r="C176" s="131"/>
      <c r="F176" s="131"/>
      <c r="G176" s="131"/>
      <c r="H176" s="131"/>
      <c r="I176" s="131"/>
      <c r="J176" s="131"/>
      <c r="K176" s="217"/>
      <c r="L176" s="131"/>
    </row>
    <row r="177" spans="1:12" s="122" customFormat="1" x14ac:dyDescent="0.25">
      <c r="A177" s="130"/>
      <c r="B177" s="131"/>
      <c r="C177" s="131"/>
      <c r="F177" s="131"/>
      <c r="G177" s="131"/>
      <c r="H177" s="131"/>
      <c r="I177" s="131"/>
      <c r="J177" s="131"/>
      <c r="K177" s="217"/>
      <c r="L177" s="131"/>
    </row>
    <row r="178" spans="1:12" s="122" customFormat="1" x14ac:dyDescent="0.25">
      <c r="A178" s="130"/>
      <c r="B178" s="131"/>
      <c r="C178" s="131"/>
      <c r="F178" s="131"/>
      <c r="G178" s="131"/>
      <c r="H178" s="131"/>
      <c r="I178" s="131"/>
      <c r="J178" s="131"/>
      <c r="K178" s="217"/>
      <c r="L178" s="131"/>
    </row>
    <row r="179" spans="1:12" s="122" customFormat="1" x14ac:dyDescent="0.25">
      <c r="A179" s="130"/>
      <c r="B179" s="131"/>
      <c r="C179" s="131"/>
      <c r="F179" s="131"/>
      <c r="G179" s="131"/>
      <c r="H179" s="131"/>
      <c r="I179" s="131"/>
      <c r="J179" s="131"/>
      <c r="K179" s="217"/>
      <c r="L179" s="131"/>
    </row>
    <row r="180" spans="1:12" s="122" customFormat="1" x14ac:dyDescent="0.25">
      <c r="A180" s="130"/>
      <c r="B180" s="131"/>
      <c r="C180" s="131"/>
      <c r="F180" s="131"/>
      <c r="G180" s="131"/>
      <c r="H180" s="131"/>
      <c r="I180" s="131"/>
      <c r="J180" s="131"/>
      <c r="K180" s="217"/>
      <c r="L180" s="131"/>
    </row>
    <row r="181" spans="1:12" s="122" customFormat="1" x14ac:dyDescent="0.25">
      <c r="A181" s="130"/>
      <c r="B181" s="131"/>
      <c r="C181" s="131"/>
      <c r="F181" s="131"/>
      <c r="G181" s="131"/>
      <c r="H181" s="131"/>
      <c r="I181" s="131"/>
      <c r="J181" s="131"/>
      <c r="K181" s="217"/>
      <c r="L181" s="131"/>
    </row>
    <row r="182" spans="1:12" s="122" customFormat="1" x14ac:dyDescent="0.25">
      <c r="A182" s="130"/>
      <c r="B182" s="131"/>
      <c r="C182" s="131"/>
      <c r="F182" s="131"/>
      <c r="G182" s="131"/>
      <c r="H182" s="131"/>
      <c r="I182" s="131"/>
      <c r="J182" s="131"/>
      <c r="K182" s="217"/>
      <c r="L182" s="131"/>
    </row>
    <row r="183" spans="1:12" s="122" customFormat="1" x14ac:dyDescent="0.25">
      <c r="A183" s="130"/>
      <c r="B183" s="131"/>
      <c r="C183" s="131"/>
      <c r="F183" s="131"/>
      <c r="G183" s="131"/>
      <c r="H183" s="131"/>
      <c r="I183" s="131"/>
      <c r="J183" s="131"/>
      <c r="K183" s="217"/>
      <c r="L183" s="131"/>
    </row>
    <row r="184" spans="1:12" s="122" customFormat="1" x14ac:dyDescent="0.25">
      <c r="A184" s="130"/>
      <c r="B184" s="131"/>
      <c r="C184" s="131"/>
      <c r="F184" s="131"/>
      <c r="G184" s="131"/>
      <c r="H184" s="131"/>
      <c r="I184" s="131"/>
      <c r="J184" s="131"/>
      <c r="K184" s="217"/>
      <c r="L184" s="131"/>
    </row>
    <row r="185" spans="1:12" s="122" customFormat="1" x14ac:dyDescent="0.25">
      <c r="A185" s="130"/>
      <c r="B185" s="131"/>
      <c r="C185" s="131"/>
      <c r="F185" s="131"/>
      <c r="G185" s="131"/>
      <c r="H185" s="131"/>
      <c r="I185" s="131"/>
      <c r="J185" s="131"/>
      <c r="K185" s="217"/>
      <c r="L185" s="131"/>
    </row>
    <row r="186" spans="1:12" s="122" customFormat="1" x14ac:dyDescent="0.25">
      <c r="A186" s="130"/>
      <c r="B186" s="131"/>
      <c r="C186" s="131"/>
      <c r="F186" s="131"/>
      <c r="G186" s="131"/>
      <c r="H186" s="131"/>
      <c r="I186" s="131"/>
      <c r="J186" s="131"/>
      <c r="K186" s="217"/>
      <c r="L186" s="131"/>
    </row>
    <row r="187" spans="1:12" s="122" customFormat="1" x14ac:dyDescent="0.25">
      <c r="A187" s="130"/>
      <c r="B187" s="131"/>
      <c r="C187" s="131"/>
      <c r="F187" s="131"/>
      <c r="G187" s="131"/>
      <c r="H187" s="131"/>
      <c r="I187" s="131"/>
      <c r="J187" s="131"/>
      <c r="K187" s="217"/>
      <c r="L187" s="131"/>
    </row>
    <row r="188" spans="1:12" s="122" customFormat="1" x14ac:dyDescent="0.25">
      <c r="A188" s="130"/>
      <c r="B188" s="131"/>
      <c r="C188" s="131"/>
      <c r="F188" s="131"/>
      <c r="G188" s="131"/>
      <c r="H188" s="131"/>
      <c r="I188" s="131"/>
      <c r="J188" s="131"/>
      <c r="K188" s="217"/>
      <c r="L188" s="131"/>
    </row>
    <row r="189" spans="1:12" s="122" customFormat="1" x14ac:dyDescent="0.25">
      <c r="A189" s="130"/>
      <c r="B189" s="131"/>
      <c r="C189" s="131"/>
      <c r="F189" s="131"/>
      <c r="G189" s="131"/>
      <c r="H189" s="131"/>
      <c r="I189" s="131"/>
      <c r="J189" s="131"/>
      <c r="K189" s="217"/>
      <c r="L189" s="131"/>
    </row>
    <row r="190" spans="1:12" s="122" customFormat="1" x14ac:dyDescent="0.25">
      <c r="A190" s="130"/>
      <c r="B190" s="131"/>
      <c r="C190" s="131"/>
      <c r="F190" s="131"/>
      <c r="G190" s="131"/>
      <c r="H190" s="131"/>
      <c r="I190" s="131"/>
      <c r="J190" s="131"/>
      <c r="K190" s="217"/>
      <c r="L190" s="131"/>
    </row>
    <row r="191" spans="1:12" s="122" customFormat="1" x14ac:dyDescent="0.25">
      <c r="A191" s="130"/>
      <c r="B191" s="131"/>
      <c r="C191" s="131"/>
      <c r="F191" s="131"/>
      <c r="G191" s="131"/>
      <c r="H191" s="131"/>
      <c r="I191" s="131"/>
      <c r="J191" s="131"/>
      <c r="K191" s="217"/>
      <c r="L191" s="131"/>
    </row>
    <row r="192" spans="1:12" s="122" customFormat="1" x14ac:dyDescent="0.25">
      <c r="A192" s="130"/>
      <c r="B192" s="131"/>
      <c r="C192" s="131"/>
      <c r="F192" s="131"/>
      <c r="G192" s="131"/>
      <c r="H192" s="131"/>
      <c r="I192" s="131"/>
      <c r="J192" s="131"/>
      <c r="K192" s="217"/>
      <c r="L192" s="131"/>
    </row>
    <row r="193" spans="1:12" s="122" customFormat="1" x14ac:dyDescent="0.25">
      <c r="A193" s="130"/>
      <c r="B193" s="131"/>
      <c r="C193" s="131"/>
      <c r="F193" s="131"/>
      <c r="G193" s="131"/>
      <c r="H193" s="131"/>
      <c r="I193" s="131"/>
      <c r="J193" s="131"/>
      <c r="K193" s="217"/>
      <c r="L193" s="131"/>
    </row>
    <row r="194" spans="1:12" s="122" customFormat="1" x14ac:dyDescent="0.25">
      <c r="A194" s="130"/>
      <c r="B194" s="131"/>
      <c r="C194" s="131"/>
      <c r="F194" s="131"/>
      <c r="G194" s="131"/>
      <c r="H194" s="131"/>
      <c r="I194" s="131"/>
      <c r="J194" s="131"/>
      <c r="K194" s="217"/>
      <c r="L194" s="131"/>
    </row>
    <row r="195" spans="1:12" s="122" customFormat="1" x14ac:dyDescent="0.25">
      <c r="A195" s="130"/>
      <c r="B195" s="131"/>
      <c r="C195" s="131"/>
      <c r="F195" s="131"/>
      <c r="G195" s="131"/>
      <c r="H195" s="131"/>
      <c r="I195" s="131"/>
      <c r="J195" s="131"/>
      <c r="K195" s="217"/>
      <c r="L195" s="131"/>
    </row>
    <row r="196" spans="1:12" s="122" customFormat="1" x14ac:dyDescent="0.25">
      <c r="A196" s="130"/>
      <c r="B196" s="131"/>
      <c r="C196" s="131"/>
      <c r="F196" s="131"/>
      <c r="G196" s="131"/>
      <c r="H196" s="131"/>
      <c r="I196" s="131"/>
      <c r="J196" s="131"/>
      <c r="K196" s="217"/>
      <c r="L196" s="131"/>
    </row>
    <row r="197" spans="1:12" s="122" customFormat="1" x14ac:dyDescent="0.25">
      <c r="A197" s="130"/>
      <c r="B197" s="131"/>
      <c r="C197" s="131"/>
      <c r="F197" s="131"/>
      <c r="G197" s="131"/>
      <c r="H197" s="131"/>
      <c r="I197" s="131"/>
      <c r="J197" s="131"/>
      <c r="K197" s="217"/>
      <c r="L197" s="131"/>
    </row>
    <row r="198" spans="1:12" s="122" customFormat="1" x14ac:dyDescent="0.25">
      <c r="A198" s="130"/>
      <c r="B198" s="131"/>
      <c r="C198" s="131"/>
      <c r="F198" s="131"/>
      <c r="G198" s="131"/>
      <c r="H198" s="131"/>
      <c r="I198" s="131"/>
      <c r="J198" s="131"/>
      <c r="K198" s="217"/>
      <c r="L198" s="131"/>
    </row>
    <row r="199" spans="1:12" s="122" customFormat="1" x14ac:dyDescent="0.25">
      <c r="A199" s="130"/>
      <c r="B199" s="131"/>
      <c r="C199" s="131"/>
      <c r="F199" s="131"/>
      <c r="G199" s="131"/>
      <c r="H199" s="131"/>
      <c r="I199" s="131"/>
      <c r="J199" s="131"/>
      <c r="K199" s="217"/>
      <c r="L199" s="131"/>
    </row>
    <row r="200" spans="1:12" s="122" customFormat="1" x14ac:dyDescent="0.25">
      <c r="A200" s="130"/>
      <c r="B200" s="131"/>
      <c r="C200" s="131"/>
      <c r="F200" s="131"/>
      <c r="G200" s="131"/>
      <c r="H200" s="131"/>
      <c r="I200" s="131"/>
      <c r="J200" s="131"/>
      <c r="K200" s="217"/>
      <c r="L200" s="131"/>
    </row>
    <row r="201" spans="1:12" s="122" customFormat="1" x14ac:dyDescent="0.25">
      <c r="A201" s="130"/>
      <c r="B201" s="131"/>
      <c r="C201" s="131"/>
      <c r="F201" s="131"/>
      <c r="G201" s="131"/>
      <c r="H201" s="131"/>
      <c r="I201" s="131"/>
      <c r="J201" s="131"/>
      <c r="K201" s="217"/>
      <c r="L201" s="131"/>
    </row>
    <row r="202" spans="1:12" s="122" customFormat="1" x14ac:dyDescent="0.25">
      <c r="A202" s="130"/>
      <c r="B202" s="131"/>
      <c r="C202" s="131"/>
      <c r="F202" s="131"/>
      <c r="G202" s="131"/>
      <c r="H202" s="131"/>
      <c r="I202" s="131"/>
      <c r="J202" s="131"/>
      <c r="K202" s="217"/>
      <c r="L202" s="131"/>
    </row>
    <row r="203" spans="1:12" s="122" customFormat="1" x14ac:dyDescent="0.25">
      <c r="A203" s="130"/>
      <c r="B203" s="131"/>
      <c r="C203" s="131"/>
      <c r="F203" s="131"/>
      <c r="G203" s="131"/>
      <c r="H203" s="131"/>
      <c r="I203" s="131"/>
      <c r="J203" s="131"/>
      <c r="K203" s="217"/>
      <c r="L203" s="131"/>
    </row>
    <row r="204" spans="1:12" s="122" customFormat="1" x14ac:dyDescent="0.25">
      <c r="A204" s="130"/>
      <c r="B204" s="131"/>
      <c r="C204" s="131"/>
      <c r="F204" s="131"/>
      <c r="G204" s="131"/>
      <c r="H204" s="131"/>
      <c r="I204" s="131"/>
      <c r="J204" s="131"/>
      <c r="K204" s="217"/>
      <c r="L204" s="131"/>
    </row>
    <row r="205" spans="1:12" s="122" customFormat="1" x14ac:dyDescent="0.25">
      <c r="A205" s="130"/>
      <c r="B205" s="131"/>
      <c r="C205" s="131"/>
      <c r="F205" s="131"/>
      <c r="G205" s="131"/>
      <c r="H205" s="131"/>
      <c r="I205" s="131"/>
      <c r="J205" s="131"/>
      <c r="K205" s="217"/>
      <c r="L205" s="131"/>
    </row>
    <row r="206" spans="1:12" s="122" customFormat="1" x14ac:dyDescent="0.25">
      <c r="A206" s="130"/>
      <c r="B206" s="131"/>
      <c r="C206" s="131"/>
      <c r="F206" s="131"/>
      <c r="G206" s="131"/>
      <c r="H206" s="131"/>
      <c r="I206" s="131"/>
      <c r="J206" s="131"/>
      <c r="K206" s="217"/>
      <c r="L206" s="131"/>
    </row>
    <row r="207" spans="1:12" s="122" customFormat="1" x14ac:dyDescent="0.25">
      <c r="A207" s="130"/>
      <c r="B207" s="131"/>
      <c r="C207" s="131"/>
      <c r="F207" s="131"/>
      <c r="G207" s="131"/>
      <c r="H207" s="131"/>
      <c r="I207" s="131"/>
      <c r="J207" s="131"/>
      <c r="K207" s="217"/>
      <c r="L207" s="131"/>
    </row>
    <row r="208" spans="1:12" s="122" customFormat="1" x14ac:dyDescent="0.25">
      <c r="A208" s="130"/>
      <c r="B208" s="131"/>
      <c r="C208" s="131"/>
      <c r="F208" s="131"/>
      <c r="G208" s="131"/>
      <c r="H208" s="131"/>
      <c r="I208" s="131"/>
      <c r="J208" s="131"/>
      <c r="K208" s="217"/>
      <c r="L208" s="131"/>
    </row>
    <row r="209" spans="1:12" s="122" customFormat="1" x14ac:dyDescent="0.25">
      <c r="A209" s="130"/>
      <c r="B209" s="131"/>
      <c r="C209" s="131"/>
      <c r="F209" s="131"/>
      <c r="G209" s="131"/>
      <c r="H209" s="131"/>
      <c r="I209" s="131"/>
      <c r="J209" s="131"/>
      <c r="K209" s="217"/>
      <c r="L209" s="131"/>
    </row>
    <row r="210" spans="1:12" s="122" customFormat="1" x14ac:dyDescent="0.25">
      <c r="A210" s="130"/>
      <c r="B210" s="131"/>
      <c r="C210" s="131"/>
      <c r="F210" s="131"/>
      <c r="G210" s="131"/>
      <c r="H210" s="131"/>
      <c r="I210" s="131"/>
      <c r="J210" s="131"/>
      <c r="K210" s="217"/>
      <c r="L210" s="131"/>
    </row>
    <row r="211" spans="1:12" s="122" customFormat="1" x14ac:dyDescent="0.25">
      <c r="A211" s="130"/>
      <c r="B211" s="131"/>
      <c r="C211" s="131"/>
      <c r="F211" s="131"/>
      <c r="G211" s="131"/>
      <c r="H211" s="131"/>
      <c r="I211" s="131"/>
      <c r="J211" s="131"/>
      <c r="K211" s="217"/>
      <c r="L211" s="131"/>
    </row>
    <row r="212" spans="1:12" s="122" customFormat="1" x14ac:dyDescent="0.25">
      <c r="A212" s="130"/>
      <c r="B212" s="131"/>
      <c r="C212" s="131"/>
      <c r="F212" s="131"/>
      <c r="G212" s="131"/>
      <c r="H212" s="131"/>
      <c r="I212" s="131"/>
      <c r="J212" s="131"/>
      <c r="K212" s="217"/>
      <c r="L212" s="131"/>
    </row>
    <row r="213" spans="1:12" s="122" customFormat="1" x14ac:dyDescent="0.25">
      <c r="A213" s="130"/>
      <c r="B213" s="131"/>
      <c r="C213" s="131"/>
      <c r="F213" s="131"/>
      <c r="G213" s="131"/>
      <c r="H213" s="131"/>
      <c r="I213" s="131"/>
      <c r="J213" s="131"/>
      <c r="K213" s="217"/>
      <c r="L213" s="131"/>
    </row>
    <row r="214" spans="1:12" s="122" customFormat="1" x14ac:dyDescent="0.25">
      <c r="A214" s="130"/>
      <c r="B214" s="131"/>
      <c r="C214" s="131"/>
      <c r="F214" s="131"/>
      <c r="G214" s="131"/>
      <c r="H214" s="131"/>
      <c r="I214" s="131"/>
      <c r="J214" s="131"/>
      <c r="K214" s="217"/>
      <c r="L214" s="131"/>
    </row>
    <row r="215" spans="1:12" s="122" customFormat="1" x14ac:dyDescent="0.25">
      <c r="A215" s="130"/>
      <c r="B215" s="131"/>
      <c r="C215" s="131"/>
      <c r="F215" s="131"/>
      <c r="G215" s="131"/>
      <c r="H215" s="131"/>
      <c r="I215" s="131"/>
      <c r="J215" s="131"/>
      <c r="K215" s="217"/>
      <c r="L215" s="131"/>
    </row>
    <row r="216" spans="1:12" s="122" customFormat="1" x14ac:dyDescent="0.25">
      <c r="A216" s="130"/>
      <c r="B216" s="131"/>
      <c r="C216" s="131"/>
      <c r="F216" s="131"/>
      <c r="G216" s="131"/>
      <c r="H216" s="131"/>
      <c r="I216" s="131"/>
      <c r="J216" s="131"/>
      <c r="K216" s="217"/>
      <c r="L216" s="131"/>
    </row>
    <row r="217" spans="1:12" s="122" customFormat="1" x14ac:dyDescent="0.25">
      <c r="A217" s="130"/>
      <c r="B217" s="131"/>
      <c r="C217" s="131"/>
      <c r="F217" s="131"/>
      <c r="G217" s="131"/>
      <c r="H217" s="131"/>
      <c r="I217" s="131"/>
      <c r="J217" s="131"/>
      <c r="K217" s="217"/>
      <c r="L217" s="131"/>
    </row>
    <row r="218" spans="1:12" s="122" customFormat="1" x14ac:dyDescent="0.25">
      <c r="A218" s="130"/>
      <c r="B218" s="131"/>
      <c r="C218" s="131"/>
      <c r="F218" s="131"/>
      <c r="G218" s="131"/>
      <c r="H218" s="131"/>
      <c r="I218" s="131"/>
      <c r="J218" s="131"/>
      <c r="K218" s="217"/>
      <c r="L218" s="131"/>
    </row>
    <row r="219" spans="1:12" s="122" customFormat="1" x14ac:dyDescent="0.25">
      <c r="A219" s="130"/>
      <c r="B219" s="131"/>
      <c r="C219" s="131"/>
      <c r="F219" s="131"/>
      <c r="G219" s="131"/>
      <c r="H219" s="131"/>
      <c r="I219" s="131"/>
      <c r="J219" s="131"/>
      <c r="K219" s="217"/>
      <c r="L219" s="131"/>
    </row>
    <row r="220" spans="1:12" s="122" customFormat="1" x14ac:dyDescent="0.25">
      <c r="A220" s="130"/>
      <c r="B220" s="131"/>
      <c r="C220" s="131"/>
      <c r="F220" s="131"/>
      <c r="G220" s="131"/>
      <c r="H220" s="131"/>
      <c r="I220" s="131"/>
      <c r="J220" s="131"/>
      <c r="K220" s="217"/>
      <c r="L220" s="131"/>
    </row>
    <row r="221" spans="1:12" s="122" customFormat="1" x14ac:dyDescent="0.25">
      <c r="A221" s="130"/>
      <c r="B221" s="131"/>
      <c r="C221" s="131"/>
      <c r="F221" s="131"/>
      <c r="G221" s="131"/>
      <c r="H221" s="131"/>
      <c r="I221" s="131"/>
      <c r="J221" s="131"/>
      <c r="K221" s="217"/>
      <c r="L221" s="131"/>
    </row>
    <row r="222" spans="1:12" s="122" customFormat="1" x14ac:dyDescent="0.25">
      <c r="A222" s="130"/>
      <c r="B222" s="131"/>
      <c r="C222" s="131"/>
      <c r="F222" s="131"/>
      <c r="G222" s="131"/>
      <c r="H222" s="131"/>
      <c r="I222" s="131"/>
      <c r="J222" s="131"/>
      <c r="K222" s="217"/>
      <c r="L222" s="131"/>
    </row>
    <row r="223" spans="1:12" s="122" customFormat="1" x14ac:dyDescent="0.25">
      <c r="A223" s="130"/>
      <c r="B223" s="131"/>
      <c r="C223" s="131"/>
      <c r="F223" s="131"/>
      <c r="G223" s="131"/>
      <c r="H223" s="131"/>
      <c r="I223" s="131"/>
      <c r="J223" s="131"/>
      <c r="K223" s="217"/>
      <c r="L223" s="131"/>
    </row>
    <row r="224" spans="1:12" s="122" customFormat="1" x14ac:dyDescent="0.25">
      <c r="A224" s="130"/>
      <c r="B224" s="131"/>
      <c r="C224" s="131"/>
      <c r="F224" s="131"/>
      <c r="G224" s="131"/>
      <c r="H224" s="131"/>
      <c r="I224" s="131"/>
      <c r="J224" s="131"/>
      <c r="K224" s="217"/>
      <c r="L224" s="131"/>
    </row>
    <row r="225" spans="1:12" s="122" customFormat="1" x14ac:dyDescent="0.25">
      <c r="A225" s="130"/>
      <c r="B225" s="131"/>
      <c r="C225" s="131"/>
      <c r="F225" s="131"/>
      <c r="G225" s="131"/>
      <c r="H225" s="131"/>
      <c r="I225" s="131"/>
      <c r="J225" s="131"/>
      <c r="K225" s="217"/>
      <c r="L225" s="131"/>
    </row>
    <row r="226" spans="1:12" s="122" customFormat="1" x14ac:dyDescent="0.25">
      <c r="A226" s="130"/>
      <c r="B226" s="131"/>
      <c r="C226" s="131"/>
      <c r="F226" s="131"/>
      <c r="G226" s="131"/>
      <c r="H226" s="131"/>
      <c r="I226" s="131"/>
      <c r="J226" s="131"/>
      <c r="K226" s="217"/>
      <c r="L226" s="131"/>
    </row>
    <row r="227" spans="1:12" s="122" customFormat="1" x14ac:dyDescent="0.25">
      <c r="A227" s="130"/>
      <c r="B227" s="131"/>
      <c r="C227" s="131"/>
      <c r="F227" s="131"/>
      <c r="G227" s="131"/>
      <c r="H227" s="131"/>
      <c r="I227" s="131"/>
      <c r="J227" s="131"/>
      <c r="K227" s="217"/>
      <c r="L227" s="131"/>
    </row>
    <row r="228" spans="1:12" s="122" customFormat="1" x14ac:dyDescent="0.25">
      <c r="A228" s="130"/>
      <c r="B228" s="131"/>
      <c r="C228" s="131"/>
      <c r="F228" s="131"/>
      <c r="G228" s="131"/>
      <c r="H228" s="131"/>
      <c r="I228" s="131"/>
      <c r="J228" s="131"/>
      <c r="K228" s="217"/>
      <c r="L228" s="131"/>
    </row>
    <row r="229" spans="1:12" s="122" customFormat="1" x14ac:dyDescent="0.25">
      <c r="A229" s="130"/>
      <c r="B229" s="131"/>
      <c r="C229" s="131"/>
      <c r="F229" s="131"/>
      <c r="G229" s="131"/>
      <c r="H229" s="131"/>
      <c r="I229" s="131"/>
      <c r="J229" s="131"/>
      <c r="K229" s="217"/>
      <c r="L229" s="131"/>
    </row>
    <row r="230" spans="1:12" s="122" customFormat="1" x14ac:dyDescent="0.25">
      <c r="A230" s="130"/>
      <c r="B230" s="131"/>
      <c r="C230" s="131"/>
      <c r="F230" s="131"/>
      <c r="G230" s="131"/>
      <c r="H230" s="131"/>
      <c r="I230" s="131"/>
      <c r="J230" s="131"/>
      <c r="K230" s="217"/>
      <c r="L230" s="131"/>
    </row>
    <row r="231" spans="1:12" s="122" customFormat="1" x14ac:dyDescent="0.25">
      <c r="A231" s="130"/>
      <c r="B231" s="131"/>
      <c r="C231" s="131"/>
      <c r="F231" s="131"/>
      <c r="G231" s="131"/>
      <c r="H231" s="131"/>
      <c r="I231" s="131"/>
      <c r="J231" s="131"/>
      <c r="K231" s="217"/>
      <c r="L231" s="131"/>
    </row>
    <row r="232" spans="1:12" s="122" customFormat="1" x14ac:dyDescent="0.25">
      <c r="A232" s="130"/>
      <c r="B232" s="131"/>
      <c r="C232" s="131"/>
      <c r="F232" s="131"/>
      <c r="G232" s="131"/>
      <c r="H232" s="131"/>
      <c r="I232" s="131"/>
      <c r="J232" s="131"/>
      <c r="K232" s="217"/>
      <c r="L232" s="131"/>
    </row>
    <row r="233" spans="1:12" s="122" customFormat="1" x14ac:dyDescent="0.25">
      <c r="A233" s="130"/>
      <c r="B233" s="131"/>
      <c r="C233" s="131"/>
      <c r="F233" s="131"/>
      <c r="G233" s="131"/>
      <c r="H233" s="131"/>
      <c r="I233" s="131"/>
      <c r="J233" s="131"/>
      <c r="K233" s="217"/>
      <c r="L233" s="131"/>
    </row>
    <row r="234" spans="1:12" s="122" customFormat="1" x14ac:dyDescent="0.25">
      <c r="A234" s="130"/>
      <c r="B234" s="131"/>
      <c r="C234" s="131"/>
      <c r="F234" s="131"/>
      <c r="G234" s="131"/>
      <c r="H234" s="131"/>
      <c r="I234" s="131"/>
      <c r="J234" s="131"/>
      <c r="K234" s="217"/>
      <c r="L234" s="131"/>
    </row>
    <row r="235" spans="1:12" s="122" customFormat="1" x14ac:dyDescent="0.25">
      <c r="A235" s="130"/>
      <c r="B235" s="131"/>
      <c r="C235" s="131"/>
      <c r="F235" s="131"/>
      <c r="G235" s="131"/>
      <c r="H235" s="131"/>
      <c r="I235" s="131"/>
      <c r="J235" s="131"/>
      <c r="K235" s="217"/>
      <c r="L235" s="131"/>
    </row>
    <row r="236" spans="1:12" s="122" customFormat="1" x14ac:dyDescent="0.25">
      <c r="A236" s="130"/>
      <c r="B236" s="131"/>
      <c r="C236" s="131"/>
      <c r="F236" s="131"/>
      <c r="G236" s="131"/>
      <c r="H236" s="131"/>
      <c r="I236" s="131"/>
      <c r="J236" s="131"/>
      <c r="K236" s="217"/>
      <c r="L236" s="131"/>
    </row>
    <row r="237" spans="1:12" s="122" customFormat="1" x14ac:dyDescent="0.25">
      <c r="A237" s="130"/>
      <c r="B237" s="131"/>
      <c r="C237" s="131"/>
      <c r="F237" s="131"/>
      <c r="G237" s="131"/>
      <c r="H237" s="131"/>
      <c r="I237" s="131"/>
      <c r="J237" s="131"/>
      <c r="K237" s="217"/>
      <c r="L237" s="131"/>
    </row>
    <row r="238" spans="1:12" s="122" customFormat="1" x14ac:dyDescent="0.25">
      <c r="A238" s="130"/>
      <c r="B238" s="131"/>
      <c r="C238" s="131"/>
      <c r="F238" s="131"/>
      <c r="G238" s="131"/>
      <c r="H238" s="131"/>
      <c r="I238" s="131"/>
      <c r="J238" s="131"/>
      <c r="K238" s="217"/>
      <c r="L238" s="131"/>
    </row>
    <row r="239" spans="1:12" s="122" customFormat="1" x14ac:dyDescent="0.25">
      <c r="A239" s="130"/>
      <c r="B239" s="131"/>
      <c r="C239" s="131"/>
      <c r="F239" s="131"/>
      <c r="G239" s="131"/>
      <c r="H239" s="131"/>
      <c r="I239" s="131"/>
      <c r="J239" s="131"/>
      <c r="K239" s="217"/>
      <c r="L239" s="131"/>
    </row>
    <row r="240" spans="1:12" s="122" customFormat="1" x14ac:dyDescent="0.25">
      <c r="A240" s="130"/>
      <c r="B240" s="131"/>
      <c r="C240" s="131"/>
      <c r="F240" s="131"/>
      <c r="G240" s="131"/>
      <c r="H240" s="131"/>
      <c r="I240" s="131"/>
      <c r="J240" s="131"/>
      <c r="K240" s="217"/>
      <c r="L240" s="131"/>
    </row>
    <row r="241" spans="1:12" s="122" customFormat="1" x14ac:dyDescent="0.25">
      <c r="A241" s="130"/>
      <c r="B241" s="131"/>
      <c r="C241" s="131"/>
      <c r="F241" s="131"/>
      <c r="G241" s="131"/>
      <c r="H241" s="131"/>
      <c r="I241" s="131"/>
      <c r="J241" s="131"/>
      <c r="K241" s="217"/>
      <c r="L241" s="131"/>
    </row>
    <row r="242" spans="1:12" s="122" customFormat="1" x14ac:dyDescent="0.25">
      <c r="A242" s="130"/>
      <c r="B242" s="131"/>
      <c r="C242" s="131"/>
      <c r="F242" s="131"/>
      <c r="G242" s="131"/>
      <c r="H242" s="131"/>
      <c r="I242" s="131"/>
      <c r="J242" s="131"/>
      <c r="K242" s="217"/>
      <c r="L242" s="131"/>
    </row>
    <row r="243" spans="1:12" s="122" customFormat="1" x14ac:dyDescent="0.25">
      <c r="A243" s="130"/>
      <c r="B243" s="131"/>
      <c r="C243" s="131"/>
      <c r="F243" s="131"/>
      <c r="G243" s="131"/>
      <c r="H243" s="131"/>
      <c r="I243" s="131"/>
      <c r="J243" s="131"/>
      <c r="K243" s="217"/>
      <c r="L243" s="131"/>
    </row>
    <row r="244" spans="1:12" s="122" customFormat="1" x14ac:dyDescent="0.25">
      <c r="A244" s="130"/>
      <c r="B244" s="131"/>
      <c r="C244" s="131"/>
      <c r="F244" s="131"/>
      <c r="G244" s="131"/>
      <c r="H244" s="131"/>
      <c r="I244" s="131"/>
      <c r="J244" s="131"/>
      <c r="K244" s="217"/>
      <c r="L244" s="131"/>
    </row>
    <row r="245" spans="1:12" s="122" customFormat="1" x14ac:dyDescent="0.25">
      <c r="A245" s="130"/>
      <c r="B245" s="131"/>
      <c r="C245" s="131"/>
      <c r="F245" s="131"/>
      <c r="G245" s="131"/>
      <c r="H245" s="131"/>
      <c r="I245" s="131"/>
      <c r="J245" s="131"/>
      <c r="K245" s="217"/>
      <c r="L245" s="131"/>
    </row>
    <row r="246" spans="1:12" s="122" customFormat="1" x14ac:dyDescent="0.25">
      <c r="A246" s="130"/>
      <c r="B246" s="131"/>
      <c r="C246" s="131"/>
      <c r="F246" s="131"/>
      <c r="G246" s="131"/>
      <c r="H246" s="131"/>
      <c r="I246" s="131"/>
      <c r="J246" s="131"/>
      <c r="K246" s="217"/>
      <c r="L246" s="131"/>
    </row>
    <row r="247" spans="1:12" s="122" customFormat="1" x14ac:dyDescent="0.25">
      <c r="A247" s="130"/>
      <c r="B247" s="131"/>
      <c r="C247" s="131"/>
      <c r="F247" s="131"/>
      <c r="G247" s="131"/>
      <c r="H247" s="131"/>
      <c r="I247" s="131"/>
      <c r="J247" s="131"/>
      <c r="K247" s="217"/>
      <c r="L247" s="131"/>
    </row>
    <row r="248" spans="1:12" s="122" customFormat="1" x14ac:dyDescent="0.25">
      <c r="A248" s="130"/>
      <c r="B248" s="131"/>
      <c r="C248" s="131"/>
      <c r="F248" s="131"/>
      <c r="G248" s="131"/>
      <c r="H248" s="131"/>
      <c r="I248" s="131"/>
      <c r="J248" s="131"/>
      <c r="K248" s="217"/>
      <c r="L248" s="131"/>
    </row>
    <row r="249" spans="1:12" s="122" customFormat="1" x14ac:dyDescent="0.25">
      <c r="A249" s="130"/>
      <c r="B249" s="131"/>
      <c r="C249" s="131"/>
      <c r="F249" s="131"/>
      <c r="G249" s="131"/>
      <c r="H249" s="131"/>
      <c r="I249" s="131"/>
      <c r="J249" s="131"/>
      <c r="K249" s="217"/>
      <c r="L249" s="131"/>
    </row>
    <row r="250" spans="1:12" s="122" customFormat="1" x14ac:dyDescent="0.25">
      <c r="A250" s="130"/>
      <c r="B250" s="131"/>
      <c r="C250" s="131"/>
      <c r="F250" s="131"/>
      <c r="G250" s="131"/>
      <c r="H250" s="131"/>
      <c r="I250" s="131"/>
      <c r="J250" s="131"/>
      <c r="K250" s="217"/>
      <c r="L250" s="131"/>
    </row>
    <row r="251" spans="1:12" s="122" customFormat="1" x14ac:dyDescent="0.25">
      <c r="A251" s="130"/>
      <c r="B251" s="131"/>
      <c r="C251" s="131"/>
      <c r="F251" s="131"/>
      <c r="G251" s="131"/>
      <c r="H251" s="131"/>
      <c r="I251" s="131"/>
      <c r="J251" s="131"/>
      <c r="K251" s="217"/>
      <c r="L251" s="131"/>
    </row>
    <row r="252" spans="1:12" s="122" customFormat="1" x14ac:dyDescent="0.25">
      <c r="A252" s="130"/>
      <c r="B252" s="131"/>
      <c r="C252" s="131"/>
      <c r="F252" s="131"/>
      <c r="G252" s="131"/>
      <c r="H252" s="131"/>
      <c r="I252" s="131"/>
      <c r="J252" s="131"/>
      <c r="K252" s="217"/>
      <c r="L252" s="131"/>
    </row>
    <row r="253" spans="1:12" s="122" customFormat="1" x14ac:dyDescent="0.25">
      <c r="A253" s="130"/>
      <c r="B253" s="131"/>
      <c r="C253" s="131"/>
      <c r="F253" s="131"/>
      <c r="G253" s="131"/>
      <c r="H253" s="131"/>
      <c r="I253" s="131"/>
      <c r="J253" s="131"/>
      <c r="K253" s="217"/>
      <c r="L253" s="131"/>
    </row>
    <row r="254" spans="1:12" s="122" customFormat="1" x14ac:dyDescent="0.25">
      <c r="A254" s="130"/>
      <c r="B254" s="131"/>
      <c r="C254" s="131"/>
      <c r="F254" s="131"/>
      <c r="G254" s="131"/>
      <c r="H254" s="131"/>
      <c r="I254" s="131"/>
      <c r="J254" s="131"/>
      <c r="K254" s="217"/>
      <c r="L254" s="131"/>
    </row>
    <row r="255" spans="1:12" s="122" customFormat="1" x14ac:dyDescent="0.25">
      <c r="A255" s="130"/>
      <c r="B255" s="131"/>
      <c r="C255" s="131"/>
      <c r="F255" s="131"/>
      <c r="G255" s="131"/>
      <c r="H255" s="131"/>
      <c r="I255" s="131"/>
      <c r="J255" s="131"/>
      <c r="K255" s="217"/>
      <c r="L255" s="131"/>
    </row>
    <row r="256" spans="1:12" s="122" customFormat="1" x14ac:dyDescent="0.25">
      <c r="A256" s="130"/>
      <c r="B256" s="131"/>
      <c r="C256" s="131"/>
      <c r="F256" s="131"/>
      <c r="G256" s="131"/>
      <c r="H256" s="131"/>
      <c r="I256" s="131"/>
      <c r="J256" s="131"/>
      <c r="K256" s="217"/>
      <c r="L256" s="131"/>
    </row>
    <row r="257" spans="1:256" s="122" customFormat="1" x14ac:dyDescent="0.25">
      <c r="A257" s="130"/>
      <c r="B257" s="131"/>
      <c r="C257" s="131"/>
      <c r="F257" s="131"/>
      <c r="G257" s="131"/>
      <c r="H257" s="131"/>
      <c r="I257" s="131"/>
      <c r="J257" s="131"/>
      <c r="K257" s="217"/>
      <c r="L257" s="131"/>
    </row>
    <row r="258" spans="1:256" s="122" customFormat="1" x14ac:dyDescent="0.25">
      <c r="A258" s="130"/>
      <c r="B258" s="131"/>
      <c r="C258" s="131"/>
      <c r="F258" s="131"/>
      <c r="G258" s="131"/>
      <c r="H258" s="131"/>
      <c r="I258" s="131"/>
      <c r="J258" s="131"/>
      <c r="K258" s="217"/>
      <c r="L258" s="131"/>
    </row>
    <row r="259" spans="1:256" s="122" customFormat="1" x14ac:dyDescent="0.25">
      <c r="A259" s="130"/>
      <c r="B259" s="131"/>
      <c r="C259" s="131"/>
      <c r="F259" s="131"/>
      <c r="G259" s="131"/>
      <c r="H259" s="131"/>
      <c r="I259" s="131"/>
      <c r="J259" s="131"/>
      <c r="K259" s="217"/>
      <c r="L259" s="131"/>
    </row>
    <row r="260" spans="1:256" s="122" customFormat="1" x14ac:dyDescent="0.25">
      <c r="A260" s="130"/>
      <c r="B260" s="131"/>
      <c r="C260" s="131"/>
      <c r="F260" s="131"/>
      <c r="G260" s="131"/>
      <c r="H260" s="131"/>
      <c r="I260" s="131"/>
      <c r="J260" s="131"/>
      <c r="K260" s="217"/>
      <c r="L260" s="131"/>
    </row>
    <row r="261" spans="1:256" s="122" customFormat="1" x14ac:dyDescent="0.25">
      <c r="A261" s="130"/>
      <c r="B261" s="131"/>
      <c r="C261" s="131"/>
      <c r="F261" s="131"/>
      <c r="G261" s="131"/>
      <c r="H261" s="131"/>
      <c r="I261" s="131"/>
      <c r="J261" s="131"/>
      <c r="K261" s="217"/>
      <c r="L261" s="131"/>
    </row>
    <row r="262" spans="1:256" s="122" customFormat="1" x14ac:dyDescent="0.25">
      <c r="A262" s="130"/>
      <c r="B262" s="131"/>
      <c r="C262" s="131"/>
      <c r="F262" s="131"/>
      <c r="G262" s="131"/>
      <c r="H262" s="131"/>
      <c r="I262" s="131"/>
      <c r="J262" s="131"/>
      <c r="K262" s="217"/>
      <c r="L262" s="131"/>
    </row>
    <row r="263" spans="1:256" s="122" customFormat="1" x14ac:dyDescent="0.25">
      <c r="A263" s="130"/>
      <c r="B263" s="131"/>
      <c r="C263" s="131"/>
      <c r="F263" s="131"/>
      <c r="G263" s="131"/>
      <c r="H263" s="131"/>
      <c r="I263" s="131"/>
      <c r="J263" s="131"/>
      <c r="K263" s="217"/>
      <c r="L263" s="131"/>
    </row>
    <row r="264" spans="1:256" s="122" customFormat="1" x14ac:dyDescent="0.25">
      <c r="A264" s="130"/>
      <c r="B264" s="131"/>
      <c r="C264" s="131"/>
      <c r="F264" s="131"/>
      <c r="G264" s="131"/>
      <c r="H264" s="131"/>
      <c r="I264" s="131"/>
      <c r="J264" s="131"/>
      <c r="K264" s="217"/>
      <c r="L264" s="131"/>
    </row>
    <row r="265" spans="1:256" x14ac:dyDescent="0.25">
      <c r="A265" s="130"/>
      <c r="B265" s="131"/>
      <c r="C265" s="131"/>
      <c r="D265" s="122"/>
      <c r="E265" s="122"/>
      <c r="F265" s="131"/>
      <c r="G265" s="131"/>
      <c r="H265" s="131"/>
      <c r="I265" s="131"/>
      <c r="J265" s="131"/>
      <c r="K265" s="217"/>
      <c r="L265" s="131"/>
      <c r="M265" s="122"/>
      <c r="N265" s="122"/>
      <c r="O265" s="122"/>
      <c r="P265" s="122"/>
      <c r="Q265" s="122"/>
      <c r="R265" s="122"/>
      <c r="S265" s="122"/>
      <c r="T265" s="122"/>
      <c r="U265" s="122"/>
      <c r="V265" s="122"/>
      <c r="W265" s="122"/>
      <c r="X265" s="122"/>
      <c r="Y265" s="122"/>
      <c r="Z265" s="122"/>
      <c r="AA265" s="122"/>
      <c r="AB265" s="122"/>
      <c r="AC265" s="122"/>
      <c r="AD265" s="122"/>
      <c r="AE265" s="122"/>
      <c r="AF265" s="122"/>
      <c r="AG265" s="122"/>
      <c r="AH265" s="122"/>
      <c r="AI265" s="122"/>
      <c r="AJ265" s="122"/>
      <c r="AK265" s="122"/>
      <c r="AL265" s="122"/>
      <c r="AM265" s="122"/>
      <c r="AN265" s="122"/>
      <c r="AO265" s="122"/>
      <c r="AP265" s="122"/>
      <c r="AQ265" s="122"/>
      <c r="AR265" s="122"/>
      <c r="AS265" s="122"/>
      <c r="AT265" s="122"/>
      <c r="AU265" s="122"/>
      <c r="AV265" s="122"/>
      <c r="AW265" s="122"/>
      <c r="AX265" s="122"/>
      <c r="AY265" s="122"/>
      <c r="AZ265" s="122"/>
      <c r="BA265" s="122"/>
      <c r="BB265" s="122"/>
      <c r="BC265" s="122"/>
      <c r="BD265" s="122"/>
      <c r="BE265" s="122"/>
      <c r="BF265" s="122"/>
      <c r="BG265" s="122"/>
      <c r="BH265" s="122"/>
      <c r="BI265" s="122"/>
      <c r="BJ265" s="122"/>
      <c r="BK265" s="122"/>
      <c r="BL265" s="122"/>
      <c r="BM265" s="122"/>
      <c r="BN265" s="122"/>
      <c r="BO265" s="122"/>
      <c r="BP265" s="122"/>
      <c r="BQ265" s="122"/>
      <c r="BR265" s="122"/>
      <c r="BS265" s="122"/>
      <c r="BT265" s="122"/>
      <c r="BU265" s="122"/>
      <c r="BV265" s="122"/>
      <c r="BW265" s="122"/>
      <c r="BX265" s="122"/>
      <c r="BY265" s="122"/>
      <c r="BZ265" s="122"/>
      <c r="CA265" s="122"/>
      <c r="CB265" s="122"/>
      <c r="CC265" s="122"/>
      <c r="CD265" s="122"/>
      <c r="CE265" s="122"/>
      <c r="CF265" s="122"/>
      <c r="CG265" s="122"/>
      <c r="CH265" s="122"/>
      <c r="CI265" s="122"/>
      <c r="CJ265" s="122"/>
      <c r="CK265" s="122"/>
      <c r="CL265" s="122"/>
      <c r="CM265" s="122"/>
      <c r="CN265" s="122"/>
      <c r="CO265" s="122"/>
      <c r="CP265" s="122"/>
      <c r="CQ265" s="122"/>
      <c r="CR265" s="122"/>
      <c r="CS265" s="122"/>
      <c r="CT265" s="122"/>
      <c r="CU265" s="122"/>
      <c r="CV265" s="122"/>
      <c r="CW265" s="122"/>
      <c r="CX265" s="122"/>
      <c r="CY265" s="122"/>
      <c r="CZ265" s="122"/>
      <c r="DA265" s="122"/>
      <c r="DB265" s="122"/>
      <c r="DC265" s="122"/>
      <c r="DD265" s="122"/>
      <c r="DE265" s="122"/>
      <c r="DF265" s="122"/>
      <c r="DG265" s="122"/>
      <c r="DH265" s="122"/>
      <c r="DI265" s="122"/>
      <c r="DJ265" s="122"/>
      <c r="DK265" s="122"/>
      <c r="DL265" s="122"/>
      <c r="DM265" s="122"/>
      <c r="DN265" s="122"/>
      <c r="DO265" s="122"/>
      <c r="DP265" s="122"/>
      <c r="DQ265" s="122"/>
      <c r="DR265" s="122"/>
      <c r="DS265" s="122"/>
      <c r="DT265" s="122"/>
      <c r="DU265" s="122"/>
      <c r="DV265" s="122"/>
      <c r="DW265" s="122"/>
      <c r="DX265" s="122"/>
      <c r="DY265" s="122"/>
      <c r="DZ265" s="122"/>
      <c r="EA265" s="122"/>
      <c r="EB265" s="122"/>
      <c r="EC265" s="122"/>
      <c r="ED265" s="122"/>
      <c r="EE265" s="122"/>
      <c r="EF265" s="122"/>
      <c r="EG265" s="122"/>
      <c r="EH265" s="122"/>
      <c r="EI265" s="122"/>
      <c r="EJ265" s="122"/>
      <c r="EK265" s="122"/>
      <c r="EL265" s="122"/>
      <c r="EM265" s="122"/>
      <c r="EN265" s="122"/>
      <c r="EO265" s="122"/>
      <c r="EP265" s="122"/>
      <c r="EQ265" s="122"/>
      <c r="ER265" s="122"/>
      <c r="ES265" s="122"/>
      <c r="ET265" s="122"/>
      <c r="EU265" s="122"/>
      <c r="EV265" s="122"/>
      <c r="EW265" s="122"/>
      <c r="EX265" s="122"/>
      <c r="EY265" s="122"/>
      <c r="EZ265" s="122"/>
      <c r="FA265" s="122"/>
      <c r="FB265" s="122"/>
      <c r="FC265" s="122"/>
      <c r="FD265" s="122"/>
      <c r="FE265" s="122"/>
      <c r="FF265" s="122"/>
      <c r="FG265" s="122"/>
      <c r="FH265" s="122"/>
      <c r="FI265" s="122"/>
      <c r="FJ265" s="122"/>
      <c r="FK265" s="122"/>
      <c r="FL265" s="122"/>
      <c r="FM265" s="122"/>
      <c r="FN265" s="122"/>
      <c r="FO265" s="122"/>
      <c r="FP265" s="122"/>
      <c r="FQ265" s="122"/>
      <c r="FR265" s="122"/>
      <c r="FS265" s="122"/>
      <c r="FT265" s="122"/>
      <c r="FU265" s="122"/>
      <c r="FV265" s="122"/>
      <c r="FW265" s="122"/>
      <c r="FX265" s="122"/>
      <c r="FY265" s="122"/>
      <c r="FZ265" s="122"/>
      <c r="GA265" s="122"/>
      <c r="GB265" s="122"/>
      <c r="GC265" s="122"/>
      <c r="GD265" s="122"/>
      <c r="GE265" s="122"/>
      <c r="GF265" s="122"/>
      <c r="GG265" s="122"/>
      <c r="GH265" s="122"/>
      <c r="GI265" s="122"/>
      <c r="GJ265" s="122"/>
      <c r="GK265" s="122"/>
      <c r="GL265" s="122"/>
      <c r="GM265" s="122"/>
      <c r="GN265" s="122"/>
      <c r="GO265" s="122"/>
      <c r="GP265" s="122"/>
      <c r="GQ265" s="122"/>
      <c r="GR265" s="122"/>
      <c r="GS265" s="122"/>
      <c r="GT265" s="122"/>
      <c r="GU265" s="122"/>
      <c r="GV265" s="122"/>
      <c r="GW265" s="122"/>
      <c r="GX265" s="122"/>
      <c r="GY265" s="122"/>
      <c r="GZ265" s="122"/>
      <c r="HA265" s="122"/>
      <c r="HB265" s="122"/>
      <c r="HC265" s="122"/>
      <c r="HD265" s="122"/>
      <c r="HE265" s="122"/>
      <c r="HF265" s="122"/>
      <c r="HG265" s="122"/>
      <c r="HH265" s="122"/>
      <c r="HI265" s="122"/>
      <c r="HJ265" s="122"/>
      <c r="HK265" s="122"/>
      <c r="HL265" s="122"/>
      <c r="HM265" s="122"/>
      <c r="HN265" s="122"/>
      <c r="HO265" s="122"/>
      <c r="HP265" s="122"/>
      <c r="HQ265" s="122"/>
      <c r="HR265" s="122"/>
      <c r="HS265" s="122"/>
      <c r="HT265" s="122"/>
      <c r="HU265" s="122"/>
      <c r="HV265" s="122"/>
      <c r="HW265" s="122"/>
      <c r="HX265" s="122"/>
      <c r="HY265" s="122"/>
      <c r="HZ265" s="122"/>
      <c r="IA265" s="122"/>
      <c r="IB265" s="122"/>
      <c r="IC265" s="122"/>
      <c r="ID265" s="122"/>
      <c r="IE265" s="122"/>
      <c r="IF265" s="122"/>
      <c r="IG265" s="122"/>
      <c r="IH265" s="122"/>
      <c r="II265" s="122"/>
      <c r="IJ265" s="122"/>
      <c r="IK265" s="122"/>
      <c r="IL265" s="122"/>
      <c r="IM265" s="122"/>
      <c r="IN265" s="122"/>
      <c r="IO265" s="122"/>
      <c r="IP265" s="122"/>
      <c r="IQ265" s="122"/>
      <c r="IR265" s="122"/>
      <c r="IS265" s="122"/>
      <c r="IT265" s="122"/>
      <c r="IU265" s="122"/>
      <c r="IV265" s="122"/>
    </row>
    <row r="266" spans="1:256" x14ac:dyDescent="0.25">
      <c r="A266" s="130"/>
      <c r="B266" s="131"/>
      <c r="C266" s="131"/>
      <c r="D266" s="122"/>
      <c r="E266" s="122"/>
      <c r="F266" s="131"/>
      <c r="G266" s="131"/>
      <c r="H266" s="131"/>
      <c r="I266" s="131"/>
      <c r="J266" s="131"/>
      <c r="K266" s="217"/>
      <c r="L266" s="131"/>
      <c r="M266" s="122"/>
      <c r="N266" s="122"/>
      <c r="O266" s="122"/>
      <c r="P266" s="122"/>
      <c r="Q266" s="122"/>
      <c r="R266" s="122"/>
      <c r="S266" s="122"/>
      <c r="T266" s="122"/>
      <c r="U266" s="122"/>
      <c r="V266" s="122"/>
      <c r="W266" s="122"/>
      <c r="X266" s="122"/>
      <c r="Y266" s="122"/>
      <c r="Z266" s="122"/>
      <c r="AA266" s="122"/>
      <c r="AB266" s="122"/>
      <c r="AC266" s="122"/>
      <c r="AD266" s="122"/>
      <c r="AE266" s="122"/>
      <c r="AF266" s="122"/>
      <c r="AG266" s="122"/>
      <c r="AH266" s="122"/>
      <c r="AI266" s="122"/>
      <c r="AJ266" s="122"/>
      <c r="AK266" s="122"/>
      <c r="AL266" s="122"/>
      <c r="AM266" s="122"/>
      <c r="AN266" s="122"/>
      <c r="AO266" s="122"/>
      <c r="AP266" s="122"/>
      <c r="AQ266" s="122"/>
      <c r="AR266" s="122"/>
      <c r="AS266" s="122"/>
      <c r="AT266" s="122"/>
      <c r="AU266" s="122"/>
      <c r="AV266" s="122"/>
      <c r="AW266" s="122"/>
      <c r="AX266" s="122"/>
      <c r="AY266" s="122"/>
      <c r="AZ266" s="122"/>
      <c r="BA266" s="122"/>
      <c r="BB266" s="122"/>
      <c r="BC266" s="122"/>
      <c r="BD266" s="122"/>
      <c r="BE266" s="122"/>
      <c r="BF266" s="122"/>
      <c r="BG266" s="122"/>
      <c r="BH266" s="122"/>
      <c r="BI266" s="122"/>
      <c r="BJ266" s="122"/>
      <c r="BK266" s="122"/>
      <c r="BL266" s="122"/>
      <c r="BM266" s="122"/>
      <c r="BN266" s="122"/>
      <c r="BO266" s="122"/>
      <c r="BP266" s="122"/>
      <c r="BQ266" s="122"/>
      <c r="BR266" s="122"/>
      <c r="BS266" s="122"/>
      <c r="BT266" s="122"/>
      <c r="BU266" s="122"/>
      <c r="BV266" s="122"/>
      <c r="BW266" s="122"/>
      <c r="BX266" s="122"/>
      <c r="BY266" s="122"/>
      <c r="BZ266" s="122"/>
      <c r="CA266" s="122"/>
      <c r="CB266" s="122"/>
      <c r="CC266" s="122"/>
      <c r="CD266" s="122"/>
      <c r="CE266" s="122"/>
      <c r="CF266" s="122"/>
      <c r="CG266" s="122"/>
      <c r="CH266" s="122"/>
      <c r="CI266" s="122"/>
      <c r="CJ266" s="122"/>
      <c r="CK266" s="122"/>
      <c r="CL266" s="122"/>
      <c r="CM266" s="122"/>
      <c r="CN266" s="122"/>
      <c r="CO266" s="122"/>
      <c r="CP266" s="122"/>
      <c r="CQ266" s="122"/>
      <c r="CR266" s="122"/>
      <c r="CS266" s="122"/>
      <c r="CT266" s="122"/>
      <c r="CU266" s="122"/>
      <c r="CV266" s="122"/>
      <c r="CW266" s="122"/>
      <c r="CX266" s="122"/>
      <c r="CY266" s="122"/>
      <c r="CZ266" s="122"/>
      <c r="DA266" s="122"/>
      <c r="DB266" s="122"/>
      <c r="DC266" s="122"/>
      <c r="DD266" s="122"/>
      <c r="DE266" s="122"/>
      <c r="DF266" s="122"/>
      <c r="DG266" s="122"/>
      <c r="DH266" s="122"/>
      <c r="DI266" s="122"/>
      <c r="DJ266" s="122"/>
      <c r="DK266" s="122"/>
      <c r="DL266" s="122"/>
      <c r="DM266" s="122"/>
      <c r="DN266" s="122"/>
      <c r="DO266" s="122"/>
      <c r="DP266" s="122"/>
      <c r="DQ266" s="122"/>
      <c r="DR266" s="122"/>
      <c r="DS266" s="122"/>
      <c r="DT266" s="122"/>
      <c r="DU266" s="122"/>
      <c r="DV266" s="122"/>
      <c r="DW266" s="122"/>
      <c r="DX266" s="122"/>
      <c r="DY266" s="122"/>
      <c r="DZ266" s="122"/>
      <c r="EA266" s="122"/>
      <c r="EB266" s="122"/>
      <c r="EC266" s="122"/>
      <c r="ED266" s="122"/>
      <c r="EE266" s="122"/>
      <c r="EF266" s="122"/>
      <c r="EG266" s="122"/>
      <c r="EH266" s="122"/>
      <c r="EI266" s="122"/>
      <c r="EJ266" s="122"/>
      <c r="EK266" s="122"/>
      <c r="EL266" s="122"/>
      <c r="EM266" s="122"/>
      <c r="EN266" s="122"/>
      <c r="EO266" s="122"/>
      <c r="EP266" s="122"/>
      <c r="EQ266" s="122"/>
      <c r="ER266" s="122"/>
      <c r="ES266" s="122"/>
      <c r="ET266" s="122"/>
      <c r="EU266" s="122"/>
      <c r="EV266" s="122"/>
      <c r="EW266" s="122"/>
      <c r="EX266" s="122"/>
      <c r="EY266" s="122"/>
      <c r="EZ266" s="122"/>
      <c r="FA266" s="122"/>
      <c r="FB266" s="122"/>
      <c r="FC266" s="122"/>
      <c r="FD266" s="122"/>
      <c r="FE266" s="122"/>
      <c r="FF266" s="122"/>
      <c r="FG266" s="122"/>
      <c r="FH266" s="122"/>
      <c r="FI266" s="122"/>
      <c r="FJ266" s="122"/>
      <c r="FK266" s="122"/>
      <c r="FL266" s="122"/>
      <c r="FM266" s="122"/>
      <c r="FN266" s="122"/>
      <c r="FO266" s="122"/>
      <c r="FP266" s="122"/>
      <c r="FQ266" s="122"/>
      <c r="FR266" s="122"/>
      <c r="FS266" s="122"/>
      <c r="FT266" s="122"/>
      <c r="FU266" s="122"/>
      <c r="FV266" s="122"/>
      <c r="FW266" s="122"/>
      <c r="FX266" s="122"/>
      <c r="FY266" s="122"/>
      <c r="FZ266" s="122"/>
      <c r="GA266" s="122"/>
      <c r="GB266" s="122"/>
      <c r="GC266" s="122"/>
      <c r="GD266" s="122"/>
      <c r="GE266" s="122"/>
      <c r="GF266" s="122"/>
      <c r="GG266" s="122"/>
      <c r="GH266" s="122"/>
      <c r="GI266" s="122"/>
      <c r="GJ266" s="122"/>
      <c r="GK266" s="122"/>
      <c r="GL266" s="122"/>
      <c r="GM266" s="122"/>
      <c r="GN266" s="122"/>
      <c r="GO266" s="122"/>
      <c r="GP266" s="122"/>
      <c r="GQ266" s="122"/>
      <c r="GR266" s="122"/>
      <c r="GS266" s="122"/>
      <c r="GT266" s="122"/>
      <c r="GU266" s="122"/>
      <c r="GV266" s="122"/>
      <c r="GW266" s="122"/>
      <c r="GX266" s="122"/>
      <c r="GY266" s="122"/>
      <c r="GZ266" s="122"/>
      <c r="HA266" s="122"/>
      <c r="HB266" s="122"/>
      <c r="HC266" s="122"/>
      <c r="HD266" s="122"/>
      <c r="HE266" s="122"/>
      <c r="HF266" s="122"/>
      <c r="HG266" s="122"/>
      <c r="HH266" s="122"/>
      <c r="HI266" s="122"/>
      <c r="HJ266" s="122"/>
      <c r="HK266" s="122"/>
      <c r="HL266" s="122"/>
      <c r="HM266" s="122"/>
      <c r="HN266" s="122"/>
      <c r="HO266" s="122"/>
      <c r="HP266" s="122"/>
      <c r="HQ266" s="122"/>
      <c r="HR266" s="122"/>
      <c r="HS266" s="122"/>
      <c r="HT266" s="122"/>
      <c r="HU266" s="122"/>
      <c r="HV266" s="122"/>
      <c r="HW266" s="122"/>
      <c r="HX266" s="122"/>
      <c r="HY266" s="122"/>
      <c r="HZ266" s="122"/>
      <c r="IA266" s="122"/>
      <c r="IB266" s="122"/>
      <c r="IC266" s="122"/>
      <c r="ID266" s="122"/>
      <c r="IE266" s="122"/>
      <c r="IF266" s="122"/>
      <c r="IG266" s="122"/>
      <c r="IH266" s="122"/>
      <c r="II266" s="122"/>
      <c r="IJ266" s="122"/>
      <c r="IK266" s="122"/>
      <c r="IL266" s="122"/>
      <c r="IM266" s="122"/>
      <c r="IN266" s="122"/>
      <c r="IO266" s="122"/>
      <c r="IP266" s="122"/>
      <c r="IQ266" s="122"/>
      <c r="IR266" s="122"/>
      <c r="IS266" s="122"/>
      <c r="IT266" s="122"/>
      <c r="IU266" s="122"/>
      <c r="IV266" s="122"/>
    </row>
    <row r="267" spans="1:256" x14ac:dyDescent="0.25">
      <c r="A267" s="130"/>
      <c r="B267" s="131"/>
      <c r="C267" s="131"/>
      <c r="D267" s="122"/>
      <c r="E267" s="122"/>
      <c r="F267" s="131"/>
      <c r="G267" s="131"/>
      <c r="H267" s="131"/>
      <c r="I267" s="131"/>
      <c r="J267" s="131"/>
      <c r="K267" s="217"/>
      <c r="L267" s="131"/>
      <c r="M267" s="122"/>
      <c r="N267" s="122"/>
      <c r="O267" s="122"/>
      <c r="P267" s="122"/>
      <c r="Q267" s="122"/>
      <c r="R267" s="122"/>
      <c r="S267" s="122"/>
      <c r="T267" s="122"/>
      <c r="U267" s="122"/>
      <c r="V267" s="122"/>
      <c r="W267" s="122"/>
      <c r="X267" s="122"/>
      <c r="Y267" s="122"/>
      <c r="Z267" s="122"/>
      <c r="AA267" s="122"/>
      <c r="AB267" s="122"/>
      <c r="AC267" s="122"/>
      <c r="AD267" s="122"/>
      <c r="AE267" s="122"/>
      <c r="AF267" s="122"/>
      <c r="AG267" s="122"/>
      <c r="AH267" s="122"/>
      <c r="AI267" s="122"/>
      <c r="AJ267" s="122"/>
      <c r="AK267" s="122"/>
      <c r="AL267" s="122"/>
      <c r="AM267" s="122"/>
      <c r="AN267" s="122"/>
      <c r="AO267" s="122"/>
      <c r="AP267" s="122"/>
      <c r="AQ267" s="122"/>
      <c r="AR267" s="122"/>
      <c r="AS267" s="122"/>
      <c r="AT267" s="122"/>
      <c r="AU267" s="122"/>
      <c r="AV267" s="122"/>
      <c r="AW267" s="122"/>
      <c r="AX267" s="122"/>
      <c r="AY267" s="122"/>
      <c r="AZ267" s="122"/>
      <c r="BA267" s="122"/>
      <c r="BB267" s="122"/>
      <c r="BC267" s="122"/>
      <c r="BD267" s="122"/>
      <c r="BE267" s="122"/>
      <c r="BF267" s="122"/>
      <c r="BG267" s="122"/>
      <c r="BH267" s="122"/>
      <c r="BI267" s="122"/>
      <c r="BJ267" s="122"/>
      <c r="BK267" s="122"/>
      <c r="BL267" s="122"/>
      <c r="BM267" s="122"/>
      <c r="BN267" s="122"/>
      <c r="BO267" s="122"/>
      <c r="BP267" s="122"/>
      <c r="BQ267" s="122"/>
      <c r="BR267" s="122"/>
      <c r="BS267" s="122"/>
      <c r="BT267" s="122"/>
      <c r="BU267" s="122"/>
      <c r="BV267" s="122"/>
      <c r="BW267" s="122"/>
      <c r="BX267" s="122"/>
      <c r="BY267" s="122"/>
      <c r="BZ267" s="122"/>
      <c r="CA267" s="122"/>
      <c r="CB267" s="122"/>
      <c r="CC267" s="122"/>
      <c r="CD267" s="122"/>
      <c r="CE267" s="122"/>
      <c r="CF267" s="122"/>
      <c r="CG267" s="122"/>
      <c r="CH267" s="122"/>
      <c r="CI267" s="122"/>
      <c r="CJ267" s="122"/>
      <c r="CK267" s="122"/>
      <c r="CL267" s="122"/>
      <c r="CM267" s="122"/>
      <c r="CN267" s="122"/>
      <c r="CO267" s="122"/>
      <c r="CP267" s="122"/>
      <c r="CQ267" s="122"/>
      <c r="CR267" s="122"/>
      <c r="CS267" s="122"/>
      <c r="CT267" s="122"/>
      <c r="CU267" s="122"/>
      <c r="CV267" s="122"/>
      <c r="CW267" s="122"/>
      <c r="CX267" s="122"/>
      <c r="CY267" s="122"/>
      <c r="CZ267" s="122"/>
      <c r="DA267" s="122"/>
      <c r="DB267" s="122"/>
      <c r="DC267" s="122"/>
      <c r="DD267" s="122"/>
      <c r="DE267" s="122"/>
      <c r="DF267" s="122"/>
      <c r="DG267" s="122"/>
      <c r="DH267" s="122"/>
      <c r="DI267" s="122"/>
      <c r="DJ267" s="122"/>
      <c r="DK267" s="122"/>
      <c r="DL267" s="122"/>
      <c r="DM267" s="122"/>
      <c r="DN267" s="122"/>
      <c r="DO267" s="122"/>
      <c r="DP267" s="122"/>
      <c r="DQ267" s="122"/>
      <c r="DR267" s="122"/>
      <c r="DS267" s="122"/>
      <c r="DT267" s="122"/>
      <c r="DU267" s="122"/>
      <c r="DV267" s="122"/>
      <c r="DW267" s="122"/>
      <c r="DX267" s="122"/>
      <c r="DY267" s="122"/>
      <c r="DZ267" s="122"/>
      <c r="EA267" s="122"/>
      <c r="EB267" s="122"/>
      <c r="EC267" s="122"/>
      <c r="ED267" s="122"/>
      <c r="EE267" s="122"/>
      <c r="EF267" s="122"/>
      <c r="EG267" s="122"/>
      <c r="EH267" s="122"/>
      <c r="EI267" s="122"/>
      <c r="EJ267" s="122"/>
      <c r="EK267" s="122"/>
      <c r="EL267" s="122"/>
      <c r="EM267" s="122"/>
      <c r="EN267" s="122"/>
      <c r="EO267" s="122"/>
      <c r="EP267" s="122"/>
      <c r="EQ267" s="122"/>
      <c r="ER267" s="122"/>
      <c r="ES267" s="122"/>
      <c r="ET267" s="122"/>
      <c r="EU267" s="122"/>
      <c r="EV267" s="122"/>
      <c r="EW267" s="122"/>
      <c r="EX267" s="122"/>
      <c r="EY267" s="122"/>
      <c r="EZ267" s="122"/>
      <c r="FA267" s="122"/>
      <c r="FB267" s="122"/>
      <c r="FC267" s="122"/>
      <c r="FD267" s="122"/>
      <c r="FE267" s="122"/>
      <c r="FF267" s="122"/>
      <c r="FG267" s="122"/>
      <c r="FH267" s="122"/>
      <c r="FI267" s="122"/>
      <c r="FJ267" s="122"/>
      <c r="FK267" s="122"/>
      <c r="FL267" s="122"/>
      <c r="FM267" s="122"/>
      <c r="FN267" s="122"/>
      <c r="FO267" s="122"/>
      <c r="FP267" s="122"/>
      <c r="FQ267" s="122"/>
      <c r="FR267" s="122"/>
      <c r="FS267" s="122"/>
      <c r="FT267" s="122"/>
      <c r="FU267" s="122"/>
      <c r="FV267" s="122"/>
      <c r="FW267" s="122"/>
      <c r="FX267" s="122"/>
      <c r="FY267" s="122"/>
      <c r="FZ267" s="122"/>
      <c r="GA267" s="122"/>
      <c r="GB267" s="122"/>
      <c r="GC267" s="122"/>
      <c r="GD267" s="122"/>
      <c r="GE267" s="122"/>
      <c r="GF267" s="122"/>
      <c r="GG267" s="122"/>
      <c r="GH267" s="122"/>
      <c r="GI267" s="122"/>
      <c r="GJ267" s="122"/>
      <c r="GK267" s="122"/>
      <c r="GL267" s="122"/>
      <c r="GM267" s="122"/>
      <c r="GN267" s="122"/>
      <c r="GO267" s="122"/>
      <c r="GP267" s="122"/>
      <c r="GQ267" s="122"/>
      <c r="GR267" s="122"/>
      <c r="GS267" s="122"/>
      <c r="GT267" s="122"/>
      <c r="GU267" s="122"/>
      <c r="GV267" s="122"/>
      <c r="GW267" s="122"/>
      <c r="GX267" s="122"/>
      <c r="GY267" s="122"/>
      <c r="GZ267" s="122"/>
      <c r="HA267" s="122"/>
      <c r="HB267" s="122"/>
      <c r="HC267" s="122"/>
      <c r="HD267" s="122"/>
      <c r="HE267" s="122"/>
      <c r="HF267" s="122"/>
      <c r="HG267" s="122"/>
      <c r="HH267" s="122"/>
      <c r="HI267" s="122"/>
      <c r="HJ267" s="122"/>
      <c r="HK267" s="122"/>
      <c r="HL267" s="122"/>
      <c r="HM267" s="122"/>
      <c r="HN267" s="122"/>
      <c r="HO267" s="122"/>
      <c r="HP267" s="122"/>
      <c r="HQ267" s="122"/>
      <c r="HR267" s="122"/>
      <c r="HS267" s="122"/>
      <c r="HT267" s="122"/>
      <c r="HU267" s="122"/>
      <c r="HV267" s="122"/>
      <c r="HW267" s="122"/>
      <c r="HX267" s="122"/>
      <c r="HY267" s="122"/>
      <c r="HZ267" s="122"/>
      <c r="IA267" s="122"/>
      <c r="IB267" s="122"/>
      <c r="IC267" s="122"/>
      <c r="ID267" s="122"/>
      <c r="IE267" s="122"/>
      <c r="IF267" s="122"/>
      <c r="IG267" s="122"/>
      <c r="IH267" s="122"/>
      <c r="II267" s="122"/>
      <c r="IJ267" s="122"/>
      <c r="IK267" s="122"/>
      <c r="IL267" s="122"/>
      <c r="IM267" s="122"/>
      <c r="IN267" s="122"/>
      <c r="IO267" s="122"/>
      <c r="IP267" s="122"/>
      <c r="IQ267" s="122"/>
      <c r="IR267" s="122"/>
      <c r="IS267" s="122"/>
      <c r="IT267" s="122"/>
      <c r="IU267" s="122"/>
      <c r="IV267" s="122"/>
    </row>
    <row r="268" spans="1:256" x14ac:dyDescent="0.25">
      <c r="A268" s="130"/>
      <c r="B268" s="131"/>
      <c r="C268" s="131"/>
      <c r="D268" s="122"/>
      <c r="E268" s="122"/>
      <c r="F268" s="131"/>
      <c r="G268" s="131"/>
      <c r="H268" s="131"/>
      <c r="I268" s="131"/>
      <c r="J268" s="131"/>
      <c r="K268" s="217"/>
      <c r="L268" s="131"/>
      <c r="M268" s="122"/>
      <c r="N268" s="122"/>
      <c r="O268" s="122"/>
      <c r="P268" s="122"/>
      <c r="Q268" s="122"/>
      <c r="R268" s="122"/>
      <c r="S268" s="122"/>
      <c r="T268" s="122"/>
      <c r="U268" s="122"/>
      <c r="V268" s="122"/>
      <c r="W268" s="122"/>
      <c r="X268" s="122"/>
      <c r="Y268" s="122"/>
      <c r="Z268" s="122"/>
      <c r="AA268" s="122"/>
      <c r="AB268" s="122"/>
      <c r="AC268" s="122"/>
      <c r="AD268" s="122"/>
      <c r="AE268" s="122"/>
      <c r="AF268" s="122"/>
      <c r="AG268" s="122"/>
      <c r="AH268" s="122"/>
      <c r="AI268" s="122"/>
      <c r="AJ268" s="122"/>
      <c r="AK268" s="122"/>
      <c r="AL268" s="122"/>
      <c r="AM268" s="122"/>
      <c r="AN268" s="122"/>
      <c r="AO268" s="122"/>
      <c r="AP268" s="122"/>
      <c r="AQ268" s="122"/>
      <c r="AR268" s="122"/>
      <c r="AS268" s="122"/>
      <c r="AT268" s="122"/>
      <c r="AU268" s="122"/>
      <c r="AV268" s="122"/>
      <c r="AW268" s="122"/>
      <c r="AX268" s="122"/>
      <c r="AY268" s="122"/>
      <c r="AZ268" s="122"/>
      <c r="BA268" s="122"/>
      <c r="BB268" s="122"/>
      <c r="BC268" s="122"/>
      <c r="BD268" s="122"/>
      <c r="BE268" s="122"/>
      <c r="BF268" s="122"/>
      <c r="BG268" s="122"/>
      <c r="BH268" s="122"/>
      <c r="BI268" s="122"/>
      <c r="BJ268" s="122"/>
      <c r="BK268" s="122"/>
      <c r="BL268" s="122"/>
      <c r="BM268" s="122"/>
      <c r="BN268" s="122"/>
      <c r="BO268" s="122"/>
      <c r="BP268" s="122"/>
      <c r="BQ268" s="122"/>
      <c r="BR268" s="122"/>
      <c r="BS268" s="122"/>
      <c r="BT268" s="122"/>
      <c r="BU268" s="122"/>
      <c r="BV268" s="122"/>
      <c r="BW268" s="122"/>
      <c r="BX268" s="122"/>
      <c r="BY268" s="122"/>
      <c r="BZ268" s="122"/>
      <c r="CA268" s="122"/>
      <c r="CB268" s="122"/>
      <c r="CC268" s="122"/>
      <c r="CD268" s="122"/>
      <c r="CE268" s="122"/>
      <c r="CF268" s="122"/>
      <c r="CG268" s="122"/>
      <c r="CH268" s="122"/>
      <c r="CI268" s="122"/>
      <c r="CJ268" s="122"/>
      <c r="CK268" s="122"/>
      <c r="CL268" s="122"/>
      <c r="CM268" s="122"/>
      <c r="CN268" s="122"/>
      <c r="CO268" s="122"/>
      <c r="CP268" s="122"/>
      <c r="CQ268" s="122"/>
      <c r="CR268" s="122"/>
      <c r="CS268" s="122"/>
      <c r="CT268" s="122"/>
      <c r="CU268" s="122"/>
      <c r="CV268" s="122"/>
      <c r="CW268" s="122"/>
      <c r="CX268" s="122"/>
      <c r="CY268" s="122"/>
      <c r="CZ268" s="122"/>
      <c r="DA268" s="122"/>
      <c r="DB268" s="122"/>
      <c r="DC268" s="122"/>
      <c r="DD268" s="122"/>
      <c r="DE268" s="122"/>
      <c r="DF268" s="122"/>
      <c r="DG268" s="122"/>
      <c r="DH268" s="122"/>
      <c r="DI268" s="122"/>
      <c r="DJ268" s="122"/>
      <c r="DK268" s="122"/>
      <c r="DL268" s="122"/>
      <c r="DM268" s="122"/>
      <c r="DN268" s="122"/>
      <c r="DO268" s="122"/>
      <c r="DP268" s="122"/>
      <c r="DQ268" s="122"/>
      <c r="DR268" s="122"/>
      <c r="DS268" s="122"/>
      <c r="DT268" s="122"/>
      <c r="DU268" s="122"/>
      <c r="DV268" s="122"/>
      <c r="DW268" s="122"/>
      <c r="DX268" s="122"/>
      <c r="DY268" s="122"/>
      <c r="DZ268" s="122"/>
      <c r="EA268" s="122"/>
      <c r="EB268" s="122"/>
      <c r="EC268" s="122"/>
      <c r="ED268" s="122"/>
      <c r="EE268" s="122"/>
      <c r="EF268" s="122"/>
      <c r="EG268" s="122"/>
      <c r="EH268" s="122"/>
      <c r="EI268" s="122"/>
      <c r="EJ268" s="122"/>
      <c r="EK268" s="122"/>
      <c r="EL268" s="122"/>
      <c r="EM268" s="122"/>
      <c r="EN268" s="122"/>
      <c r="EO268" s="122"/>
      <c r="EP268" s="122"/>
      <c r="EQ268" s="122"/>
      <c r="ER268" s="122"/>
      <c r="ES268" s="122"/>
      <c r="ET268" s="122"/>
      <c r="EU268" s="122"/>
      <c r="EV268" s="122"/>
      <c r="EW268" s="122"/>
      <c r="EX268" s="122"/>
      <c r="EY268" s="122"/>
      <c r="EZ268" s="122"/>
      <c r="FA268" s="122"/>
      <c r="FB268" s="122"/>
      <c r="FC268" s="122"/>
      <c r="FD268" s="122"/>
      <c r="FE268" s="122"/>
      <c r="FF268" s="122"/>
      <c r="FG268" s="122"/>
      <c r="FH268" s="122"/>
      <c r="FI268" s="122"/>
      <c r="FJ268" s="122"/>
      <c r="FK268" s="122"/>
      <c r="FL268" s="122"/>
      <c r="FM268" s="122"/>
      <c r="FN268" s="122"/>
      <c r="FO268" s="122"/>
      <c r="FP268" s="122"/>
      <c r="FQ268" s="122"/>
      <c r="FR268" s="122"/>
      <c r="FS268" s="122"/>
      <c r="FT268" s="122"/>
      <c r="FU268" s="122"/>
      <c r="FV268" s="122"/>
      <c r="FW268" s="122"/>
      <c r="FX268" s="122"/>
      <c r="FY268" s="122"/>
      <c r="FZ268" s="122"/>
      <c r="GA268" s="122"/>
      <c r="GB268" s="122"/>
      <c r="GC268" s="122"/>
      <c r="GD268" s="122"/>
      <c r="GE268" s="122"/>
      <c r="GF268" s="122"/>
      <c r="GG268" s="122"/>
      <c r="GH268" s="122"/>
      <c r="GI268" s="122"/>
      <c r="GJ268" s="122"/>
      <c r="GK268" s="122"/>
      <c r="GL268" s="122"/>
      <c r="GM268" s="122"/>
      <c r="GN268" s="122"/>
      <c r="GO268" s="122"/>
      <c r="GP268" s="122"/>
      <c r="GQ268" s="122"/>
      <c r="GR268" s="122"/>
      <c r="GS268" s="122"/>
      <c r="GT268" s="122"/>
      <c r="GU268" s="122"/>
      <c r="GV268" s="122"/>
      <c r="GW268" s="122"/>
      <c r="GX268" s="122"/>
      <c r="GY268" s="122"/>
      <c r="GZ268" s="122"/>
      <c r="HA268" s="122"/>
      <c r="HB268" s="122"/>
      <c r="HC268" s="122"/>
      <c r="HD268" s="122"/>
      <c r="HE268" s="122"/>
      <c r="HF268" s="122"/>
      <c r="HG268" s="122"/>
      <c r="HH268" s="122"/>
      <c r="HI268" s="122"/>
      <c r="HJ268" s="122"/>
      <c r="HK268" s="122"/>
      <c r="HL268" s="122"/>
      <c r="HM268" s="122"/>
      <c r="HN268" s="122"/>
      <c r="HO268" s="122"/>
      <c r="HP268" s="122"/>
      <c r="HQ268" s="122"/>
      <c r="HR268" s="122"/>
      <c r="HS268" s="122"/>
      <c r="HT268" s="122"/>
      <c r="HU268" s="122"/>
      <c r="HV268" s="122"/>
      <c r="HW268" s="122"/>
      <c r="HX268" s="122"/>
      <c r="HY268" s="122"/>
      <c r="HZ268" s="122"/>
      <c r="IA268" s="122"/>
      <c r="IB268" s="122"/>
      <c r="IC268" s="122"/>
      <c r="ID268" s="122"/>
      <c r="IE268" s="122"/>
      <c r="IF268" s="122"/>
      <c r="IG268" s="122"/>
      <c r="IH268" s="122"/>
      <c r="II268" s="122"/>
      <c r="IJ268" s="122"/>
      <c r="IK268" s="122"/>
      <c r="IL268" s="122"/>
      <c r="IM268" s="122"/>
      <c r="IN268" s="122"/>
      <c r="IO268" s="122"/>
      <c r="IP268" s="122"/>
      <c r="IQ268" s="122"/>
      <c r="IR268" s="122"/>
      <c r="IS268" s="122"/>
      <c r="IT268" s="122"/>
      <c r="IU268" s="122"/>
      <c r="IV268" s="122"/>
    </row>
    <row r="269" spans="1:256" x14ac:dyDescent="0.25">
      <c r="A269" s="130"/>
      <c r="B269" s="131"/>
      <c r="C269" s="131"/>
      <c r="D269" s="122"/>
      <c r="E269" s="122"/>
      <c r="F269" s="131"/>
      <c r="G269" s="131"/>
      <c r="H269" s="131"/>
      <c r="I269" s="131"/>
      <c r="J269" s="131"/>
      <c r="K269" s="217"/>
      <c r="L269" s="131"/>
      <c r="M269" s="122"/>
      <c r="N269" s="122"/>
      <c r="O269" s="122"/>
      <c r="P269" s="122"/>
      <c r="Q269" s="122"/>
      <c r="R269" s="122"/>
      <c r="S269" s="122"/>
      <c r="T269" s="122"/>
      <c r="U269" s="122"/>
      <c r="V269" s="122"/>
      <c r="W269" s="122"/>
      <c r="X269" s="122"/>
      <c r="Y269" s="122"/>
      <c r="Z269" s="122"/>
      <c r="AA269" s="122"/>
      <c r="AB269" s="122"/>
      <c r="AC269" s="122"/>
      <c r="AD269" s="122"/>
      <c r="AE269" s="122"/>
      <c r="AF269" s="122"/>
      <c r="AG269" s="122"/>
      <c r="AH269" s="122"/>
      <c r="AI269" s="122"/>
      <c r="AJ269" s="122"/>
      <c r="AK269" s="122"/>
      <c r="AL269" s="122"/>
      <c r="AM269" s="122"/>
      <c r="AN269" s="122"/>
      <c r="AO269" s="122"/>
      <c r="AP269" s="122"/>
      <c r="AQ269" s="122"/>
      <c r="AR269" s="122"/>
      <c r="AS269" s="122"/>
      <c r="AT269" s="122"/>
      <c r="AU269" s="122"/>
      <c r="AV269" s="122"/>
      <c r="AW269" s="122"/>
      <c r="AX269" s="122"/>
      <c r="AY269" s="122"/>
      <c r="AZ269" s="122"/>
      <c r="BA269" s="122"/>
      <c r="BB269" s="122"/>
      <c r="BC269" s="122"/>
      <c r="BD269" s="122"/>
      <c r="BE269" s="122"/>
      <c r="BF269" s="122"/>
      <c r="BG269" s="122"/>
      <c r="BH269" s="122"/>
      <c r="BI269" s="122"/>
      <c r="BJ269" s="122"/>
      <c r="BK269" s="122"/>
      <c r="BL269" s="122"/>
      <c r="BM269" s="122"/>
      <c r="BN269" s="122"/>
      <c r="BO269" s="122"/>
      <c r="BP269" s="122"/>
      <c r="BQ269" s="122"/>
      <c r="BR269" s="122"/>
      <c r="BS269" s="122"/>
      <c r="BT269" s="122"/>
      <c r="BU269" s="122"/>
      <c r="BV269" s="122"/>
      <c r="BW269" s="122"/>
      <c r="BX269" s="122"/>
      <c r="BY269" s="122"/>
      <c r="BZ269" s="122"/>
      <c r="CA269" s="122"/>
      <c r="CB269" s="122"/>
      <c r="CC269" s="122"/>
      <c r="CD269" s="122"/>
      <c r="CE269" s="122"/>
      <c r="CF269" s="122"/>
      <c r="CG269" s="122"/>
      <c r="CH269" s="122"/>
      <c r="CI269" s="122"/>
      <c r="CJ269" s="122"/>
      <c r="CK269" s="122"/>
      <c r="CL269" s="122"/>
      <c r="CM269" s="122"/>
      <c r="CN269" s="122"/>
      <c r="CO269" s="122"/>
      <c r="CP269" s="122"/>
      <c r="CQ269" s="122"/>
      <c r="CR269" s="122"/>
      <c r="CS269" s="122"/>
      <c r="CT269" s="122"/>
      <c r="CU269" s="122"/>
      <c r="CV269" s="122"/>
      <c r="CW269" s="122"/>
      <c r="CX269" s="122"/>
      <c r="CY269" s="122"/>
      <c r="CZ269" s="122"/>
      <c r="DA269" s="122"/>
      <c r="DB269" s="122"/>
      <c r="DC269" s="122"/>
      <c r="DD269" s="122"/>
      <c r="DE269" s="122"/>
      <c r="DF269" s="122"/>
      <c r="DG269" s="122"/>
      <c r="DH269" s="122"/>
      <c r="DI269" s="122"/>
      <c r="DJ269" s="122"/>
      <c r="DK269" s="122"/>
      <c r="DL269" s="122"/>
      <c r="DM269" s="122"/>
      <c r="DN269" s="122"/>
      <c r="DO269" s="122"/>
      <c r="DP269" s="122"/>
      <c r="DQ269" s="122"/>
      <c r="DR269" s="122"/>
      <c r="DS269" s="122"/>
      <c r="DT269" s="122"/>
      <c r="DU269" s="122"/>
      <c r="DV269" s="122"/>
      <c r="DW269" s="122"/>
      <c r="DX269" s="122"/>
      <c r="DY269" s="122"/>
      <c r="DZ269" s="122"/>
      <c r="EA269" s="122"/>
      <c r="EB269" s="122"/>
      <c r="EC269" s="122"/>
      <c r="ED269" s="122"/>
      <c r="EE269" s="122"/>
      <c r="EF269" s="122"/>
      <c r="EG269" s="122"/>
      <c r="EH269" s="122"/>
      <c r="EI269" s="122"/>
      <c r="EJ269" s="122"/>
      <c r="EK269" s="122"/>
      <c r="EL269" s="122"/>
      <c r="EM269" s="122"/>
      <c r="EN269" s="122"/>
      <c r="EO269" s="122"/>
      <c r="EP269" s="122"/>
      <c r="EQ269" s="122"/>
      <c r="ER269" s="122"/>
      <c r="ES269" s="122"/>
      <c r="ET269" s="122"/>
      <c r="EU269" s="122"/>
      <c r="EV269" s="122"/>
      <c r="EW269" s="122"/>
      <c r="EX269" s="122"/>
      <c r="EY269" s="122"/>
      <c r="EZ269" s="122"/>
      <c r="FA269" s="122"/>
      <c r="FB269" s="122"/>
      <c r="FC269" s="122"/>
      <c r="FD269" s="122"/>
      <c r="FE269" s="122"/>
      <c r="FF269" s="122"/>
      <c r="FG269" s="122"/>
      <c r="FH269" s="122"/>
      <c r="FI269" s="122"/>
      <c r="FJ269" s="122"/>
      <c r="FK269" s="122"/>
      <c r="FL269" s="122"/>
      <c r="FM269" s="122"/>
      <c r="FN269" s="122"/>
      <c r="FO269" s="122"/>
      <c r="FP269" s="122"/>
      <c r="FQ269" s="122"/>
      <c r="FR269" s="122"/>
      <c r="FS269" s="122"/>
      <c r="FT269" s="122"/>
      <c r="FU269" s="122"/>
      <c r="FV269" s="122"/>
      <c r="FW269" s="122"/>
      <c r="FX269" s="122"/>
      <c r="FY269" s="122"/>
      <c r="FZ269" s="122"/>
      <c r="GA269" s="122"/>
      <c r="GB269" s="122"/>
      <c r="GC269" s="122"/>
      <c r="GD269" s="122"/>
      <c r="GE269" s="122"/>
      <c r="GF269" s="122"/>
      <c r="GG269" s="122"/>
      <c r="GH269" s="122"/>
      <c r="GI269" s="122"/>
      <c r="GJ269" s="122"/>
      <c r="GK269" s="122"/>
      <c r="GL269" s="122"/>
      <c r="GM269" s="122"/>
      <c r="GN269" s="122"/>
      <c r="GO269" s="122"/>
      <c r="GP269" s="122"/>
      <c r="GQ269" s="122"/>
      <c r="GR269" s="122"/>
      <c r="GS269" s="122"/>
      <c r="GT269" s="122"/>
      <c r="GU269" s="122"/>
      <c r="GV269" s="122"/>
      <c r="GW269" s="122"/>
      <c r="GX269" s="122"/>
      <c r="GY269" s="122"/>
      <c r="GZ269" s="122"/>
      <c r="HA269" s="122"/>
      <c r="HB269" s="122"/>
      <c r="HC269" s="122"/>
      <c r="HD269" s="122"/>
      <c r="HE269" s="122"/>
      <c r="HF269" s="122"/>
      <c r="HG269" s="122"/>
      <c r="HH269" s="122"/>
      <c r="HI269" s="122"/>
      <c r="HJ269" s="122"/>
      <c r="HK269" s="122"/>
      <c r="HL269" s="122"/>
      <c r="HM269" s="122"/>
      <c r="HN269" s="122"/>
      <c r="HO269" s="122"/>
      <c r="HP269" s="122"/>
      <c r="HQ269" s="122"/>
      <c r="HR269" s="122"/>
      <c r="HS269" s="122"/>
      <c r="HT269" s="122"/>
      <c r="HU269" s="122"/>
      <c r="HV269" s="122"/>
      <c r="HW269" s="122"/>
      <c r="HX269" s="122"/>
      <c r="HY269" s="122"/>
      <c r="HZ269" s="122"/>
      <c r="IA269" s="122"/>
      <c r="IB269" s="122"/>
      <c r="IC269" s="122"/>
      <c r="ID269" s="122"/>
      <c r="IE269" s="122"/>
      <c r="IF269" s="122"/>
      <c r="IG269" s="122"/>
      <c r="IH269" s="122"/>
      <c r="II269" s="122"/>
      <c r="IJ269" s="122"/>
      <c r="IK269" s="122"/>
      <c r="IL269" s="122"/>
      <c r="IM269" s="122"/>
      <c r="IN269" s="122"/>
      <c r="IO269" s="122"/>
      <c r="IP269" s="122"/>
      <c r="IQ269" s="122"/>
      <c r="IR269" s="122"/>
      <c r="IS269" s="122"/>
      <c r="IT269" s="122"/>
      <c r="IU269" s="122"/>
      <c r="IV269" s="122"/>
    </row>
    <row r="270" spans="1:256" x14ac:dyDescent="0.25">
      <c r="A270" s="130"/>
      <c r="B270" s="131"/>
      <c r="C270" s="131"/>
      <c r="D270" s="122"/>
      <c r="E270" s="122"/>
      <c r="F270" s="131"/>
      <c r="G270" s="131"/>
      <c r="H270" s="131"/>
      <c r="I270" s="131"/>
      <c r="J270" s="131"/>
      <c r="K270" s="217"/>
      <c r="L270" s="131"/>
      <c r="M270" s="122"/>
      <c r="N270" s="122"/>
      <c r="O270" s="122"/>
      <c r="P270" s="122"/>
      <c r="Q270" s="122"/>
      <c r="R270" s="122"/>
      <c r="S270" s="122"/>
      <c r="T270" s="122"/>
      <c r="U270" s="122"/>
      <c r="V270" s="122"/>
      <c r="W270" s="122"/>
      <c r="X270" s="122"/>
      <c r="Y270" s="122"/>
      <c r="Z270" s="122"/>
      <c r="AA270" s="122"/>
      <c r="AB270" s="122"/>
      <c r="AC270" s="122"/>
      <c r="AD270" s="122"/>
      <c r="AE270" s="122"/>
      <c r="AF270" s="122"/>
      <c r="AG270" s="122"/>
      <c r="AH270" s="122"/>
      <c r="AI270" s="122"/>
      <c r="AJ270" s="122"/>
      <c r="AK270" s="122"/>
      <c r="AL270" s="122"/>
      <c r="AM270" s="122"/>
      <c r="AN270" s="122"/>
      <c r="AO270" s="122"/>
      <c r="AP270" s="122"/>
      <c r="AQ270" s="122"/>
      <c r="AR270" s="122"/>
      <c r="AS270" s="122"/>
      <c r="AT270" s="122"/>
      <c r="AU270" s="122"/>
      <c r="AV270" s="122"/>
      <c r="AW270" s="122"/>
      <c r="AX270" s="122"/>
      <c r="AY270" s="122"/>
      <c r="AZ270" s="122"/>
      <c r="BA270" s="122"/>
      <c r="BB270" s="122"/>
      <c r="BC270" s="122"/>
      <c r="BD270" s="122"/>
      <c r="BE270" s="122"/>
      <c r="BF270" s="122"/>
      <c r="BG270" s="122"/>
      <c r="BH270" s="122"/>
      <c r="BI270" s="122"/>
      <c r="BJ270" s="122"/>
      <c r="BK270" s="122"/>
      <c r="BL270" s="122"/>
      <c r="BM270" s="122"/>
      <c r="BN270" s="122"/>
      <c r="BO270" s="122"/>
      <c r="BP270" s="122"/>
      <c r="BQ270" s="122"/>
      <c r="BR270" s="122"/>
      <c r="BS270" s="122"/>
      <c r="BT270" s="122"/>
      <c r="BU270" s="122"/>
      <c r="BV270" s="122"/>
      <c r="BW270" s="122"/>
      <c r="BX270" s="122"/>
      <c r="BY270" s="122"/>
      <c r="BZ270" s="122"/>
      <c r="CA270" s="122"/>
      <c r="CB270" s="122"/>
      <c r="CC270" s="122"/>
      <c r="CD270" s="122"/>
      <c r="CE270" s="122"/>
      <c r="CF270" s="122"/>
      <c r="CG270" s="122"/>
      <c r="CH270" s="122"/>
      <c r="CI270" s="122"/>
      <c r="CJ270" s="122"/>
      <c r="CK270" s="122"/>
      <c r="CL270" s="122"/>
      <c r="CM270" s="122"/>
      <c r="CN270" s="122"/>
      <c r="CO270" s="122"/>
      <c r="CP270" s="122"/>
      <c r="CQ270" s="122"/>
      <c r="CR270" s="122"/>
      <c r="CS270" s="122"/>
      <c r="CT270" s="122"/>
      <c r="CU270" s="122"/>
      <c r="CV270" s="122"/>
      <c r="CW270" s="122"/>
      <c r="CX270" s="122"/>
      <c r="CY270" s="122"/>
      <c r="CZ270" s="122"/>
      <c r="DA270" s="122"/>
      <c r="DB270" s="122"/>
      <c r="DC270" s="122"/>
      <c r="DD270" s="122"/>
      <c r="DE270" s="122"/>
      <c r="DF270" s="122"/>
      <c r="DG270" s="122"/>
      <c r="DH270" s="122"/>
      <c r="DI270" s="122"/>
      <c r="DJ270" s="122"/>
      <c r="DK270" s="122"/>
      <c r="DL270" s="122"/>
      <c r="DM270" s="122"/>
      <c r="DN270" s="122"/>
      <c r="DO270" s="122"/>
      <c r="DP270" s="122"/>
      <c r="DQ270" s="122"/>
      <c r="DR270" s="122"/>
      <c r="DS270" s="122"/>
      <c r="DT270" s="122"/>
      <c r="DU270" s="122"/>
      <c r="DV270" s="122"/>
      <c r="DW270" s="122"/>
      <c r="DX270" s="122"/>
      <c r="DY270" s="122"/>
      <c r="DZ270" s="122"/>
      <c r="EA270" s="122"/>
      <c r="EB270" s="122"/>
      <c r="EC270" s="122"/>
      <c r="ED270" s="122"/>
      <c r="EE270" s="122"/>
      <c r="EF270" s="122"/>
      <c r="EG270" s="122"/>
      <c r="EH270" s="122"/>
      <c r="EI270" s="122"/>
      <c r="EJ270" s="122"/>
      <c r="EK270" s="122"/>
      <c r="EL270" s="122"/>
      <c r="EM270" s="122"/>
      <c r="EN270" s="122"/>
      <c r="EO270" s="122"/>
      <c r="EP270" s="122"/>
      <c r="EQ270" s="122"/>
      <c r="ER270" s="122"/>
      <c r="ES270" s="122"/>
      <c r="ET270" s="122"/>
      <c r="EU270" s="122"/>
      <c r="EV270" s="122"/>
      <c r="EW270" s="122"/>
      <c r="EX270" s="122"/>
      <c r="EY270" s="122"/>
      <c r="EZ270" s="122"/>
      <c r="FA270" s="122"/>
      <c r="FB270" s="122"/>
      <c r="FC270" s="122"/>
      <c r="FD270" s="122"/>
      <c r="FE270" s="122"/>
      <c r="FF270" s="122"/>
      <c r="FG270" s="122"/>
      <c r="FH270" s="122"/>
      <c r="FI270" s="122"/>
      <c r="FJ270" s="122"/>
      <c r="FK270" s="122"/>
      <c r="FL270" s="122"/>
      <c r="FM270" s="122"/>
      <c r="FN270" s="122"/>
      <c r="FO270" s="122"/>
      <c r="FP270" s="122"/>
      <c r="FQ270" s="122"/>
      <c r="FR270" s="122"/>
      <c r="FS270" s="122"/>
      <c r="FT270" s="122"/>
      <c r="FU270" s="122"/>
      <c r="FV270" s="122"/>
      <c r="FW270" s="122"/>
      <c r="FX270" s="122"/>
      <c r="FY270" s="122"/>
      <c r="FZ270" s="122"/>
      <c r="GA270" s="122"/>
      <c r="GB270" s="122"/>
      <c r="GC270" s="122"/>
      <c r="GD270" s="122"/>
      <c r="GE270" s="122"/>
      <c r="GF270" s="122"/>
      <c r="GG270" s="122"/>
      <c r="GH270" s="122"/>
      <c r="GI270" s="122"/>
      <c r="GJ270" s="122"/>
      <c r="GK270" s="122"/>
      <c r="GL270" s="122"/>
      <c r="GM270" s="122"/>
      <c r="GN270" s="122"/>
      <c r="GO270" s="122"/>
      <c r="GP270" s="122"/>
      <c r="GQ270" s="122"/>
      <c r="GR270" s="122"/>
      <c r="GS270" s="122"/>
      <c r="GT270" s="122"/>
      <c r="GU270" s="122"/>
      <c r="GV270" s="122"/>
      <c r="GW270" s="122"/>
      <c r="GX270" s="122"/>
      <c r="GY270" s="122"/>
      <c r="GZ270" s="122"/>
      <c r="HA270" s="122"/>
      <c r="HB270" s="122"/>
      <c r="HC270" s="122"/>
      <c r="HD270" s="122"/>
      <c r="HE270" s="122"/>
      <c r="HF270" s="122"/>
      <c r="HG270" s="122"/>
      <c r="HH270" s="122"/>
      <c r="HI270" s="122"/>
      <c r="HJ270" s="122"/>
      <c r="HK270" s="122"/>
      <c r="HL270" s="122"/>
      <c r="HM270" s="122"/>
      <c r="HN270" s="122"/>
      <c r="HO270" s="122"/>
      <c r="HP270" s="122"/>
      <c r="HQ270" s="122"/>
      <c r="HR270" s="122"/>
      <c r="HS270" s="122"/>
      <c r="HT270" s="122"/>
      <c r="HU270" s="122"/>
      <c r="HV270" s="122"/>
      <c r="HW270" s="122"/>
      <c r="HX270" s="122"/>
      <c r="HY270" s="122"/>
      <c r="HZ270" s="122"/>
      <c r="IA270" s="122"/>
      <c r="IB270" s="122"/>
      <c r="IC270" s="122"/>
      <c r="ID270" s="122"/>
      <c r="IE270" s="122"/>
      <c r="IF270" s="122"/>
      <c r="IG270" s="122"/>
      <c r="IH270" s="122"/>
      <c r="II270" s="122"/>
      <c r="IJ270" s="122"/>
      <c r="IK270" s="122"/>
      <c r="IL270" s="122"/>
      <c r="IM270" s="122"/>
      <c r="IN270" s="122"/>
      <c r="IO270" s="122"/>
      <c r="IP270" s="122"/>
      <c r="IQ270" s="122"/>
      <c r="IR270" s="122"/>
      <c r="IS270" s="122"/>
      <c r="IT270" s="122"/>
      <c r="IU270" s="122"/>
      <c r="IV270" s="122"/>
    </row>
    <row r="271" spans="1:256" x14ac:dyDescent="0.25">
      <c r="A271" s="130"/>
      <c r="B271" s="131"/>
      <c r="C271" s="131"/>
      <c r="D271" s="122"/>
      <c r="E271" s="122"/>
      <c r="F271" s="131"/>
      <c r="G271" s="131"/>
      <c r="H271" s="131"/>
      <c r="I271" s="131"/>
      <c r="J271" s="131"/>
      <c r="K271" s="217"/>
      <c r="L271" s="131"/>
      <c r="M271" s="122"/>
      <c r="N271" s="122"/>
      <c r="O271" s="122"/>
      <c r="P271" s="122"/>
      <c r="Q271" s="122"/>
      <c r="R271" s="122"/>
      <c r="S271" s="122"/>
      <c r="T271" s="122"/>
      <c r="U271" s="122"/>
      <c r="V271" s="122"/>
      <c r="W271" s="122"/>
      <c r="X271" s="122"/>
      <c r="Y271" s="122"/>
      <c r="Z271" s="122"/>
      <c r="AA271" s="122"/>
      <c r="AB271" s="122"/>
      <c r="AC271" s="122"/>
      <c r="AD271" s="122"/>
      <c r="AE271" s="122"/>
      <c r="AF271" s="122"/>
      <c r="AG271" s="122"/>
      <c r="AH271" s="122"/>
      <c r="AI271" s="122"/>
      <c r="AJ271" s="122"/>
      <c r="AK271" s="122"/>
      <c r="AL271" s="122"/>
      <c r="AM271" s="122"/>
      <c r="AN271" s="122"/>
      <c r="AO271" s="122"/>
      <c r="AP271" s="122"/>
      <c r="AQ271" s="122"/>
      <c r="AR271" s="122"/>
      <c r="AS271" s="122"/>
      <c r="AT271" s="122"/>
      <c r="AU271" s="122"/>
      <c r="AV271" s="122"/>
      <c r="AW271" s="122"/>
      <c r="AX271" s="122"/>
      <c r="AY271" s="122"/>
      <c r="AZ271" s="122"/>
      <c r="BA271" s="122"/>
      <c r="BB271" s="122"/>
      <c r="BC271" s="122"/>
      <c r="BD271" s="122"/>
      <c r="BE271" s="122"/>
      <c r="BF271" s="122"/>
      <c r="BG271" s="122"/>
      <c r="BH271" s="122"/>
      <c r="BI271" s="122"/>
      <c r="BJ271" s="122"/>
      <c r="BK271" s="122"/>
      <c r="BL271" s="122"/>
      <c r="BM271" s="122"/>
      <c r="BN271" s="122"/>
      <c r="BO271" s="122"/>
      <c r="BP271" s="122"/>
      <c r="BQ271" s="122"/>
      <c r="BR271" s="122"/>
      <c r="BS271" s="122"/>
      <c r="BT271" s="122"/>
      <c r="BU271" s="122"/>
      <c r="BV271" s="122"/>
      <c r="BW271" s="122"/>
      <c r="BX271" s="122"/>
      <c r="BY271" s="122"/>
      <c r="BZ271" s="122"/>
      <c r="CA271" s="122"/>
      <c r="CB271" s="122"/>
      <c r="CC271" s="122"/>
      <c r="CD271" s="122"/>
      <c r="CE271" s="122"/>
      <c r="CF271" s="122"/>
      <c r="CG271" s="122"/>
      <c r="CH271" s="122"/>
      <c r="CI271" s="122"/>
      <c r="CJ271" s="122"/>
      <c r="CK271" s="122"/>
      <c r="CL271" s="122"/>
      <c r="CM271" s="122"/>
      <c r="CN271" s="122"/>
      <c r="CO271" s="122"/>
      <c r="CP271" s="122"/>
      <c r="CQ271" s="122"/>
      <c r="CR271" s="122"/>
      <c r="CS271" s="122"/>
      <c r="CT271" s="122"/>
      <c r="CU271" s="122"/>
      <c r="CV271" s="122"/>
      <c r="CW271" s="122"/>
      <c r="CX271" s="122"/>
      <c r="CY271" s="122"/>
      <c r="CZ271" s="122"/>
      <c r="DA271" s="122"/>
      <c r="DB271" s="122"/>
      <c r="DC271" s="122"/>
      <c r="DD271" s="122"/>
      <c r="DE271" s="122"/>
      <c r="DF271" s="122"/>
      <c r="DG271" s="122"/>
      <c r="DH271" s="122"/>
      <c r="DI271" s="122"/>
      <c r="DJ271" s="122"/>
      <c r="DK271" s="122"/>
      <c r="DL271" s="122"/>
      <c r="DM271" s="122"/>
      <c r="DN271" s="122"/>
      <c r="DO271" s="122"/>
      <c r="DP271" s="122"/>
      <c r="DQ271" s="122"/>
      <c r="DR271" s="122"/>
      <c r="DS271" s="122"/>
      <c r="DT271" s="122"/>
      <c r="DU271" s="122"/>
      <c r="DV271" s="122"/>
      <c r="DW271" s="122"/>
      <c r="DX271" s="122"/>
      <c r="DY271" s="122"/>
      <c r="DZ271" s="122"/>
      <c r="EA271" s="122"/>
      <c r="EB271" s="122"/>
      <c r="EC271" s="122"/>
      <c r="ED271" s="122"/>
      <c r="EE271" s="122"/>
      <c r="EF271" s="122"/>
      <c r="EG271" s="122"/>
      <c r="EH271" s="122"/>
      <c r="EI271" s="122"/>
      <c r="EJ271" s="122"/>
      <c r="EK271" s="122"/>
      <c r="EL271" s="122"/>
      <c r="EM271" s="122"/>
      <c r="EN271" s="122"/>
      <c r="EO271" s="122"/>
      <c r="EP271" s="122"/>
      <c r="EQ271" s="122"/>
      <c r="ER271" s="122"/>
      <c r="ES271" s="122"/>
      <c r="ET271" s="122"/>
      <c r="EU271" s="122"/>
      <c r="EV271" s="122"/>
      <c r="EW271" s="122"/>
      <c r="EX271" s="122"/>
      <c r="EY271" s="122"/>
      <c r="EZ271" s="122"/>
      <c r="FA271" s="122"/>
      <c r="FB271" s="122"/>
      <c r="FC271" s="122"/>
      <c r="FD271" s="122"/>
      <c r="FE271" s="122"/>
      <c r="FF271" s="122"/>
      <c r="FG271" s="122"/>
      <c r="FH271" s="122"/>
      <c r="FI271" s="122"/>
      <c r="FJ271" s="122"/>
      <c r="FK271" s="122"/>
      <c r="FL271" s="122"/>
      <c r="FM271" s="122"/>
      <c r="FN271" s="122"/>
      <c r="FO271" s="122"/>
      <c r="FP271" s="122"/>
      <c r="FQ271" s="122"/>
      <c r="FR271" s="122"/>
      <c r="FS271" s="122"/>
      <c r="FT271" s="122"/>
      <c r="FU271" s="122"/>
      <c r="FV271" s="122"/>
      <c r="FW271" s="122"/>
      <c r="FX271" s="122"/>
      <c r="FY271" s="122"/>
      <c r="FZ271" s="122"/>
      <c r="GA271" s="122"/>
      <c r="GB271" s="122"/>
      <c r="GC271" s="122"/>
      <c r="GD271" s="122"/>
      <c r="GE271" s="122"/>
      <c r="GF271" s="122"/>
      <c r="GG271" s="122"/>
      <c r="GH271" s="122"/>
      <c r="GI271" s="122"/>
      <c r="GJ271" s="122"/>
      <c r="GK271" s="122"/>
      <c r="GL271" s="122"/>
      <c r="GM271" s="122"/>
      <c r="GN271" s="122"/>
      <c r="GO271" s="122"/>
      <c r="GP271" s="122"/>
      <c r="GQ271" s="122"/>
      <c r="GR271" s="122"/>
      <c r="GS271" s="122"/>
      <c r="GT271" s="122"/>
      <c r="GU271" s="122"/>
      <c r="GV271" s="122"/>
      <c r="GW271" s="122"/>
      <c r="GX271" s="122"/>
      <c r="GY271" s="122"/>
      <c r="GZ271" s="122"/>
      <c r="HA271" s="122"/>
      <c r="HB271" s="122"/>
      <c r="HC271" s="122"/>
      <c r="HD271" s="122"/>
      <c r="HE271" s="122"/>
      <c r="HF271" s="122"/>
      <c r="HG271" s="122"/>
      <c r="HH271" s="122"/>
      <c r="HI271" s="122"/>
      <c r="HJ271" s="122"/>
      <c r="HK271" s="122"/>
      <c r="HL271" s="122"/>
      <c r="HM271" s="122"/>
      <c r="HN271" s="122"/>
      <c r="HO271" s="122"/>
      <c r="HP271" s="122"/>
      <c r="HQ271" s="122"/>
      <c r="HR271" s="122"/>
      <c r="HS271" s="122"/>
      <c r="HT271" s="122"/>
      <c r="HU271" s="122"/>
      <c r="HV271" s="122"/>
      <c r="HW271" s="122"/>
      <c r="HX271" s="122"/>
      <c r="HY271" s="122"/>
      <c r="HZ271" s="122"/>
      <c r="IA271" s="122"/>
      <c r="IB271" s="122"/>
      <c r="IC271" s="122"/>
      <c r="ID271" s="122"/>
      <c r="IE271" s="122"/>
      <c r="IF271" s="122"/>
      <c r="IG271" s="122"/>
      <c r="IH271" s="122"/>
      <c r="II271" s="122"/>
      <c r="IJ271" s="122"/>
      <c r="IK271" s="122"/>
      <c r="IL271" s="122"/>
      <c r="IM271" s="122"/>
      <c r="IN271" s="122"/>
      <c r="IO271" s="122"/>
      <c r="IP271" s="122"/>
      <c r="IQ271" s="122"/>
      <c r="IR271" s="122"/>
      <c r="IS271" s="122"/>
      <c r="IT271" s="122"/>
      <c r="IU271" s="122"/>
      <c r="IV271" s="122"/>
    </row>
    <row r="272" spans="1:256" x14ac:dyDescent="0.25">
      <c r="A272" s="130"/>
      <c r="B272" s="131"/>
      <c r="C272" s="131"/>
      <c r="D272" s="122"/>
      <c r="E272" s="122"/>
      <c r="F272" s="131"/>
      <c r="G272" s="131"/>
      <c r="H272" s="131"/>
      <c r="I272" s="131"/>
      <c r="J272" s="131"/>
      <c r="K272" s="217"/>
      <c r="L272" s="131"/>
      <c r="M272" s="122"/>
      <c r="N272" s="122"/>
      <c r="O272" s="122"/>
      <c r="P272" s="122"/>
      <c r="Q272" s="122"/>
      <c r="R272" s="122"/>
      <c r="S272" s="122"/>
      <c r="T272" s="122"/>
      <c r="U272" s="122"/>
      <c r="V272" s="122"/>
      <c r="W272" s="122"/>
      <c r="X272" s="122"/>
      <c r="Y272" s="122"/>
      <c r="Z272" s="122"/>
      <c r="AA272" s="122"/>
      <c r="AB272" s="122"/>
      <c r="AC272" s="122"/>
      <c r="AD272" s="122"/>
      <c r="AE272" s="122"/>
      <c r="AF272" s="122"/>
      <c r="AG272" s="122"/>
      <c r="AH272" s="122"/>
      <c r="AI272" s="122"/>
      <c r="AJ272" s="122"/>
      <c r="AK272" s="122"/>
      <c r="AL272" s="122"/>
      <c r="AM272" s="122"/>
      <c r="AN272" s="122"/>
      <c r="AO272" s="122"/>
      <c r="AP272" s="122"/>
      <c r="AQ272" s="122"/>
      <c r="AR272" s="122"/>
      <c r="AS272" s="122"/>
      <c r="AT272" s="122"/>
      <c r="AU272" s="122"/>
      <c r="AV272" s="122"/>
      <c r="AW272" s="122"/>
      <c r="AX272" s="122"/>
      <c r="AY272" s="122"/>
      <c r="AZ272" s="122"/>
      <c r="BA272" s="122"/>
      <c r="BB272" s="122"/>
      <c r="BC272" s="122"/>
      <c r="BD272" s="122"/>
      <c r="BE272" s="122"/>
      <c r="BF272" s="122"/>
      <c r="BG272" s="122"/>
      <c r="BH272" s="122"/>
      <c r="BI272" s="122"/>
      <c r="BJ272" s="122"/>
      <c r="BK272" s="122"/>
      <c r="BL272" s="122"/>
      <c r="BM272" s="122"/>
      <c r="BN272" s="122"/>
      <c r="BO272" s="122"/>
      <c r="BP272" s="122"/>
      <c r="BQ272" s="122"/>
      <c r="BR272" s="122"/>
      <c r="BS272" s="122"/>
      <c r="BT272" s="122"/>
      <c r="BU272" s="122"/>
      <c r="BV272" s="122"/>
      <c r="BW272" s="122"/>
      <c r="BX272" s="122"/>
      <c r="BY272" s="122"/>
      <c r="BZ272" s="122"/>
      <c r="CA272" s="122"/>
      <c r="CB272" s="122"/>
      <c r="CC272" s="122"/>
      <c r="CD272" s="122"/>
      <c r="CE272" s="122"/>
      <c r="CF272" s="122"/>
      <c r="CG272" s="122"/>
      <c r="CH272" s="122"/>
      <c r="CI272" s="122"/>
      <c r="CJ272" s="122"/>
      <c r="CK272" s="122"/>
      <c r="CL272" s="122"/>
      <c r="CM272" s="122"/>
      <c r="CN272" s="122"/>
      <c r="CO272" s="122"/>
      <c r="CP272" s="122"/>
      <c r="CQ272" s="122"/>
      <c r="CR272" s="122"/>
      <c r="CS272" s="122"/>
      <c r="CT272" s="122"/>
      <c r="CU272" s="122"/>
      <c r="CV272" s="122"/>
      <c r="CW272" s="122"/>
      <c r="CX272" s="122"/>
      <c r="CY272" s="122"/>
      <c r="CZ272" s="122"/>
      <c r="DA272" s="122"/>
      <c r="DB272" s="122"/>
      <c r="DC272" s="122"/>
      <c r="DD272" s="122"/>
      <c r="DE272" s="122"/>
      <c r="DF272" s="122"/>
      <c r="DG272" s="122"/>
      <c r="DH272" s="122"/>
      <c r="DI272" s="122"/>
      <c r="DJ272" s="122"/>
      <c r="DK272" s="122"/>
      <c r="DL272" s="122"/>
      <c r="DM272" s="122"/>
      <c r="DN272" s="122"/>
      <c r="DO272" s="122"/>
      <c r="DP272" s="122"/>
      <c r="DQ272" s="122"/>
      <c r="DR272" s="122"/>
      <c r="DS272" s="122"/>
      <c r="DT272" s="122"/>
      <c r="DU272" s="122"/>
      <c r="DV272" s="122"/>
      <c r="DW272" s="122"/>
      <c r="DX272" s="122"/>
      <c r="DY272" s="122"/>
      <c r="DZ272" s="122"/>
      <c r="EA272" s="122"/>
      <c r="EB272" s="122"/>
      <c r="EC272" s="122"/>
      <c r="ED272" s="122"/>
      <c r="EE272" s="122"/>
      <c r="EF272" s="122"/>
      <c r="EG272" s="122"/>
      <c r="EH272" s="122"/>
      <c r="EI272" s="122"/>
      <c r="EJ272" s="122"/>
      <c r="EK272" s="122"/>
      <c r="EL272" s="122"/>
      <c r="EM272" s="122"/>
      <c r="EN272" s="122"/>
      <c r="EO272" s="122"/>
      <c r="EP272" s="122"/>
      <c r="EQ272" s="122"/>
      <c r="ER272" s="122"/>
      <c r="ES272" s="122"/>
      <c r="ET272" s="122"/>
      <c r="EU272" s="122"/>
      <c r="EV272" s="122"/>
      <c r="EW272" s="122"/>
      <c r="EX272" s="122"/>
      <c r="EY272" s="122"/>
      <c r="EZ272" s="122"/>
      <c r="FA272" s="122"/>
      <c r="FB272" s="122"/>
      <c r="FC272" s="122"/>
      <c r="FD272" s="122"/>
      <c r="FE272" s="122"/>
      <c r="FF272" s="122"/>
      <c r="FG272" s="122"/>
      <c r="FH272" s="122"/>
      <c r="FI272" s="122"/>
      <c r="FJ272" s="122"/>
      <c r="FK272" s="122"/>
      <c r="FL272" s="122"/>
      <c r="FM272" s="122"/>
      <c r="FN272" s="122"/>
      <c r="FO272" s="122"/>
      <c r="FP272" s="122"/>
      <c r="FQ272" s="122"/>
      <c r="FR272" s="122"/>
      <c r="FS272" s="122"/>
      <c r="FT272" s="122"/>
      <c r="FU272" s="122"/>
      <c r="FV272" s="122"/>
      <c r="FW272" s="122"/>
      <c r="FX272" s="122"/>
      <c r="FY272" s="122"/>
      <c r="FZ272" s="122"/>
      <c r="GA272" s="122"/>
      <c r="GB272" s="122"/>
      <c r="GC272" s="122"/>
      <c r="GD272" s="122"/>
      <c r="GE272" s="122"/>
      <c r="GF272" s="122"/>
      <c r="GG272" s="122"/>
      <c r="GH272" s="122"/>
      <c r="GI272" s="122"/>
      <c r="GJ272" s="122"/>
      <c r="GK272" s="122"/>
      <c r="GL272" s="122"/>
      <c r="GM272" s="122"/>
      <c r="GN272" s="122"/>
      <c r="GO272" s="122"/>
      <c r="GP272" s="122"/>
      <c r="GQ272" s="122"/>
      <c r="GR272" s="122"/>
      <c r="GS272" s="122"/>
      <c r="GT272" s="122"/>
      <c r="GU272" s="122"/>
      <c r="GV272" s="122"/>
      <c r="GW272" s="122"/>
      <c r="GX272" s="122"/>
      <c r="GY272" s="122"/>
      <c r="GZ272" s="122"/>
      <c r="HA272" s="122"/>
      <c r="HB272" s="122"/>
      <c r="HC272" s="122"/>
      <c r="HD272" s="122"/>
      <c r="HE272" s="122"/>
      <c r="HF272" s="122"/>
      <c r="HG272" s="122"/>
      <c r="HH272" s="122"/>
      <c r="HI272" s="122"/>
      <c r="HJ272" s="122"/>
      <c r="HK272" s="122"/>
      <c r="HL272" s="122"/>
      <c r="HM272" s="122"/>
      <c r="HN272" s="122"/>
      <c r="HO272" s="122"/>
      <c r="HP272" s="122"/>
      <c r="HQ272" s="122"/>
      <c r="HR272" s="122"/>
      <c r="HS272" s="122"/>
      <c r="HT272" s="122"/>
      <c r="HU272" s="122"/>
      <c r="HV272" s="122"/>
      <c r="HW272" s="122"/>
      <c r="HX272" s="122"/>
      <c r="HY272" s="122"/>
      <c r="HZ272" s="122"/>
      <c r="IA272" s="122"/>
      <c r="IB272" s="122"/>
      <c r="IC272" s="122"/>
      <c r="ID272" s="122"/>
      <c r="IE272" s="122"/>
      <c r="IF272" s="122"/>
      <c r="IG272" s="122"/>
      <c r="IH272" s="122"/>
      <c r="II272" s="122"/>
      <c r="IJ272" s="122"/>
      <c r="IK272" s="122"/>
      <c r="IL272" s="122"/>
      <c r="IM272" s="122"/>
      <c r="IN272" s="122"/>
      <c r="IO272" s="122"/>
      <c r="IP272" s="122"/>
      <c r="IQ272" s="122"/>
      <c r="IR272" s="122"/>
      <c r="IS272" s="122"/>
      <c r="IT272" s="122"/>
      <c r="IU272" s="122"/>
      <c r="IV272" s="122"/>
    </row>
    <row r="273" spans="1:256" x14ac:dyDescent="0.25">
      <c r="A273" s="130"/>
      <c r="B273" s="131"/>
      <c r="C273" s="131"/>
      <c r="D273" s="122"/>
      <c r="E273" s="122"/>
      <c r="F273" s="131"/>
      <c r="G273" s="131"/>
      <c r="H273" s="131"/>
      <c r="I273" s="131"/>
      <c r="J273" s="131"/>
      <c r="K273" s="217"/>
      <c r="L273" s="131"/>
      <c r="M273" s="122"/>
      <c r="N273" s="122"/>
      <c r="O273" s="122"/>
      <c r="P273" s="122"/>
      <c r="Q273" s="122"/>
      <c r="R273" s="122"/>
      <c r="S273" s="122"/>
      <c r="T273" s="122"/>
      <c r="U273" s="122"/>
      <c r="V273" s="122"/>
      <c r="W273" s="122"/>
      <c r="X273" s="122"/>
      <c r="Y273" s="122"/>
      <c r="Z273" s="122"/>
      <c r="AA273" s="122"/>
      <c r="AB273" s="122"/>
      <c r="AC273" s="122"/>
      <c r="AD273" s="122"/>
      <c r="AE273" s="122"/>
      <c r="AF273" s="122"/>
      <c r="AG273" s="122"/>
      <c r="AH273" s="122"/>
      <c r="AI273" s="122"/>
      <c r="AJ273" s="122"/>
      <c r="AK273" s="122"/>
      <c r="AL273" s="122"/>
      <c r="AM273" s="122"/>
      <c r="AN273" s="122"/>
      <c r="AO273" s="122"/>
      <c r="AP273" s="122"/>
      <c r="AQ273" s="122"/>
      <c r="AR273" s="122"/>
      <c r="AS273" s="122"/>
      <c r="AT273" s="122"/>
      <c r="AU273" s="122"/>
      <c r="AV273" s="122"/>
      <c r="AW273" s="122"/>
      <c r="AX273" s="122"/>
      <c r="AY273" s="122"/>
      <c r="AZ273" s="122"/>
      <c r="BA273" s="122"/>
      <c r="BB273" s="122"/>
      <c r="BC273" s="122"/>
      <c r="BD273" s="122"/>
      <c r="BE273" s="122"/>
      <c r="BF273" s="122"/>
      <c r="BG273" s="122"/>
      <c r="BH273" s="122"/>
      <c r="BI273" s="122"/>
      <c r="BJ273" s="122"/>
      <c r="BK273" s="122"/>
      <c r="BL273" s="122"/>
      <c r="BM273" s="122"/>
      <c r="BN273" s="122"/>
      <c r="BO273" s="122"/>
      <c r="BP273" s="122"/>
      <c r="BQ273" s="122"/>
      <c r="BR273" s="122"/>
      <c r="BS273" s="122"/>
      <c r="BT273" s="122"/>
      <c r="BU273" s="122"/>
      <c r="BV273" s="122"/>
      <c r="BW273" s="122"/>
      <c r="BX273" s="122"/>
      <c r="BY273" s="122"/>
      <c r="BZ273" s="122"/>
      <c r="CA273" s="122"/>
      <c r="CB273" s="122"/>
      <c r="CC273" s="122"/>
      <c r="CD273" s="122"/>
      <c r="CE273" s="122"/>
      <c r="CF273" s="122"/>
      <c r="CG273" s="122"/>
      <c r="CH273" s="122"/>
      <c r="CI273" s="122"/>
      <c r="CJ273" s="122"/>
      <c r="CK273" s="122"/>
      <c r="CL273" s="122"/>
      <c r="CM273" s="122"/>
      <c r="CN273" s="122"/>
      <c r="CO273" s="122"/>
      <c r="CP273" s="122"/>
      <c r="CQ273" s="122"/>
      <c r="CR273" s="122"/>
      <c r="CS273" s="122"/>
      <c r="CT273" s="122"/>
      <c r="CU273" s="122"/>
      <c r="CV273" s="122"/>
      <c r="CW273" s="122"/>
      <c r="CX273" s="122"/>
      <c r="CY273" s="122"/>
      <c r="CZ273" s="122"/>
      <c r="DA273" s="122"/>
      <c r="DB273" s="122"/>
      <c r="DC273" s="122"/>
      <c r="DD273" s="122"/>
      <c r="DE273" s="122"/>
      <c r="DF273" s="122"/>
      <c r="DG273" s="122"/>
      <c r="DH273" s="122"/>
      <c r="DI273" s="122"/>
      <c r="DJ273" s="122"/>
      <c r="DK273" s="122"/>
      <c r="DL273" s="122"/>
      <c r="DM273" s="122"/>
      <c r="DN273" s="122"/>
      <c r="DO273" s="122"/>
      <c r="DP273" s="122"/>
      <c r="DQ273" s="122"/>
      <c r="DR273" s="122"/>
      <c r="DS273" s="122"/>
      <c r="DT273" s="122"/>
      <c r="DU273" s="122"/>
      <c r="DV273" s="122"/>
      <c r="DW273" s="122"/>
      <c r="DX273" s="122"/>
      <c r="DY273" s="122"/>
      <c r="DZ273" s="122"/>
      <c r="EA273" s="122"/>
      <c r="EB273" s="122"/>
      <c r="EC273" s="122"/>
      <c r="ED273" s="122"/>
      <c r="EE273" s="122"/>
      <c r="EF273" s="122"/>
      <c r="EG273" s="122"/>
      <c r="EH273" s="122"/>
      <c r="EI273" s="122"/>
      <c r="EJ273" s="122"/>
      <c r="EK273" s="122"/>
      <c r="EL273" s="122"/>
      <c r="EM273" s="122"/>
      <c r="EN273" s="122"/>
      <c r="EO273" s="122"/>
      <c r="EP273" s="122"/>
      <c r="EQ273" s="122"/>
      <c r="ER273" s="122"/>
      <c r="ES273" s="122"/>
      <c r="ET273" s="122"/>
      <c r="EU273" s="122"/>
      <c r="EV273" s="122"/>
      <c r="EW273" s="122"/>
      <c r="EX273" s="122"/>
      <c r="EY273" s="122"/>
      <c r="EZ273" s="122"/>
      <c r="FA273" s="122"/>
      <c r="FB273" s="122"/>
      <c r="FC273" s="122"/>
      <c r="FD273" s="122"/>
      <c r="FE273" s="122"/>
      <c r="FF273" s="122"/>
      <c r="FG273" s="122"/>
      <c r="FH273" s="122"/>
      <c r="FI273" s="122"/>
      <c r="FJ273" s="122"/>
      <c r="FK273" s="122"/>
      <c r="FL273" s="122"/>
      <c r="FM273" s="122"/>
      <c r="FN273" s="122"/>
      <c r="FO273" s="122"/>
      <c r="FP273" s="122"/>
      <c r="FQ273" s="122"/>
      <c r="FR273" s="122"/>
      <c r="FS273" s="122"/>
      <c r="FT273" s="122"/>
      <c r="FU273" s="122"/>
      <c r="FV273" s="122"/>
      <c r="FW273" s="122"/>
      <c r="FX273" s="122"/>
      <c r="FY273" s="122"/>
      <c r="FZ273" s="122"/>
      <c r="GA273" s="122"/>
      <c r="GB273" s="122"/>
      <c r="GC273" s="122"/>
      <c r="GD273" s="122"/>
      <c r="GE273" s="122"/>
      <c r="GF273" s="122"/>
      <c r="GG273" s="122"/>
      <c r="GH273" s="122"/>
      <c r="GI273" s="122"/>
      <c r="GJ273" s="122"/>
      <c r="GK273" s="122"/>
      <c r="GL273" s="122"/>
      <c r="GM273" s="122"/>
      <c r="GN273" s="122"/>
      <c r="GO273" s="122"/>
      <c r="GP273" s="122"/>
      <c r="GQ273" s="122"/>
      <c r="GR273" s="122"/>
      <c r="GS273" s="122"/>
      <c r="GT273" s="122"/>
      <c r="GU273" s="122"/>
      <c r="GV273" s="122"/>
      <c r="GW273" s="122"/>
      <c r="GX273" s="122"/>
      <c r="GY273" s="122"/>
      <c r="GZ273" s="122"/>
      <c r="HA273" s="122"/>
      <c r="HB273" s="122"/>
      <c r="HC273" s="122"/>
      <c r="HD273" s="122"/>
      <c r="HE273" s="122"/>
      <c r="HF273" s="122"/>
      <c r="HG273" s="122"/>
      <c r="HH273" s="122"/>
      <c r="HI273" s="122"/>
      <c r="HJ273" s="122"/>
      <c r="HK273" s="122"/>
      <c r="HL273" s="122"/>
      <c r="HM273" s="122"/>
      <c r="HN273" s="122"/>
      <c r="HO273" s="122"/>
      <c r="HP273" s="122"/>
      <c r="HQ273" s="122"/>
      <c r="HR273" s="122"/>
      <c r="HS273" s="122"/>
      <c r="HT273" s="122"/>
      <c r="HU273" s="122"/>
      <c r="HV273" s="122"/>
      <c r="HW273" s="122"/>
      <c r="HX273" s="122"/>
      <c r="HY273" s="122"/>
      <c r="HZ273" s="122"/>
      <c r="IA273" s="122"/>
      <c r="IB273" s="122"/>
      <c r="IC273" s="122"/>
      <c r="ID273" s="122"/>
      <c r="IE273" s="122"/>
      <c r="IF273" s="122"/>
      <c r="IG273" s="122"/>
      <c r="IH273" s="122"/>
      <c r="II273" s="122"/>
      <c r="IJ273" s="122"/>
      <c r="IK273" s="122"/>
      <c r="IL273" s="122"/>
      <c r="IM273" s="122"/>
      <c r="IN273" s="122"/>
      <c r="IO273" s="122"/>
      <c r="IP273" s="122"/>
      <c r="IQ273" s="122"/>
      <c r="IR273" s="122"/>
      <c r="IS273" s="122"/>
      <c r="IT273" s="122"/>
      <c r="IU273" s="122"/>
      <c r="IV273" s="122"/>
    </row>
    <row r="274" spans="1:256" x14ac:dyDescent="0.25">
      <c r="A274" s="130"/>
      <c r="B274" s="131"/>
      <c r="C274" s="131"/>
      <c r="D274" s="122"/>
      <c r="E274" s="122"/>
      <c r="F274" s="131"/>
      <c r="G274" s="131"/>
      <c r="H274" s="131"/>
      <c r="I274" s="131"/>
      <c r="J274" s="131"/>
      <c r="K274" s="217"/>
      <c r="L274" s="131"/>
      <c r="M274" s="122"/>
      <c r="N274" s="122"/>
      <c r="O274" s="122"/>
      <c r="P274" s="122"/>
      <c r="Q274" s="122"/>
      <c r="R274" s="122"/>
      <c r="S274" s="122"/>
      <c r="T274" s="122"/>
      <c r="U274" s="122"/>
      <c r="V274" s="122"/>
      <c r="W274" s="122"/>
      <c r="X274" s="122"/>
      <c r="Y274" s="122"/>
      <c r="Z274" s="122"/>
      <c r="AA274" s="122"/>
      <c r="AB274" s="122"/>
      <c r="AC274" s="122"/>
      <c r="AD274" s="122"/>
      <c r="AE274" s="122"/>
      <c r="AF274" s="122"/>
      <c r="AG274" s="122"/>
      <c r="AH274" s="122"/>
      <c r="AI274" s="122"/>
      <c r="AJ274" s="122"/>
      <c r="AK274" s="122"/>
      <c r="AL274" s="122"/>
      <c r="AM274" s="122"/>
      <c r="AN274" s="122"/>
      <c r="AO274" s="122"/>
      <c r="AP274" s="122"/>
      <c r="AQ274" s="122"/>
      <c r="AR274" s="122"/>
      <c r="AS274" s="122"/>
      <c r="AT274" s="122"/>
      <c r="AU274" s="122"/>
      <c r="AV274" s="122"/>
      <c r="AW274" s="122"/>
      <c r="AX274" s="122"/>
      <c r="AY274" s="122"/>
      <c r="AZ274" s="122"/>
      <c r="BA274" s="122"/>
      <c r="BB274" s="122"/>
      <c r="BC274" s="122"/>
      <c r="BD274" s="122"/>
      <c r="BE274" s="122"/>
      <c r="BF274" s="122"/>
      <c r="BG274" s="122"/>
      <c r="BH274" s="122"/>
      <c r="BI274" s="122"/>
      <c r="BJ274" s="122"/>
      <c r="BK274" s="122"/>
      <c r="BL274" s="122"/>
      <c r="BM274" s="122"/>
      <c r="BN274" s="122"/>
      <c r="BO274" s="122"/>
      <c r="BP274" s="122"/>
      <c r="BQ274" s="122"/>
      <c r="BR274" s="122"/>
      <c r="BS274" s="122"/>
      <c r="BT274" s="122"/>
      <c r="BU274" s="122"/>
      <c r="BV274" s="122"/>
      <c r="BW274" s="122"/>
      <c r="BX274" s="122"/>
      <c r="BY274" s="122"/>
      <c r="BZ274" s="122"/>
      <c r="CA274" s="122"/>
      <c r="CB274" s="122"/>
      <c r="CC274" s="122"/>
      <c r="CD274" s="122"/>
      <c r="CE274" s="122"/>
      <c r="CF274" s="122"/>
      <c r="CG274" s="122"/>
      <c r="CH274" s="122"/>
      <c r="CI274" s="122"/>
      <c r="CJ274" s="122"/>
      <c r="CK274" s="122"/>
      <c r="CL274" s="122"/>
      <c r="CM274" s="122"/>
      <c r="CN274" s="122"/>
      <c r="CO274" s="122"/>
      <c r="CP274" s="122"/>
      <c r="CQ274" s="122"/>
      <c r="CR274" s="122"/>
      <c r="CS274" s="122"/>
      <c r="CT274" s="122"/>
      <c r="CU274" s="122"/>
      <c r="CV274" s="122"/>
      <c r="CW274" s="122"/>
      <c r="CX274" s="122"/>
      <c r="CY274" s="122"/>
      <c r="CZ274" s="122"/>
      <c r="DA274" s="122"/>
      <c r="DB274" s="122"/>
      <c r="DC274" s="122"/>
      <c r="DD274" s="122"/>
      <c r="DE274" s="122"/>
      <c r="DF274" s="122"/>
      <c r="DG274" s="122"/>
      <c r="DH274" s="122"/>
      <c r="DI274" s="122"/>
      <c r="DJ274" s="122"/>
      <c r="DK274" s="122"/>
      <c r="DL274" s="122"/>
      <c r="DM274" s="122"/>
      <c r="DN274" s="122"/>
      <c r="DO274" s="122"/>
      <c r="DP274" s="122"/>
      <c r="DQ274" s="122"/>
      <c r="DR274" s="122"/>
      <c r="DS274" s="122"/>
      <c r="DT274" s="122"/>
      <c r="DU274" s="122"/>
      <c r="DV274" s="122"/>
      <c r="DW274" s="122"/>
      <c r="DX274" s="122"/>
      <c r="DY274" s="122"/>
      <c r="DZ274" s="122"/>
      <c r="EA274" s="122"/>
      <c r="EB274" s="122"/>
      <c r="EC274" s="122"/>
      <c r="ED274" s="122"/>
      <c r="EE274" s="122"/>
      <c r="EF274" s="122"/>
      <c r="EG274" s="122"/>
      <c r="EH274" s="122"/>
      <c r="EI274" s="122"/>
      <c r="EJ274" s="122"/>
      <c r="EK274" s="122"/>
      <c r="EL274" s="122"/>
      <c r="EM274" s="122"/>
      <c r="EN274" s="122"/>
      <c r="EO274" s="122"/>
      <c r="EP274" s="122"/>
      <c r="EQ274" s="122"/>
      <c r="ER274" s="122"/>
      <c r="ES274" s="122"/>
      <c r="ET274" s="122"/>
      <c r="EU274" s="122"/>
      <c r="EV274" s="122"/>
      <c r="EW274" s="122"/>
      <c r="EX274" s="122"/>
      <c r="EY274" s="122"/>
      <c r="EZ274" s="122"/>
      <c r="FA274" s="122"/>
      <c r="FB274" s="122"/>
      <c r="FC274" s="122"/>
      <c r="FD274" s="122"/>
      <c r="FE274" s="122"/>
      <c r="FF274" s="122"/>
      <c r="FG274" s="122"/>
      <c r="FH274" s="122"/>
      <c r="FI274" s="122"/>
      <c r="FJ274" s="122"/>
      <c r="FK274" s="122"/>
      <c r="FL274" s="122"/>
      <c r="FM274" s="122"/>
      <c r="FN274" s="122"/>
      <c r="FO274" s="122"/>
      <c r="FP274" s="122"/>
      <c r="FQ274" s="122"/>
      <c r="FR274" s="122"/>
      <c r="FS274" s="122"/>
      <c r="FT274" s="122"/>
      <c r="FU274" s="122"/>
      <c r="FV274" s="122"/>
      <c r="FW274" s="122"/>
      <c r="FX274" s="122"/>
      <c r="FY274" s="122"/>
      <c r="FZ274" s="122"/>
      <c r="GA274" s="122"/>
      <c r="GB274" s="122"/>
      <c r="GC274" s="122"/>
      <c r="GD274" s="122"/>
      <c r="GE274" s="122"/>
      <c r="GF274" s="122"/>
      <c r="GG274" s="122"/>
      <c r="GH274" s="122"/>
      <c r="GI274" s="122"/>
      <c r="GJ274" s="122"/>
      <c r="GK274" s="122"/>
      <c r="GL274" s="122"/>
      <c r="GM274" s="122"/>
      <c r="GN274" s="122"/>
      <c r="GO274" s="122"/>
      <c r="GP274" s="122"/>
      <c r="GQ274" s="122"/>
      <c r="GR274" s="122"/>
      <c r="GS274" s="122"/>
      <c r="GT274" s="122"/>
      <c r="GU274" s="122"/>
      <c r="GV274" s="122"/>
      <c r="GW274" s="122"/>
      <c r="GX274" s="122"/>
      <c r="GY274" s="122"/>
      <c r="GZ274" s="122"/>
      <c r="HA274" s="122"/>
      <c r="HB274" s="122"/>
      <c r="HC274" s="122"/>
      <c r="HD274" s="122"/>
      <c r="HE274" s="122"/>
      <c r="HF274" s="122"/>
      <c r="HG274" s="122"/>
      <c r="HH274" s="122"/>
      <c r="HI274" s="122"/>
      <c r="HJ274" s="122"/>
      <c r="HK274" s="122"/>
      <c r="HL274" s="122"/>
      <c r="HM274" s="122"/>
      <c r="HN274" s="122"/>
      <c r="HO274" s="122"/>
      <c r="HP274" s="122"/>
      <c r="HQ274" s="122"/>
      <c r="HR274" s="122"/>
      <c r="HS274" s="122"/>
      <c r="HT274" s="122"/>
      <c r="HU274" s="122"/>
      <c r="HV274" s="122"/>
      <c r="HW274" s="122"/>
      <c r="HX274" s="122"/>
      <c r="HY274" s="122"/>
      <c r="HZ274" s="122"/>
      <c r="IA274" s="122"/>
      <c r="IB274" s="122"/>
      <c r="IC274" s="122"/>
      <c r="ID274" s="122"/>
      <c r="IE274" s="122"/>
      <c r="IF274" s="122"/>
      <c r="IG274" s="122"/>
      <c r="IH274" s="122"/>
      <c r="II274" s="122"/>
      <c r="IJ274" s="122"/>
      <c r="IK274" s="122"/>
      <c r="IL274" s="122"/>
      <c r="IM274" s="122"/>
      <c r="IN274" s="122"/>
      <c r="IO274" s="122"/>
      <c r="IP274" s="122"/>
      <c r="IQ274" s="122"/>
      <c r="IR274" s="122"/>
      <c r="IS274" s="122"/>
      <c r="IT274" s="122"/>
      <c r="IU274" s="122"/>
      <c r="IV274" s="122"/>
    </row>
    <row r="275" spans="1:256" x14ac:dyDescent="0.25">
      <c r="A275" s="130"/>
      <c r="B275" s="131"/>
      <c r="C275" s="131"/>
      <c r="D275" s="122"/>
      <c r="E275" s="122"/>
      <c r="F275" s="131"/>
      <c r="G275" s="131"/>
      <c r="H275" s="131"/>
      <c r="I275" s="131"/>
      <c r="J275" s="131"/>
      <c r="K275" s="217"/>
      <c r="L275" s="131"/>
      <c r="M275" s="122"/>
      <c r="N275" s="122"/>
      <c r="O275" s="122"/>
      <c r="P275" s="122"/>
      <c r="Q275" s="122"/>
      <c r="R275" s="122"/>
      <c r="S275" s="122"/>
      <c r="T275" s="122"/>
      <c r="U275" s="122"/>
      <c r="V275" s="122"/>
      <c r="W275" s="122"/>
      <c r="X275" s="122"/>
      <c r="Y275" s="122"/>
      <c r="Z275" s="122"/>
      <c r="AA275" s="122"/>
      <c r="AB275" s="122"/>
      <c r="AC275" s="122"/>
      <c r="AD275" s="122"/>
      <c r="AE275" s="122"/>
      <c r="AF275" s="122"/>
      <c r="AG275" s="122"/>
      <c r="AH275" s="122"/>
      <c r="AI275" s="122"/>
      <c r="AJ275" s="122"/>
      <c r="AK275" s="122"/>
      <c r="AL275" s="122"/>
      <c r="AM275" s="122"/>
      <c r="AN275" s="122"/>
      <c r="AO275" s="122"/>
      <c r="AP275" s="122"/>
      <c r="AQ275" s="122"/>
      <c r="AR275" s="122"/>
      <c r="AS275" s="122"/>
      <c r="AT275" s="122"/>
      <c r="AU275" s="122"/>
      <c r="AV275" s="122"/>
      <c r="AW275" s="122"/>
      <c r="AX275" s="122"/>
      <c r="AY275" s="122"/>
      <c r="AZ275" s="122"/>
      <c r="BA275" s="122"/>
      <c r="BB275" s="122"/>
      <c r="BC275" s="122"/>
      <c r="BD275" s="122"/>
      <c r="BE275" s="122"/>
      <c r="BF275" s="122"/>
      <c r="BG275" s="122"/>
      <c r="BH275" s="122"/>
      <c r="BI275" s="122"/>
      <c r="BJ275" s="122"/>
      <c r="BK275" s="122"/>
      <c r="BL275" s="122"/>
      <c r="BM275" s="122"/>
      <c r="BN275" s="122"/>
      <c r="BO275" s="122"/>
      <c r="BP275" s="122"/>
      <c r="BQ275" s="122"/>
      <c r="BR275" s="122"/>
      <c r="BS275" s="122"/>
      <c r="BT275" s="122"/>
      <c r="BU275" s="122"/>
      <c r="BV275" s="122"/>
      <c r="BW275" s="122"/>
      <c r="BX275" s="122"/>
      <c r="BY275" s="122"/>
      <c r="BZ275" s="122"/>
      <c r="CA275" s="122"/>
      <c r="CB275" s="122"/>
      <c r="CC275" s="122"/>
      <c r="CD275" s="122"/>
      <c r="CE275" s="122"/>
      <c r="CF275" s="122"/>
      <c r="CG275" s="122"/>
      <c r="CH275" s="122"/>
      <c r="CI275" s="122"/>
      <c r="CJ275" s="122"/>
      <c r="CK275" s="122"/>
      <c r="CL275" s="122"/>
      <c r="CM275" s="122"/>
      <c r="CN275" s="122"/>
      <c r="CO275" s="122"/>
      <c r="CP275" s="122"/>
      <c r="CQ275" s="122"/>
      <c r="CR275" s="122"/>
      <c r="CS275" s="122"/>
      <c r="CT275" s="122"/>
      <c r="CU275" s="122"/>
      <c r="CV275" s="122"/>
      <c r="CW275" s="122"/>
      <c r="CX275" s="122"/>
      <c r="CY275" s="122"/>
      <c r="CZ275" s="122"/>
      <c r="DA275" s="122"/>
      <c r="DB275" s="122"/>
      <c r="DC275" s="122"/>
      <c r="DD275" s="122"/>
      <c r="DE275" s="122"/>
      <c r="DF275" s="122"/>
      <c r="DG275" s="122"/>
      <c r="DH275" s="122"/>
      <c r="DI275" s="122"/>
      <c r="DJ275" s="122"/>
      <c r="DK275" s="122"/>
      <c r="DL275" s="122"/>
      <c r="DM275" s="122"/>
      <c r="DN275" s="122"/>
      <c r="DO275" s="122"/>
      <c r="DP275" s="122"/>
      <c r="DQ275" s="122"/>
      <c r="DR275" s="122"/>
      <c r="DS275" s="122"/>
      <c r="DT275" s="122"/>
      <c r="DU275" s="122"/>
      <c r="DV275" s="122"/>
      <c r="DW275" s="122"/>
      <c r="DX275" s="122"/>
      <c r="DY275" s="122"/>
      <c r="DZ275" s="122"/>
      <c r="EA275" s="122"/>
      <c r="EB275" s="122"/>
      <c r="EC275" s="122"/>
      <c r="ED275" s="122"/>
      <c r="EE275" s="122"/>
      <c r="EF275" s="122"/>
      <c r="EG275" s="122"/>
      <c r="EH275" s="122"/>
      <c r="EI275" s="122"/>
      <c r="EJ275" s="122"/>
      <c r="EK275" s="122"/>
      <c r="EL275" s="122"/>
      <c r="EM275" s="122"/>
      <c r="EN275" s="122"/>
      <c r="EO275" s="122"/>
      <c r="EP275" s="122"/>
      <c r="EQ275" s="122"/>
      <c r="ER275" s="122"/>
      <c r="ES275" s="122"/>
      <c r="ET275" s="122"/>
      <c r="EU275" s="122"/>
      <c r="EV275" s="122"/>
      <c r="EW275" s="122"/>
      <c r="EX275" s="122"/>
      <c r="EY275" s="122"/>
      <c r="EZ275" s="122"/>
      <c r="FA275" s="122"/>
      <c r="FB275" s="122"/>
      <c r="FC275" s="122"/>
      <c r="FD275" s="122"/>
      <c r="FE275" s="122"/>
      <c r="FF275" s="122"/>
      <c r="FG275" s="122"/>
      <c r="FH275" s="122"/>
      <c r="FI275" s="122"/>
      <c r="FJ275" s="122"/>
      <c r="FK275" s="122"/>
      <c r="FL275" s="122"/>
      <c r="FM275" s="122"/>
      <c r="FN275" s="122"/>
      <c r="FO275" s="122"/>
      <c r="FP275" s="122"/>
      <c r="FQ275" s="122"/>
      <c r="FR275" s="122"/>
      <c r="FS275" s="122"/>
      <c r="FT275" s="122"/>
      <c r="FU275" s="122"/>
      <c r="FV275" s="122"/>
      <c r="FW275" s="122"/>
      <c r="FX275" s="122"/>
      <c r="FY275" s="122"/>
      <c r="FZ275" s="122"/>
      <c r="GA275" s="122"/>
      <c r="GB275" s="122"/>
      <c r="GC275" s="122"/>
      <c r="GD275" s="122"/>
      <c r="GE275" s="122"/>
      <c r="GF275" s="122"/>
      <c r="GG275" s="122"/>
      <c r="GH275" s="122"/>
      <c r="GI275" s="122"/>
      <c r="GJ275" s="122"/>
      <c r="GK275" s="122"/>
      <c r="GL275" s="122"/>
      <c r="GM275" s="122"/>
      <c r="GN275" s="122"/>
      <c r="GO275" s="122"/>
      <c r="GP275" s="122"/>
      <c r="GQ275" s="122"/>
      <c r="GR275" s="122"/>
      <c r="GS275" s="122"/>
      <c r="GT275" s="122"/>
      <c r="GU275" s="122"/>
      <c r="GV275" s="122"/>
      <c r="GW275" s="122"/>
      <c r="GX275" s="122"/>
      <c r="GY275" s="122"/>
      <c r="GZ275" s="122"/>
      <c r="HA275" s="122"/>
      <c r="HB275" s="122"/>
      <c r="HC275" s="122"/>
      <c r="HD275" s="122"/>
      <c r="HE275" s="122"/>
      <c r="HF275" s="122"/>
      <c r="HG275" s="122"/>
      <c r="HH275" s="122"/>
      <c r="HI275" s="122"/>
      <c r="HJ275" s="122"/>
      <c r="HK275" s="122"/>
      <c r="HL275" s="122"/>
      <c r="HM275" s="122"/>
      <c r="HN275" s="122"/>
      <c r="HO275" s="122"/>
      <c r="HP275" s="122"/>
      <c r="HQ275" s="122"/>
      <c r="HR275" s="122"/>
      <c r="HS275" s="122"/>
      <c r="HT275" s="122"/>
      <c r="HU275" s="122"/>
      <c r="HV275" s="122"/>
      <c r="HW275" s="122"/>
      <c r="HX275" s="122"/>
      <c r="HY275" s="122"/>
      <c r="HZ275" s="122"/>
      <c r="IA275" s="122"/>
      <c r="IB275" s="122"/>
      <c r="IC275" s="122"/>
      <c r="ID275" s="122"/>
      <c r="IE275" s="122"/>
      <c r="IF275" s="122"/>
      <c r="IG275" s="122"/>
      <c r="IH275" s="122"/>
      <c r="II275" s="122"/>
      <c r="IJ275" s="122"/>
      <c r="IK275" s="122"/>
      <c r="IL275" s="122"/>
      <c r="IM275" s="122"/>
      <c r="IN275" s="122"/>
      <c r="IO275" s="122"/>
      <c r="IP275" s="122"/>
      <c r="IQ275" s="122"/>
      <c r="IR275" s="122"/>
      <c r="IS275" s="122"/>
      <c r="IT275" s="122"/>
      <c r="IU275" s="122"/>
      <c r="IV275" s="122"/>
    </row>
    <row r="276" spans="1:256" x14ac:dyDescent="0.25">
      <c r="A276" s="130"/>
      <c r="B276" s="131"/>
      <c r="C276" s="131"/>
      <c r="D276" s="122"/>
      <c r="E276" s="122"/>
      <c r="F276" s="131"/>
      <c r="G276" s="131"/>
      <c r="H276" s="131"/>
      <c r="I276" s="131"/>
      <c r="J276" s="131"/>
      <c r="K276" s="217"/>
      <c r="L276" s="131"/>
      <c r="M276" s="122"/>
      <c r="N276" s="122"/>
      <c r="O276" s="122"/>
      <c r="P276" s="122"/>
      <c r="Q276" s="122"/>
      <c r="R276" s="122"/>
      <c r="S276" s="122"/>
      <c r="T276" s="122"/>
      <c r="U276" s="122"/>
      <c r="V276" s="122"/>
      <c r="W276" s="122"/>
      <c r="X276" s="122"/>
      <c r="Y276" s="122"/>
      <c r="Z276" s="122"/>
      <c r="AA276" s="122"/>
      <c r="AB276" s="122"/>
      <c r="AC276" s="122"/>
      <c r="AD276" s="122"/>
      <c r="AE276" s="122"/>
      <c r="AF276" s="122"/>
      <c r="AG276" s="122"/>
      <c r="AH276" s="122"/>
      <c r="AI276" s="122"/>
      <c r="AJ276" s="122"/>
      <c r="AK276" s="122"/>
      <c r="AL276" s="122"/>
      <c r="AM276" s="122"/>
      <c r="AN276" s="122"/>
      <c r="AO276" s="122"/>
      <c r="AP276" s="122"/>
      <c r="AQ276" s="122"/>
      <c r="AR276" s="122"/>
      <c r="AS276" s="122"/>
      <c r="AT276" s="122"/>
      <c r="AU276" s="122"/>
      <c r="AV276" s="122"/>
      <c r="AW276" s="122"/>
      <c r="AX276" s="122"/>
      <c r="AY276" s="122"/>
      <c r="AZ276" s="122"/>
      <c r="BA276" s="122"/>
      <c r="BB276" s="122"/>
      <c r="BC276" s="122"/>
      <c r="BD276" s="122"/>
      <c r="BE276" s="122"/>
      <c r="BF276" s="122"/>
      <c r="BG276" s="122"/>
      <c r="BH276" s="122"/>
      <c r="BI276" s="122"/>
      <c r="BJ276" s="122"/>
      <c r="BK276" s="122"/>
      <c r="BL276" s="122"/>
      <c r="BM276" s="122"/>
      <c r="BN276" s="122"/>
      <c r="BO276" s="122"/>
      <c r="BP276" s="122"/>
      <c r="BQ276" s="122"/>
      <c r="BR276" s="122"/>
      <c r="BS276" s="122"/>
      <c r="BT276" s="122"/>
      <c r="BU276" s="122"/>
      <c r="BV276" s="122"/>
      <c r="BW276" s="122"/>
      <c r="BX276" s="122"/>
      <c r="BY276" s="122"/>
      <c r="BZ276" s="122"/>
      <c r="CA276" s="122"/>
      <c r="CB276" s="122"/>
      <c r="CC276" s="122"/>
      <c r="CD276" s="122"/>
      <c r="CE276" s="122"/>
      <c r="CF276" s="122"/>
      <c r="CG276" s="122"/>
      <c r="CH276" s="122"/>
      <c r="CI276" s="122"/>
      <c r="CJ276" s="122"/>
      <c r="CK276" s="122"/>
      <c r="CL276" s="122"/>
      <c r="CM276" s="122"/>
      <c r="CN276" s="122"/>
      <c r="CO276" s="122"/>
      <c r="CP276" s="122"/>
      <c r="CQ276" s="122"/>
      <c r="CR276" s="122"/>
      <c r="CS276" s="122"/>
      <c r="CT276" s="122"/>
      <c r="CU276" s="122"/>
      <c r="CV276" s="122"/>
      <c r="CW276" s="122"/>
      <c r="CX276" s="122"/>
      <c r="CY276" s="122"/>
      <c r="CZ276" s="122"/>
      <c r="DA276" s="122"/>
      <c r="DB276" s="122"/>
      <c r="DC276" s="122"/>
      <c r="DD276" s="122"/>
      <c r="DE276" s="122"/>
      <c r="DF276" s="122"/>
      <c r="DG276" s="122"/>
      <c r="DH276" s="122"/>
      <c r="DI276" s="122"/>
      <c r="DJ276" s="122"/>
      <c r="DK276" s="122"/>
      <c r="DL276" s="122"/>
      <c r="DM276" s="122"/>
      <c r="DN276" s="122"/>
      <c r="DO276" s="122"/>
      <c r="DP276" s="122"/>
      <c r="DQ276" s="122"/>
      <c r="DR276" s="122"/>
      <c r="DS276" s="122"/>
      <c r="DT276" s="122"/>
      <c r="DU276" s="122"/>
      <c r="DV276" s="122"/>
      <c r="DW276" s="122"/>
      <c r="DX276" s="122"/>
      <c r="DY276" s="122"/>
      <c r="DZ276" s="122"/>
      <c r="EA276" s="122"/>
      <c r="EB276" s="122"/>
      <c r="EC276" s="122"/>
      <c r="ED276" s="122"/>
      <c r="EE276" s="122"/>
      <c r="EF276" s="122"/>
      <c r="EG276" s="122"/>
      <c r="EH276" s="122"/>
      <c r="EI276" s="122"/>
      <c r="EJ276" s="122"/>
      <c r="EK276" s="122"/>
      <c r="EL276" s="122"/>
      <c r="EM276" s="122"/>
      <c r="EN276" s="122"/>
      <c r="EO276" s="122"/>
      <c r="EP276" s="122"/>
      <c r="EQ276" s="122"/>
      <c r="ER276" s="122"/>
      <c r="ES276" s="122"/>
      <c r="ET276" s="122"/>
      <c r="EU276" s="122"/>
      <c r="EV276" s="122"/>
      <c r="EW276" s="122"/>
      <c r="EX276" s="122"/>
      <c r="EY276" s="122"/>
      <c r="EZ276" s="122"/>
      <c r="FA276" s="122"/>
      <c r="FB276" s="122"/>
      <c r="FC276" s="122"/>
      <c r="FD276" s="122"/>
      <c r="FE276" s="122"/>
      <c r="FF276" s="122"/>
      <c r="FG276" s="122"/>
      <c r="FH276" s="122"/>
      <c r="FI276" s="122"/>
      <c r="FJ276" s="122"/>
      <c r="FK276" s="122"/>
      <c r="FL276" s="122"/>
      <c r="FM276" s="122"/>
      <c r="FN276" s="122"/>
      <c r="FO276" s="122"/>
      <c r="FP276" s="122"/>
      <c r="FQ276" s="122"/>
      <c r="FR276" s="122"/>
      <c r="FS276" s="122"/>
      <c r="FT276" s="122"/>
      <c r="FU276" s="122"/>
      <c r="FV276" s="122"/>
      <c r="FW276" s="122"/>
      <c r="FX276" s="122"/>
      <c r="FY276" s="122"/>
      <c r="FZ276" s="122"/>
      <c r="GA276" s="122"/>
      <c r="GB276" s="122"/>
      <c r="GC276" s="122"/>
      <c r="GD276" s="122"/>
      <c r="GE276" s="122"/>
      <c r="GF276" s="122"/>
      <c r="GG276" s="122"/>
      <c r="GH276" s="122"/>
      <c r="GI276" s="122"/>
      <c r="GJ276" s="122"/>
      <c r="GK276" s="122"/>
      <c r="GL276" s="122"/>
      <c r="GM276" s="122"/>
      <c r="GN276" s="122"/>
      <c r="GO276" s="122"/>
      <c r="GP276" s="122"/>
      <c r="GQ276" s="122"/>
      <c r="GR276" s="122"/>
      <c r="GS276" s="122"/>
      <c r="GT276" s="122"/>
      <c r="GU276" s="122"/>
      <c r="GV276" s="122"/>
      <c r="GW276" s="122"/>
      <c r="GX276" s="122"/>
      <c r="GY276" s="122"/>
      <c r="GZ276" s="122"/>
      <c r="HA276" s="122"/>
      <c r="HB276" s="122"/>
      <c r="HC276" s="122"/>
      <c r="HD276" s="122"/>
      <c r="HE276" s="122"/>
      <c r="HF276" s="122"/>
      <c r="HG276" s="122"/>
      <c r="HH276" s="122"/>
      <c r="HI276" s="122"/>
      <c r="HJ276" s="122"/>
      <c r="HK276" s="122"/>
      <c r="HL276" s="122"/>
      <c r="HM276" s="122"/>
      <c r="HN276" s="122"/>
      <c r="HO276" s="122"/>
      <c r="HP276" s="122"/>
      <c r="HQ276" s="122"/>
      <c r="HR276" s="122"/>
      <c r="HS276" s="122"/>
      <c r="HT276" s="122"/>
      <c r="HU276" s="122"/>
      <c r="HV276" s="122"/>
      <c r="HW276" s="122"/>
      <c r="HX276" s="122"/>
      <c r="HY276" s="122"/>
      <c r="HZ276" s="122"/>
      <c r="IA276" s="122"/>
      <c r="IB276" s="122"/>
      <c r="IC276" s="122"/>
      <c r="ID276" s="122"/>
      <c r="IE276" s="122"/>
      <c r="IF276" s="122"/>
      <c r="IG276" s="122"/>
      <c r="IH276" s="122"/>
      <c r="II276" s="122"/>
      <c r="IJ276" s="122"/>
      <c r="IK276" s="122"/>
      <c r="IL276" s="122"/>
      <c r="IM276" s="122"/>
      <c r="IN276" s="122"/>
      <c r="IO276" s="122"/>
      <c r="IP276" s="122"/>
      <c r="IQ276" s="122"/>
      <c r="IR276" s="122"/>
      <c r="IS276" s="122"/>
      <c r="IT276" s="122"/>
      <c r="IU276" s="122"/>
      <c r="IV276" s="122"/>
    </row>
    <row r="277" spans="1:256" x14ac:dyDescent="0.25">
      <c r="A277" s="130"/>
      <c r="B277" s="131"/>
      <c r="C277" s="131"/>
      <c r="D277" s="122"/>
      <c r="E277" s="122"/>
      <c r="F277" s="131"/>
      <c r="G277" s="131"/>
      <c r="H277" s="131"/>
      <c r="I277" s="131"/>
      <c r="J277" s="131"/>
      <c r="K277" s="217"/>
      <c r="L277" s="131"/>
      <c r="M277" s="122"/>
      <c r="N277" s="122"/>
      <c r="O277" s="122"/>
      <c r="P277" s="122"/>
      <c r="Q277" s="122"/>
      <c r="R277" s="122"/>
      <c r="S277" s="122"/>
      <c r="T277" s="122"/>
      <c r="U277" s="122"/>
      <c r="V277" s="122"/>
      <c r="W277" s="122"/>
      <c r="X277" s="122"/>
      <c r="Y277" s="122"/>
      <c r="Z277" s="122"/>
      <c r="AA277" s="122"/>
      <c r="AB277" s="122"/>
      <c r="AC277" s="122"/>
      <c r="AD277" s="122"/>
      <c r="AE277" s="122"/>
      <c r="AF277" s="122"/>
      <c r="AG277" s="122"/>
      <c r="AH277" s="122"/>
      <c r="AI277" s="122"/>
      <c r="AJ277" s="122"/>
      <c r="AK277" s="122"/>
      <c r="AL277" s="122"/>
      <c r="AM277" s="122"/>
      <c r="AN277" s="122"/>
      <c r="AO277" s="122"/>
      <c r="AP277" s="122"/>
      <c r="AQ277" s="122"/>
      <c r="AR277" s="122"/>
      <c r="AS277" s="122"/>
      <c r="AT277" s="122"/>
      <c r="AU277" s="122"/>
      <c r="AV277" s="122"/>
      <c r="AW277" s="122"/>
      <c r="AX277" s="122"/>
      <c r="AY277" s="122"/>
      <c r="AZ277" s="122"/>
      <c r="BA277" s="122"/>
      <c r="BB277" s="122"/>
      <c r="BC277" s="122"/>
      <c r="BD277" s="122"/>
      <c r="BE277" s="122"/>
      <c r="BF277" s="122"/>
      <c r="BG277" s="122"/>
      <c r="BH277" s="122"/>
      <c r="BI277" s="122"/>
      <c r="BJ277" s="122"/>
      <c r="BK277" s="122"/>
      <c r="BL277" s="122"/>
      <c r="BM277" s="122"/>
      <c r="BN277" s="122"/>
      <c r="BO277" s="122"/>
      <c r="BP277" s="122"/>
      <c r="BQ277" s="122"/>
      <c r="BR277" s="122"/>
      <c r="BS277" s="122"/>
      <c r="BT277" s="122"/>
      <c r="BU277" s="122"/>
      <c r="BV277" s="122"/>
      <c r="BW277" s="122"/>
      <c r="BX277" s="122"/>
      <c r="BY277" s="122"/>
      <c r="BZ277" s="122"/>
      <c r="CA277" s="122"/>
      <c r="CB277" s="122"/>
      <c r="CC277" s="122"/>
      <c r="CD277" s="122"/>
      <c r="CE277" s="122"/>
      <c r="CF277" s="122"/>
      <c r="CG277" s="122"/>
      <c r="CH277" s="122"/>
      <c r="CI277" s="122"/>
      <c r="CJ277" s="122"/>
      <c r="CK277" s="122"/>
      <c r="CL277" s="122"/>
      <c r="CM277" s="122"/>
      <c r="CN277" s="122"/>
      <c r="CO277" s="122"/>
      <c r="CP277" s="122"/>
      <c r="CQ277" s="122"/>
      <c r="CR277" s="122"/>
      <c r="CS277" s="122"/>
      <c r="CT277" s="122"/>
      <c r="CU277" s="122"/>
      <c r="CV277" s="122"/>
      <c r="CW277" s="122"/>
      <c r="CX277" s="122"/>
      <c r="CY277" s="122"/>
      <c r="CZ277" s="122"/>
      <c r="DA277" s="122"/>
      <c r="DB277" s="122"/>
      <c r="DC277" s="122"/>
      <c r="DD277" s="122"/>
      <c r="DE277" s="122"/>
      <c r="DF277" s="122"/>
      <c r="DG277" s="122"/>
      <c r="DH277" s="122"/>
      <c r="DI277" s="122"/>
      <c r="DJ277" s="122"/>
      <c r="DK277" s="122"/>
      <c r="DL277" s="122"/>
      <c r="DM277" s="122"/>
      <c r="DN277" s="122"/>
      <c r="DO277" s="122"/>
      <c r="DP277" s="122"/>
      <c r="DQ277" s="122"/>
      <c r="DR277" s="122"/>
      <c r="DS277" s="122"/>
      <c r="DT277" s="122"/>
      <c r="DU277" s="122"/>
      <c r="DV277" s="122"/>
      <c r="DW277" s="122"/>
      <c r="DX277" s="122"/>
      <c r="DY277" s="122"/>
      <c r="DZ277" s="122"/>
      <c r="EA277" s="122"/>
      <c r="EB277" s="122"/>
      <c r="EC277" s="122"/>
      <c r="ED277" s="122"/>
      <c r="EE277" s="122"/>
      <c r="EF277" s="122"/>
      <c r="EG277" s="122"/>
      <c r="EH277" s="122"/>
      <c r="EI277" s="122"/>
      <c r="EJ277" s="122"/>
      <c r="EK277" s="122"/>
      <c r="EL277" s="122"/>
      <c r="EM277" s="122"/>
      <c r="EN277" s="122"/>
      <c r="EO277" s="122"/>
      <c r="EP277" s="122"/>
      <c r="EQ277" s="122"/>
      <c r="ER277" s="122"/>
      <c r="ES277" s="122"/>
      <c r="ET277" s="122"/>
      <c r="EU277" s="122"/>
      <c r="EV277" s="122"/>
      <c r="EW277" s="122"/>
      <c r="EX277" s="122"/>
      <c r="EY277" s="122"/>
      <c r="EZ277" s="122"/>
      <c r="FA277" s="122"/>
      <c r="FB277" s="122"/>
      <c r="FC277" s="122"/>
      <c r="FD277" s="122"/>
      <c r="FE277" s="122"/>
      <c r="FF277" s="122"/>
      <c r="FG277" s="122"/>
      <c r="FH277" s="122"/>
      <c r="FI277" s="122"/>
      <c r="FJ277" s="122"/>
      <c r="FK277" s="122"/>
      <c r="FL277" s="122"/>
      <c r="FM277" s="122"/>
      <c r="FN277" s="122"/>
      <c r="FO277" s="122"/>
      <c r="FP277" s="122"/>
      <c r="FQ277" s="122"/>
      <c r="FR277" s="122"/>
      <c r="FS277" s="122"/>
      <c r="FT277" s="122"/>
      <c r="FU277" s="122"/>
      <c r="FV277" s="122"/>
      <c r="FW277" s="122"/>
      <c r="FX277" s="122"/>
      <c r="FY277" s="122"/>
      <c r="FZ277" s="122"/>
      <c r="GA277" s="122"/>
      <c r="GB277" s="122"/>
      <c r="GC277" s="122"/>
      <c r="GD277" s="122"/>
      <c r="GE277" s="122"/>
      <c r="GF277" s="122"/>
      <c r="GG277" s="122"/>
      <c r="GH277" s="122"/>
      <c r="GI277" s="122"/>
      <c r="GJ277" s="122"/>
      <c r="GK277" s="122"/>
      <c r="GL277" s="122"/>
      <c r="GM277" s="122"/>
      <c r="GN277" s="122"/>
      <c r="GO277" s="122"/>
      <c r="GP277" s="122"/>
      <c r="GQ277" s="122"/>
      <c r="GR277" s="122"/>
      <c r="GS277" s="122"/>
      <c r="GT277" s="122"/>
      <c r="GU277" s="122"/>
      <c r="GV277" s="122"/>
      <c r="GW277" s="122"/>
      <c r="GX277" s="122"/>
      <c r="GY277" s="122"/>
      <c r="GZ277" s="122"/>
      <c r="HA277" s="122"/>
      <c r="HB277" s="122"/>
      <c r="HC277" s="122"/>
      <c r="HD277" s="122"/>
      <c r="HE277" s="122"/>
      <c r="HF277" s="122"/>
      <c r="HG277" s="122"/>
      <c r="HH277" s="122"/>
      <c r="HI277" s="122"/>
      <c r="HJ277" s="122"/>
      <c r="HK277" s="122"/>
      <c r="HL277" s="122"/>
      <c r="HM277" s="122"/>
      <c r="HN277" s="122"/>
      <c r="HO277" s="122"/>
      <c r="HP277" s="122"/>
      <c r="HQ277" s="122"/>
      <c r="HR277" s="122"/>
      <c r="HS277" s="122"/>
      <c r="HT277" s="122"/>
      <c r="HU277" s="122"/>
      <c r="HV277" s="122"/>
      <c r="HW277" s="122"/>
      <c r="HX277" s="122"/>
      <c r="HY277" s="122"/>
      <c r="HZ277" s="122"/>
      <c r="IA277" s="122"/>
      <c r="IB277" s="122"/>
      <c r="IC277" s="122"/>
      <c r="ID277" s="122"/>
      <c r="IE277" s="122"/>
      <c r="IF277" s="122"/>
      <c r="IG277" s="122"/>
      <c r="IH277" s="122"/>
      <c r="II277" s="122"/>
      <c r="IJ277" s="122"/>
      <c r="IK277" s="122"/>
      <c r="IL277" s="122"/>
      <c r="IM277" s="122"/>
      <c r="IN277" s="122"/>
      <c r="IO277" s="122"/>
      <c r="IP277" s="122"/>
      <c r="IQ277" s="122"/>
      <c r="IR277" s="122"/>
      <c r="IS277" s="122"/>
      <c r="IT277" s="122"/>
      <c r="IU277" s="122"/>
      <c r="IV277" s="122"/>
    </row>
    <row r="278" spans="1:256" x14ac:dyDescent="0.25">
      <c r="A278" s="130"/>
      <c r="B278" s="131"/>
      <c r="C278" s="131"/>
      <c r="D278" s="122"/>
      <c r="E278" s="122"/>
      <c r="F278" s="131"/>
      <c r="G278" s="131"/>
      <c r="H278" s="131"/>
      <c r="I278" s="131"/>
      <c r="J278" s="131"/>
      <c r="K278" s="217"/>
      <c r="L278" s="131"/>
      <c r="M278" s="122"/>
      <c r="N278" s="122"/>
      <c r="O278" s="122"/>
      <c r="P278" s="122"/>
      <c r="Q278" s="122"/>
      <c r="R278" s="122"/>
      <c r="S278" s="122"/>
      <c r="T278" s="122"/>
      <c r="U278" s="122"/>
      <c r="V278" s="122"/>
      <c r="W278" s="122"/>
      <c r="X278" s="122"/>
      <c r="Y278" s="122"/>
      <c r="Z278" s="122"/>
      <c r="AA278" s="122"/>
      <c r="AB278" s="122"/>
      <c r="AC278" s="122"/>
      <c r="AD278" s="122"/>
      <c r="AE278" s="122"/>
      <c r="AF278" s="122"/>
      <c r="AG278" s="122"/>
      <c r="AH278" s="122"/>
      <c r="AI278" s="122"/>
      <c r="AJ278" s="122"/>
      <c r="AK278" s="122"/>
      <c r="AL278" s="122"/>
      <c r="AM278" s="122"/>
      <c r="AN278" s="122"/>
      <c r="AO278" s="122"/>
      <c r="AP278" s="122"/>
      <c r="AQ278" s="122"/>
      <c r="AR278" s="122"/>
      <c r="AS278" s="122"/>
      <c r="AT278" s="122"/>
      <c r="AU278" s="122"/>
      <c r="AV278" s="122"/>
      <c r="AW278" s="122"/>
      <c r="AX278" s="122"/>
      <c r="AY278" s="122"/>
      <c r="AZ278" s="122"/>
      <c r="BA278" s="122"/>
      <c r="BB278" s="122"/>
      <c r="BC278" s="122"/>
      <c r="BD278" s="122"/>
      <c r="BE278" s="122"/>
      <c r="BF278" s="122"/>
      <c r="BG278" s="122"/>
      <c r="BH278" s="122"/>
      <c r="BI278" s="122"/>
      <c r="BJ278" s="122"/>
      <c r="BK278" s="122"/>
      <c r="BL278" s="122"/>
      <c r="BM278" s="122"/>
      <c r="BN278" s="122"/>
      <c r="BO278" s="122"/>
      <c r="BP278" s="122"/>
      <c r="BQ278" s="122"/>
      <c r="BR278" s="122"/>
      <c r="BS278" s="122"/>
      <c r="BT278" s="122"/>
      <c r="BU278" s="122"/>
      <c r="BV278" s="122"/>
      <c r="BW278" s="122"/>
      <c r="BX278" s="122"/>
      <c r="BY278" s="122"/>
      <c r="BZ278" s="122"/>
      <c r="CA278" s="122"/>
      <c r="CB278" s="122"/>
      <c r="CC278" s="122"/>
      <c r="CD278" s="122"/>
      <c r="CE278" s="122"/>
      <c r="CF278" s="122"/>
      <c r="CG278" s="122"/>
      <c r="CH278" s="122"/>
      <c r="CI278" s="122"/>
      <c r="CJ278" s="122"/>
      <c r="CK278" s="122"/>
      <c r="CL278" s="122"/>
      <c r="CM278" s="122"/>
      <c r="CN278" s="122"/>
      <c r="CO278" s="122"/>
      <c r="CP278" s="122"/>
      <c r="CQ278" s="122"/>
      <c r="CR278" s="122"/>
      <c r="CS278" s="122"/>
      <c r="CT278" s="122"/>
      <c r="CU278" s="122"/>
      <c r="CV278" s="122"/>
      <c r="CW278" s="122"/>
      <c r="CX278" s="122"/>
      <c r="CY278" s="122"/>
      <c r="CZ278" s="122"/>
      <c r="DA278" s="122"/>
      <c r="DB278" s="122"/>
      <c r="DC278" s="122"/>
      <c r="DD278" s="122"/>
      <c r="DE278" s="122"/>
      <c r="DF278" s="122"/>
      <c r="DG278" s="122"/>
      <c r="DH278" s="122"/>
      <c r="DI278" s="122"/>
      <c r="DJ278" s="122"/>
      <c r="DK278" s="122"/>
      <c r="DL278" s="122"/>
      <c r="DM278" s="122"/>
      <c r="DN278" s="122"/>
      <c r="DO278" s="122"/>
      <c r="DP278" s="122"/>
      <c r="DQ278" s="122"/>
      <c r="DR278" s="122"/>
      <c r="DS278" s="122"/>
      <c r="DT278" s="122"/>
      <c r="DU278" s="122"/>
      <c r="DV278" s="122"/>
      <c r="DW278" s="122"/>
      <c r="DX278" s="122"/>
      <c r="DY278" s="122"/>
      <c r="DZ278" s="122"/>
      <c r="EA278" s="122"/>
      <c r="EB278" s="122"/>
      <c r="EC278" s="122"/>
      <c r="ED278" s="122"/>
      <c r="EE278" s="122"/>
      <c r="EF278" s="122"/>
      <c r="EG278" s="122"/>
      <c r="EH278" s="122"/>
      <c r="EI278" s="122"/>
      <c r="EJ278" s="122"/>
      <c r="EK278" s="122"/>
      <c r="EL278" s="122"/>
      <c r="EM278" s="122"/>
      <c r="EN278" s="122"/>
      <c r="EO278" s="122"/>
      <c r="EP278" s="122"/>
      <c r="EQ278" s="122"/>
      <c r="ER278" s="122"/>
      <c r="ES278" s="122"/>
      <c r="ET278" s="122"/>
      <c r="EU278" s="122"/>
      <c r="EV278" s="122"/>
      <c r="EW278" s="122"/>
      <c r="EX278" s="122"/>
      <c r="EY278" s="122"/>
      <c r="EZ278" s="122"/>
      <c r="FA278" s="122"/>
      <c r="FB278" s="122"/>
      <c r="FC278" s="122"/>
      <c r="FD278" s="122"/>
      <c r="FE278" s="122"/>
      <c r="FF278" s="122"/>
      <c r="FG278" s="122"/>
      <c r="FH278" s="122"/>
      <c r="FI278" s="122"/>
      <c r="FJ278" s="122"/>
      <c r="FK278" s="122"/>
      <c r="FL278" s="122"/>
      <c r="FM278" s="122"/>
      <c r="FN278" s="122"/>
      <c r="FO278" s="122"/>
      <c r="FP278" s="122"/>
      <c r="FQ278" s="122"/>
      <c r="FR278" s="122"/>
      <c r="FS278" s="122"/>
      <c r="FT278" s="122"/>
      <c r="FU278" s="122"/>
      <c r="FV278" s="122"/>
      <c r="FW278" s="122"/>
      <c r="FX278" s="122"/>
      <c r="FY278" s="122"/>
      <c r="FZ278" s="122"/>
      <c r="GA278" s="122"/>
      <c r="GB278" s="122"/>
      <c r="GC278" s="122"/>
      <c r="GD278" s="122"/>
      <c r="GE278" s="122"/>
      <c r="GF278" s="122"/>
      <c r="GG278" s="122"/>
      <c r="GH278" s="122"/>
      <c r="GI278" s="122"/>
      <c r="GJ278" s="122"/>
      <c r="GK278" s="122"/>
      <c r="GL278" s="122"/>
      <c r="GM278" s="122"/>
      <c r="GN278" s="122"/>
      <c r="GO278" s="122"/>
      <c r="GP278" s="122"/>
      <c r="GQ278" s="122"/>
      <c r="GR278" s="122"/>
      <c r="GS278" s="122"/>
      <c r="GT278" s="122"/>
      <c r="GU278" s="122"/>
      <c r="GV278" s="122"/>
      <c r="GW278" s="122"/>
      <c r="GX278" s="122"/>
      <c r="GY278" s="122"/>
      <c r="GZ278" s="122"/>
      <c r="HA278" s="122"/>
      <c r="HB278" s="122"/>
      <c r="HC278" s="122"/>
      <c r="HD278" s="122"/>
      <c r="HE278" s="122"/>
      <c r="HF278" s="122"/>
      <c r="HG278" s="122"/>
      <c r="HH278" s="122"/>
      <c r="HI278" s="122"/>
      <c r="HJ278" s="122"/>
      <c r="HK278" s="122"/>
      <c r="HL278" s="122"/>
      <c r="HM278" s="122"/>
      <c r="HN278" s="122"/>
      <c r="HO278" s="122"/>
      <c r="HP278" s="122"/>
      <c r="HQ278" s="122"/>
      <c r="HR278" s="122"/>
      <c r="HS278" s="122"/>
      <c r="HT278" s="122"/>
      <c r="HU278" s="122"/>
      <c r="HV278" s="122"/>
      <c r="HW278" s="122"/>
      <c r="HX278" s="122"/>
      <c r="HY278" s="122"/>
      <c r="HZ278" s="122"/>
      <c r="IA278" s="122"/>
      <c r="IB278" s="122"/>
      <c r="IC278" s="122"/>
      <c r="ID278" s="122"/>
      <c r="IE278" s="122"/>
      <c r="IF278" s="122"/>
      <c r="IG278" s="122"/>
      <c r="IH278" s="122"/>
      <c r="II278" s="122"/>
      <c r="IJ278" s="122"/>
      <c r="IK278" s="122"/>
      <c r="IL278" s="122"/>
      <c r="IM278" s="122"/>
      <c r="IN278" s="122"/>
      <c r="IO278" s="122"/>
      <c r="IP278" s="122"/>
      <c r="IQ278" s="122"/>
      <c r="IR278" s="122"/>
      <c r="IS278" s="122"/>
      <c r="IT278" s="122"/>
      <c r="IU278" s="122"/>
      <c r="IV278" s="122"/>
    </row>
    <row r="279" spans="1:256" x14ac:dyDescent="0.25">
      <c r="A279" s="130"/>
      <c r="B279" s="131"/>
      <c r="C279" s="131"/>
      <c r="D279" s="122"/>
      <c r="E279" s="122"/>
      <c r="F279" s="131"/>
      <c r="G279" s="131"/>
      <c r="H279" s="131"/>
      <c r="I279" s="131"/>
      <c r="J279" s="131"/>
      <c r="K279" s="217"/>
      <c r="L279" s="131"/>
      <c r="M279" s="122"/>
      <c r="N279" s="122"/>
      <c r="O279" s="122"/>
      <c r="P279" s="122"/>
      <c r="Q279" s="122"/>
      <c r="R279" s="122"/>
      <c r="S279" s="122"/>
      <c r="T279" s="122"/>
      <c r="U279" s="122"/>
      <c r="V279" s="122"/>
      <c r="W279" s="122"/>
      <c r="X279" s="122"/>
      <c r="Y279" s="122"/>
      <c r="Z279" s="122"/>
      <c r="AA279" s="122"/>
      <c r="AB279" s="122"/>
      <c r="AC279" s="122"/>
      <c r="AD279" s="122"/>
      <c r="AE279" s="122"/>
      <c r="AF279" s="122"/>
      <c r="AG279" s="122"/>
      <c r="AH279" s="122"/>
      <c r="AI279" s="122"/>
      <c r="AJ279" s="122"/>
      <c r="AK279" s="122"/>
      <c r="AL279" s="122"/>
      <c r="AM279" s="122"/>
      <c r="AN279" s="122"/>
      <c r="AO279" s="122"/>
      <c r="AP279" s="122"/>
      <c r="AQ279" s="122"/>
      <c r="AR279" s="122"/>
      <c r="AS279" s="122"/>
      <c r="AT279" s="122"/>
      <c r="AU279" s="122"/>
      <c r="AV279" s="122"/>
      <c r="AW279" s="122"/>
      <c r="AX279" s="122"/>
      <c r="AY279" s="122"/>
      <c r="AZ279" s="122"/>
      <c r="BA279" s="122"/>
      <c r="BB279" s="122"/>
      <c r="BC279" s="122"/>
      <c r="BD279" s="122"/>
      <c r="BE279" s="122"/>
      <c r="BF279" s="122"/>
      <c r="BG279" s="122"/>
      <c r="BH279" s="122"/>
      <c r="BI279" s="122"/>
      <c r="BJ279" s="122"/>
      <c r="BK279" s="122"/>
      <c r="BL279" s="122"/>
      <c r="BM279" s="122"/>
      <c r="BN279" s="122"/>
      <c r="BO279" s="122"/>
      <c r="BP279" s="122"/>
      <c r="BQ279" s="122"/>
      <c r="BR279" s="122"/>
      <c r="BS279" s="122"/>
      <c r="BT279" s="122"/>
      <c r="BU279" s="122"/>
      <c r="BV279" s="122"/>
      <c r="BW279" s="122"/>
      <c r="BX279" s="122"/>
      <c r="BY279" s="122"/>
      <c r="BZ279" s="122"/>
      <c r="CA279" s="122"/>
      <c r="CB279" s="122"/>
      <c r="CC279" s="122"/>
      <c r="CD279" s="122"/>
      <c r="CE279" s="122"/>
      <c r="CF279" s="122"/>
      <c r="CG279" s="122"/>
      <c r="CH279" s="122"/>
      <c r="CI279" s="122"/>
      <c r="CJ279" s="122"/>
      <c r="CK279" s="122"/>
      <c r="CL279" s="122"/>
      <c r="CM279" s="122"/>
      <c r="CN279" s="122"/>
      <c r="CO279" s="122"/>
      <c r="CP279" s="122"/>
      <c r="CQ279" s="122"/>
      <c r="CR279" s="122"/>
      <c r="CS279" s="122"/>
      <c r="CT279" s="122"/>
      <c r="CU279" s="122"/>
      <c r="CV279" s="122"/>
      <c r="CW279" s="122"/>
      <c r="CX279" s="122"/>
      <c r="CY279" s="122"/>
      <c r="CZ279" s="122"/>
      <c r="DA279" s="122"/>
      <c r="DB279" s="122"/>
      <c r="DC279" s="122"/>
      <c r="DD279" s="122"/>
      <c r="DE279" s="122"/>
      <c r="DF279" s="122"/>
      <c r="DG279" s="122"/>
      <c r="DH279" s="122"/>
      <c r="DI279" s="122"/>
      <c r="DJ279" s="122"/>
      <c r="DK279" s="122"/>
      <c r="DL279" s="122"/>
      <c r="DM279" s="122"/>
      <c r="DN279" s="122"/>
      <c r="DO279" s="122"/>
      <c r="DP279" s="122"/>
      <c r="DQ279" s="122"/>
      <c r="DR279" s="122"/>
      <c r="DS279" s="122"/>
      <c r="DT279" s="122"/>
      <c r="DU279" s="122"/>
      <c r="DV279" s="122"/>
      <c r="DW279" s="122"/>
      <c r="DX279" s="122"/>
      <c r="DY279" s="122"/>
      <c r="DZ279" s="122"/>
      <c r="EA279" s="122"/>
      <c r="EB279" s="122"/>
      <c r="EC279" s="122"/>
      <c r="ED279" s="122"/>
      <c r="EE279" s="122"/>
      <c r="EF279" s="122"/>
      <c r="EG279" s="122"/>
      <c r="EH279" s="122"/>
      <c r="EI279" s="122"/>
      <c r="EJ279" s="122"/>
      <c r="EK279" s="122"/>
      <c r="EL279" s="122"/>
      <c r="EM279" s="122"/>
      <c r="EN279" s="122"/>
      <c r="EO279" s="122"/>
      <c r="EP279" s="122"/>
      <c r="EQ279" s="122"/>
      <c r="ER279" s="122"/>
      <c r="ES279" s="122"/>
      <c r="ET279" s="122"/>
      <c r="EU279" s="122"/>
      <c r="EV279" s="122"/>
      <c r="EW279" s="122"/>
      <c r="EX279" s="122"/>
      <c r="EY279" s="122"/>
      <c r="EZ279" s="122"/>
      <c r="FA279" s="122"/>
      <c r="FB279" s="122"/>
      <c r="FC279" s="122"/>
      <c r="FD279" s="122"/>
      <c r="FE279" s="122"/>
      <c r="FF279" s="122"/>
      <c r="FG279" s="122"/>
      <c r="FH279" s="122"/>
      <c r="FI279" s="122"/>
      <c r="FJ279" s="122"/>
      <c r="FK279" s="122"/>
      <c r="FL279" s="122"/>
      <c r="FM279" s="122"/>
      <c r="FN279" s="122"/>
      <c r="FO279" s="122"/>
      <c r="FP279" s="122"/>
      <c r="FQ279" s="122"/>
      <c r="FR279" s="122"/>
      <c r="FS279" s="122"/>
      <c r="FT279" s="122"/>
      <c r="FU279" s="122"/>
      <c r="FV279" s="122"/>
      <c r="FW279" s="122"/>
      <c r="FX279" s="122"/>
      <c r="FY279" s="122"/>
      <c r="FZ279" s="122"/>
      <c r="GA279" s="122"/>
      <c r="GB279" s="122"/>
      <c r="GC279" s="122"/>
      <c r="GD279" s="122"/>
      <c r="GE279" s="122"/>
      <c r="GF279" s="122"/>
      <c r="GG279" s="122"/>
      <c r="GH279" s="122"/>
      <c r="GI279" s="122"/>
      <c r="GJ279" s="122"/>
      <c r="GK279" s="122"/>
      <c r="GL279" s="122"/>
      <c r="GM279" s="122"/>
      <c r="GN279" s="122"/>
      <c r="GO279" s="122"/>
      <c r="GP279" s="122"/>
      <c r="GQ279" s="122"/>
      <c r="GR279" s="122"/>
      <c r="GS279" s="122"/>
      <c r="GT279" s="122"/>
      <c r="GU279" s="122"/>
      <c r="GV279" s="122"/>
      <c r="GW279" s="122"/>
      <c r="GX279" s="122"/>
      <c r="GY279" s="122"/>
      <c r="GZ279" s="122"/>
      <c r="HA279" s="122"/>
      <c r="HB279" s="122"/>
      <c r="HC279" s="122"/>
      <c r="HD279" s="122"/>
      <c r="HE279" s="122"/>
      <c r="HF279" s="122"/>
      <c r="HG279" s="122"/>
      <c r="HH279" s="122"/>
      <c r="HI279" s="122"/>
      <c r="HJ279" s="122"/>
      <c r="HK279" s="122"/>
      <c r="HL279" s="122"/>
      <c r="HM279" s="122"/>
      <c r="HN279" s="122"/>
      <c r="HO279" s="122"/>
      <c r="HP279" s="122"/>
      <c r="HQ279" s="122"/>
      <c r="HR279" s="122"/>
      <c r="HS279" s="122"/>
      <c r="HT279" s="122"/>
      <c r="HU279" s="122"/>
      <c r="HV279" s="122"/>
      <c r="HW279" s="122"/>
      <c r="HX279" s="122"/>
      <c r="HY279" s="122"/>
      <c r="HZ279" s="122"/>
      <c r="IA279" s="122"/>
      <c r="IB279" s="122"/>
      <c r="IC279" s="122"/>
      <c r="ID279" s="122"/>
      <c r="IE279" s="122"/>
      <c r="IF279" s="122"/>
      <c r="IG279" s="122"/>
      <c r="IH279" s="122"/>
      <c r="II279" s="122"/>
      <c r="IJ279" s="122"/>
      <c r="IK279" s="122"/>
      <c r="IL279" s="122"/>
      <c r="IM279" s="122"/>
      <c r="IN279" s="122"/>
      <c r="IO279" s="122"/>
      <c r="IP279" s="122"/>
      <c r="IQ279" s="122"/>
      <c r="IR279" s="122"/>
      <c r="IS279" s="122"/>
      <c r="IT279" s="122"/>
      <c r="IU279" s="122"/>
      <c r="IV279" s="122"/>
    </row>
    <row r="280" spans="1:256" x14ac:dyDescent="0.25">
      <c r="A280" s="130"/>
      <c r="B280" s="131"/>
      <c r="C280" s="131"/>
      <c r="D280" s="122"/>
      <c r="E280" s="122"/>
      <c r="F280" s="131"/>
      <c r="G280" s="131"/>
      <c r="H280" s="131"/>
      <c r="I280" s="131"/>
      <c r="J280" s="131"/>
      <c r="K280" s="217"/>
      <c r="L280" s="131"/>
      <c r="M280" s="122"/>
      <c r="N280" s="122"/>
      <c r="O280" s="122"/>
      <c r="P280" s="122"/>
      <c r="Q280" s="122"/>
      <c r="R280" s="122"/>
      <c r="S280" s="122"/>
      <c r="T280" s="122"/>
      <c r="U280" s="122"/>
      <c r="V280" s="122"/>
      <c r="W280" s="122"/>
      <c r="X280" s="122"/>
      <c r="Y280" s="122"/>
      <c r="Z280" s="122"/>
      <c r="AA280" s="122"/>
      <c r="AB280" s="122"/>
      <c r="AC280" s="122"/>
      <c r="AD280" s="122"/>
      <c r="AE280" s="122"/>
      <c r="AF280" s="122"/>
      <c r="AG280" s="122"/>
      <c r="AH280" s="122"/>
      <c r="AI280" s="122"/>
      <c r="AJ280" s="122"/>
      <c r="AK280" s="122"/>
      <c r="AL280" s="122"/>
      <c r="AM280" s="122"/>
      <c r="AN280" s="122"/>
      <c r="AO280" s="122"/>
      <c r="AP280" s="122"/>
      <c r="AQ280" s="122"/>
      <c r="AR280" s="122"/>
      <c r="AS280" s="122"/>
      <c r="AT280" s="122"/>
      <c r="AU280" s="122"/>
      <c r="AV280" s="122"/>
      <c r="AW280" s="122"/>
      <c r="AX280" s="122"/>
      <c r="AY280" s="122"/>
      <c r="AZ280" s="122"/>
      <c r="BA280" s="122"/>
      <c r="BB280" s="122"/>
      <c r="BC280" s="122"/>
      <c r="BD280" s="122"/>
      <c r="BE280" s="122"/>
      <c r="BF280" s="122"/>
      <c r="BG280" s="122"/>
      <c r="BH280" s="122"/>
      <c r="BI280" s="122"/>
      <c r="BJ280" s="122"/>
      <c r="BK280" s="122"/>
      <c r="BL280" s="122"/>
      <c r="BM280" s="122"/>
      <c r="BN280" s="122"/>
      <c r="BO280" s="122"/>
      <c r="BP280" s="122"/>
      <c r="BQ280" s="122"/>
      <c r="BR280" s="122"/>
      <c r="BS280" s="122"/>
      <c r="BT280" s="122"/>
      <c r="BU280" s="122"/>
      <c r="BV280" s="122"/>
      <c r="BW280" s="122"/>
      <c r="BX280" s="122"/>
      <c r="BY280" s="122"/>
      <c r="BZ280" s="122"/>
      <c r="CA280" s="122"/>
      <c r="CB280" s="122"/>
      <c r="CC280" s="122"/>
      <c r="CD280" s="122"/>
      <c r="CE280" s="122"/>
      <c r="CF280" s="122"/>
      <c r="CG280" s="122"/>
      <c r="CH280" s="122"/>
      <c r="CI280" s="122"/>
      <c r="CJ280" s="122"/>
      <c r="CK280" s="122"/>
      <c r="CL280" s="122"/>
      <c r="CM280" s="122"/>
      <c r="CN280" s="122"/>
      <c r="CO280" s="122"/>
      <c r="CP280" s="122"/>
      <c r="CQ280" s="122"/>
      <c r="CR280" s="122"/>
      <c r="CS280" s="122"/>
      <c r="CT280" s="122"/>
      <c r="CU280" s="122"/>
      <c r="CV280" s="122"/>
      <c r="CW280" s="122"/>
      <c r="CX280" s="122"/>
      <c r="CY280" s="122"/>
      <c r="CZ280" s="122"/>
      <c r="DA280" s="122"/>
      <c r="DB280" s="122"/>
      <c r="DC280" s="122"/>
      <c r="DD280" s="122"/>
      <c r="DE280" s="122"/>
      <c r="DF280" s="122"/>
      <c r="DG280" s="122"/>
      <c r="DH280" s="122"/>
      <c r="DI280" s="122"/>
      <c r="DJ280" s="122"/>
      <c r="DK280" s="122"/>
      <c r="DL280" s="122"/>
      <c r="DM280" s="122"/>
      <c r="DN280" s="122"/>
      <c r="DO280" s="122"/>
      <c r="DP280" s="122"/>
      <c r="DQ280" s="122"/>
      <c r="DR280" s="122"/>
      <c r="DS280" s="122"/>
      <c r="DT280" s="122"/>
      <c r="DU280" s="122"/>
      <c r="DV280" s="122"/>
      <c r="DW280" s="122"/>
      <c r="DX280" s="122"/>
      <c r="DY280" s="122"/>
      <c r="DZ280" s="122"/>
      <c r="EA280" s="122"/>
      <c r="EB280" s="122"/>
      <c r="EC280" s="122"/>
      <c r="ED280" s="122"/>
      <c r="EE280" s="122"/>
      <c r="EF280" s="122"/>
      <c r="EG280" s="122"/>
      <c r="EH280" s="122"/>
      <c r="EI280" s="122"/>
      <c r="EJ280" s="122"/>
      <c r="EK280" s="122"/>
      <c r="EL280" s="122"/>
      <c r="EM280" s="122"/>
      <c r="EN280" s="122"/>
      <c r="EO280" s="122"/>
      <c r="EP280" s="122"/>
      <c r="EQ280" s="122"/>
      <c r="ER280" s="122"/>
      <c r="ES280" s="122"/>
      <c r="ET280" s="122"/>
      <c r="EU280" s="122"/>
      <c r="EV280" s="122"/>
      <c r="EW280" s="122"/>
      <c r="EX280" s="122"/>
      <c r="EY280" s="122"/>
      <c r="EZ280" s="122"/>
      <c r="FA280" s="122"/>
      <c r="FB280" s="122"/>
      <c r="FC280" s="122"/>
      <c r="FD280" s="122"/>
      <c r="FE280" s="122"/>
      <c r="FF280" s="122"/>
      <c r="FG280" s="122"/>
      <c r="FH280" s="122"/>
      <c r="FI280" s="122"/>
      <c r="FJ280" s="122"/>
      <c r="FK280" s="122"/>
      <c r="FL280" s="122"/>
      <c r="FM280" s="122"/>
      <c r="FN280" s="122"/>
      <c r="FO280" s="122"/>
      <c r="FP280" s="122"/>
      <c r="FQ280" s="122"/>
      <c r="FR280" s="122"/>
      <c r="FS280" s="122"/>
      <c r="FT280" s="122"/>
      <c r="FU280" s="122"/>
      <c r="FV280" s="122"/>
      <c r="FW280" s="122"/>
      <c r="FX280" s="122"/>
      <c r="FY280" s="122"/>
      <c r="FZ280" s="122"/>
      <c r="GA280" s="122"/>
      <c r="GB280" s="122"/>
      <c r="GC280" s="122"/>
      <c r="GD280" s="122"/>
      <c r="GE280" s="122"/>
      <c r="GF280" s="122"/>
      <c r="GG280" s="122"/>
      <c r="GH280" s="122"/>
      <c r="GI280" s="122"/>
      <c r="GJ280" s="122"/>
      <c r="GK280" s="122"/>
      <c r="GL280" s="122"/>
      <c r="GM280" s="122"/>
      <c r="GN280" s="122"/>
      <c r="GO280" s="122"/>
      <c r="GP280" s="122"/>
      <c r="GQ280" s="122"/>
      <c r="GR280" s="122"/>
      <c r="GS280" s="122"/>
      <c r="GT280" s="122"/>
      <c r="GU280" s="122"/>
      <c r="GV280" s="122"/>
      <c r="GW280" s="122"/>
      <c r="GX280" s="122"/>
      <c r="GY280" s="122"/>
      <c r="GZ280" s="122"/>
      <c r="HA280" s="122"/>
      <c r="HB280" s="122"/>
      <c r="HC280" s="122"/>
      <c r="HD280" s="122"/>
      <c r="HE280" s="122"/>
      <c r="HF280" s="122"/>
      <c r="HG280" s="122"/>
      <c r="HH280" s="122"/>
      <c r="HI280" s="122"/>
      <c r="HJ280" s="122"/>
      <c r="HK280" s="122"/>
      <c r="HL280" s="122"/>
      <c r="HM280" s="122"/>
      <c r="HN280" s="122"/>
      <c r="HO280" s="122"/>
      <c r="HP280" s="122"/>
      <c r="HQ280" s="122"/>
      <c r="HR280" s="122"/>
      <c r="HS280" s="122"/>
      <c r="HT280" s="122"/>
      <c r="HU280" s="122"/>
      <c r="HV280" s="122"/>
      <c r="HW280" s="122"/>
      <c r="HX280" s="122"/>
      <c r="HY280" s="122"/>
      <c r="HZ280" s="122"/>
      <c r="IA280" s="122"/>
      <c r="IB280" s="122"/>
      <c r="IC280" s="122"/>
      <c r="ID280" s="122"/>
      <c r="IE280" s="122"/>
      <c r="IF280" s="122"/>
      <c r="IG280" s="122"/>
      <c r="IH280" s="122"/>
      <c r="II280" s="122"/>
      <c r="IJ280" s="122"/>
      <c r="IK280" s="122"/>
      <c r="IL280" s="122"/>
      <c r="IM280" s="122"/>
      <c r="IN280" s="122"/>
      <c r="IO280" s="122"/>
      <c r="IP280" s="122"/>
      <c r="IQ280" s="122"/>
      <c r="IR280" s="122"/>
      <c r="IS280" s="122"/>
      <c r="IT280" s="122"/>
      <c r="IU280" s="122"/>
      <c r="IV280" s="122"/>
    </row>
    <row r="281" spans="1:256" x14ac:dyDescent="0.25">
      <c r="A281" s="130"/>
      <c r="B281" s="131"/>
      <c r="C281" s="131"/>
      <c r="D281" s="122"/>
      <c r="E281" s="122"/>
      <c r="F281" s="131"/>
      <c r="G281" s="131"/>
      <c r="H281" s="131"/>
      <c r="I281" s="131"/>
      <c r="J281" s="131"/>
      <c r="K281" s="217"/>
      <c r="L281" s="131"/>
      <c r="M281" s="122"/>
      <c r="N281" s="122"/>
      <c r="O281" s="122"/>
      <c r="P281" s="122"/>
      <c r="Q281" s="122"/>
      <c r="R281" s="122"/>
      <c r="S281" s="122"/>
      <c r="T281" s="122"/>
      <c r="U281" s="122"/>
      <c r="V281" s="122"/>
      <c r="W281" s="122"/>
      <c r="X281" s="122"/>
      <c r="Y281" s="122"/>
      <c r="Z281" s="122"/>
      <c r="AA281" s="122"/>
      <c r="AB281" s="122"/>
      <c r="AC281" s="122"/>
      <c r="AD281" s="122"/>
      <c r="AE281" s="122"/>
      <c r="AF281" s="122"/>
      <c r="AG281" s="122"/>
      <c r="AH281" s="122"/>
      <c r="AI281" s="122"/>
      <c r="AJ281" s="122"/>
      <c r="AK281" s="122"/>
      <c r="AL281" s="122"/>
      <c r="AM281" s="122"/>
      <c r="AN281" s="122"/>
      <c r="AO281" s="122"/>
      <c r="AP281" s="122"/>
      <c r="AQ281" s="122"/>
      <c r="AR281" s="122"/>
      <c r="AS281" s="122"/>
      <c r="AT281" s="122"/>
      <c r="AU281" s="122"/>
      <c r="AV281" s="122"/>
      <c r="AW281" s="122"/>
      <c r="AX281" s="122"/>
      <c r="AY281" s="122"/>
      <c r="AZ281" s="122"/>
      <c r="BA281" s="122"/>
      <c r="BB281" s="122"/>
      <c r="BC281" s="122"/>
      <c r="BD281" s="122"/>
      <c r="BE281" s="122"/>
      <c r="BF281" s="122"/>
      <c r="BG281" s="122"/>
      <c r="BH281" s="122"/>
      <c r="BI281" s="122"/>
      <c r="BJ281" s="122"/>
      <c r="BK281" s="122"/>
      <c r="BL281" s="122"/>
      <c r="BM281" s="122"/>
      <c r="BN281" s="122"/>
      <c r="BO281" s="122"/>
      <c r="BP281" s="122"/>
      <c r="BQ281" s="122"/>
      <c r="BR281" s="122"/>
      <c r="BS281" s="122"/>
      <c r="BT281" s="122"/>
      <c r="BU281" s="122"/>
      <c r="BV281" s="122"/>
      <c r="BW281" s="122"/>
      <c r="BX281" s="122"/>
      <c r="BY281" s="122"/>
      <c r="BZ281" s="122"/>
      <c r="CA281" s="122"/>
      <c r="CB281" s="122"/>
      <c r="CC281" s="122"/>
      <c r="CD281" s="122"/>
      <c r="CE281" s="122"/>
      <c r="CF281" s="122"/>
      <c r="CG281" s="122"/>
      <c r="CH281" s="122"/>
      <c r="CI281" s="122"/>
      <c r="CJ281" s="122"/>
      <c r="CK281" s="122"/>
      <c r="CL281" s="122"/>
      <c r="CM281" s="122"/>
      <c r="CN281" s="122"/>
      <c r="CO281" s="122"/>
      <c r="CP281" s="122"/>
      <c r="CQ281" s="122"/>
      <c r="CR281" s="122"/>
      <c r="CS281" s="122"/>
      <c r="CT281" s="122"/>
      <c r="CU281" s="122"/>
      <c r="CV281" s="122"/>
      <c r="CW281" s="122"/>
      <c r="CX281" s="122"/>
      <c r="CY281" s="122"/>
      <c r="CZ281" s="122"/>
      <c r="DA281" s="122"/>
      <c r="DB281" s="122"/>
      <c r="DC281" s="122"/>
      <c r="DD281" s="122"/>
      <c r="DE281" s="122"/>
      <c r="DF281" s="122"/>
      <c r="DG281" s="122"/>
      <c r="DH281" s="122"/>
      <c r="DI281" s="122"/>
      <c r="DJ281" s="122"/>
      <c r="DK281" s="122"/>
      <c r="DL281" s="122"/>
      <c r="DM281" s="122"/>
      <c r="DN281" s="122"/>
      <c r="DO281" s="122"/>
      <c r="DP281" s="122"/>
      <c r="DQ281" s="122"/>
      <c r="DR281" s="122"/>
      <c r="DS281" s="122"/>
      <c r="DT281" s="122"/>
      <c r="DU281" s="122"/>
      <c r="DV281" s="122"/>
      <c r="DW281" s="122"/>
      <c r="DX281" s="122"/>
      <c r="DY281" s="122"/>
      <c r="DZ281" s="122"/>
      <c r="EA281" s="122"/>
      <c r="EB281" s="122"/>
      <c r="EC281" s="122"/>
      <c r="ED281" s="122"/>
      <c r="EE281" s="122"/>
      <c r="EF281" s="122"/>
      <c r="EG281" s="122"/>
      <c r="EH281" s="122"/>
      <c r="EI281" s="122"/>
      <c r="EJ281" s="122"/>
      <c r="EK281" s="122"/>
      <c r="EL281" s="122"/>
      <c r="EM281" s="122"/>
      <c r="EN281" s="122"/>
      <c r="EO281" s="122"/>
      <c r="EP281" s="122"/>
      <c r="EQ281" s="122"/>
      <c r="ER281" s="122"/>
      <c r="ES281" s="122"/>
      <c r="ET281" s="122"/>
      <c r="EU281" s="122"/>
      <c r="EV281" s="122"/>
      <c r="EW281" s="122"/>
      <c r="EX281" s="122"/>
      <c r="EY281" s="122"/>
      <c r="EZ281" s="122"/>
      <c r="FA281" s="122"/>
      <c r="FB281" s="122"/>
      <c r="FC281" s="122"/>
      <c r="FD281" s="122"/>
      <c r="FE281" s="122"/>
      <c r="FF281" s="122"/>
      <c r="FG281" s="122"/>
      <c r="FH281" s="122"/>
      <c r="FI281" s="122"/>
      <c r="FJ281" s="122"/>
      <c r="FK281" s="122"/>
      <c r="FL281" s="122"/>
      <c r="FM281" s="122"/>
      <c r="FN281" s="122"/>
      <c r="FO281" s="122"/>
      <c r="FP281" s="122"/>
      <c r="FQ281" s="122"/>
      <c r="FR281" s="122"/>
      <c r="FS281" s="122"/>
      <c r="FT281" s="122"/>
      <c r="FU281" s="122"/>
      <c r="FV281" s="122"/>
      <c r="FW281" s="122"/>
      <c r="FX281" s="122"/>
      <c r="FY281" s="122"/>
      <c r="FZ281" s="122"/>
      <c r="GA281" s="122"/>
      <c r="GB281" s="122"/>
      <c r="GC281" s="122"/>
      <c r="GD281" s="122"/>
      <c r="GE281" s="122"/>
      <c r="GF281" s="122"/>
      <c r="GG281" s="122"/>
      <c r="GH281" s="122"/>
      <c r="GI281" s="122"/>
      <c r="GJ281" s="122"/>
      <c r="GK281" s="122"/>
      <c r="GL281" s="122"/>
      <c r="GM281" s="122"/>
      <c r="GN281" s="122"/>
      <c r="GO281" s="122"/>
      <c r="GP281" s="122"/>
      <c r="GQ281" s="122"/>
      <c r="GR281" s="122"/>
      <c r="GS281" s="122"/>
      <c r="GT281" s="122"/>
      <c r="GU281" s="122"/>
      <c r="GV281" s="122"/>
      <c r="GW281" s="122"/>
      <c r="GX281" s="122"/>
      <c r="GY281" s="122"/>
      <c r="GZ281" s="122"/>
      <c r="HA281" s="122"/>
      <c r="HB281" s="122"/>
      <c r="HC281" s="122"/>
      <c r="HD281" s="122"/>
      <c r="HE281" s="122"/>
      <c r="HF281" s="122"/>
      <c r="HG281" s="122"/>
      <c r="HH281" s="122"/>
      <c r="HI281" s="122"/>
      <c r="HJ281" s="122"/>
      <c r="HK281" s="122"/>
      <c r="HL281" s="122"/>
      <c r="HM281" s="122"/>
      <c r="HN281" s="122"/>
      <c r="HO281" s="122"/>
      <c r="HP281" s="122"/>
      <c r="HQ281" s="122"/>
      <c r="HR281" s="122"/>
      <c r="HS281" s="122"/>
      <c r="HT281" s="122"/>
      <c r="HU281" s="122"/>
      <c r="HV281" s="122"/>
      <c r="HW281" s="122"/>
      <c r="HX281" s="122"/>
      <c r="HY281" s="122"/>
      <c r="HZ281" s="122"/>
      <c r="IA281" s="122"/>
      <c r="IB281" s="122"/>
      <c r="IC281" s="122"/>
      <c r="ID281" s="122"/>
      <c r="IE281" s="122"/>
      <c r="IF281" s="122"/>
      <c r="IG281" s="122"/>
      <c r="IH281" s="122"/>
      <c r="II281" s="122"/>
      <c r="IJ281" s="122"/>
      <c r="IK281" s="122"/>
      <c r="IL281" s="122"/>
      <c r="IM281" s="122"/>
      <c r="IN281" s="122"/>
      <c r="IO281" s="122"/>
      <c r="IP281" s="122"/>
      <c r="IQ281" s="122"/>
      <c r="IR281" s="122"/>
      <c r="IS281" s="122"/>
      <c r="IT281" s="122"/>
      <c r="IU281" s="122"/>
      <c r="IV281" s="122"/>
    </row>
    <row r="282" spans="1:256" x14ac:dyDescent="0.25">
      <c r="A282" s="130"/>
      <c r="B282" s="131"/>
      <c r="C282" s="131"/>
      <c r="D282" s="122"/>
      <c r="E282" s="122"/>
      <c r="F282" s="131"/>
      <c r="G282" s="131"/>
      <c r="H282" s="131"/>
      <c r="I282" s="131"/>
      <c r="J282" s="131"/>
      <c r="K282" s="217"/>
      <c r="L282" s="131"/>
      <c r="M282" s="122"/>
      <c r="N282" s="122"/>
      <c r="O282" s="122"/>
      <c r="P282" s="122"/>
      <c r="Q282" s="122"/>
      <c r="R282" s="122"/>
      <c r="S282" s="122"/>
      <c r="T282" s="122"/>
      <c r="U282" s="122"/>
      <c r="V282" s="122"/>
      <c r="W282" s="122"/>
      <c r="X282" s="122"/>
      <c r="Y282" s="122"/>
      <c r="Z282" s="122"/>
      <c r="AA282" s="122"/>
      <c r="AB282" s="122"/>
      <c r="AC282" s="122"/>
      <c r="AD282" s="122"/>
      <c r="AE282" s="122"/>
      <c r="AF282" s="122"/>
      <c r="AG282" s="122"/>
      <c r="AH282" s="122"/>
      <c r="AI282" s="122"/>
      <c r="AJ282" s="122"/>
      <c r="AK282" s="122"/>
      <c r="AL282" s="122"/>
      <c r="AM282" s="122"/>
      <c r="AN282" s="122"/>
      <c r="AO282" s="122"/>
      <c r="AP282" s="122"/>
      <c r="AQ282" s="122"/>
      <c r="AR282" s="122"/>
      <c r="AS282" s="122"/>
      <c r="AT282" s="122"/>
      <c r="AU282" s="122"/>
      <c r="AV282" s="122"/>
      <c r="AW282" s="122"/>
      <c r="AX282" s="122"/>
      <c r="AY282" s="122"/>
      <c r="AZ282" s="122"/>
      <c r="BA282" s="122"/>
      <c r="BB282" s="122"/>
      <c r="BC282" s="122"/>
      <c r="BD282" s="122"/>
      <c r="BE282" s="122"/>
      <c r="BF282" s="122"/>
      <c r="BG282" s="122"/>
      <c r="BH282" s="122"/>
      <c r="BI282" s="122"/>
      <c r="BJ282" s="122"/>
      <c r="BK282" s="122"/>
      <c r="BL282" s="122"/>
      <c r="BM282" s="122"/>
      <c r="BN282" s="122"/>
      <c r="BO282" s="122"/>
      <c r="BP282" s="122"/>
      <c r="BQ282" s="122"/>
      <c r="BR282" s="122"/>
      <c r="BS282" s="122"/>
      <c r="BT282" s="122"/>
      <c r="BU282" s="122"/>
      <c r="BV282" s="122"/>
      <c r="BW282" s="122"/>
      <c r="BX282" s="122"/>
      <c r="BY282" s="122"/>
      <c r="BZ282" s="122"/>
      <c r="CA282" s="122"/>
      <c r="CB282" s="122"/>
      <c r="CC282" s="122"/>
      <c r="CD282" s="122"/>
      <c r="CE282" s="122"/>
      <c r="CF282" s="122"/>
      <c r="CG282" s="122"/>
      <c r="CH282" s="122"/>
      <c r="CI282" s="122"/>
      <c r="CJ282" s="122"/>
      <c r="CK282" s="122"/>
      <c r="CL282" s="122"/>
      <c r="CM282" s="122"/>
      <c r="CN282" s="122"/>
      <c r="CO282" s="122"/>
      <c r="CP282" s="122"/>
      <c r="CQ282" s="122"/>
      <c r="CR282" s="122"/>
      <c r="CS282" s="122"/>
      <c r="CT282" s="122"/>
      <c r="CU282" s="122"/>
      <c r="CV282" s="122"/>
      <c r="CW282" s="122"/>
      <c r="CX282" s="122"/>
      <c r="CY282" s="122"/>
      <c r="CZ282" s="122"/>
      <c r="DA282" s="122"/>
      <c r="DB282" s="122"/>
      <c r="DC282" s="122"/>
      <c r="DD282" s="122"/>
      <c r="DE282" s="122"/>
      <c r="DF282" s="122"/>
      <c r="DG282" s="122"/>
      <c r="DH282" s="122"/>
      <c r="DI282" s="122"/>
      <c r="DJ282" s="122"/>
      <c r="DK282" s="122"/>
      <c r="DL282" s="122"/>
      <c r="DM282" s="122"/>
      <c r="DN282" s="122"/>
      <c r="DO282" s="122"/>
      <c r="DP282" s="122"/>
      <c r="DQ282" s="122"/>
      <c r="DR282" s="122"/>
      <c r="DS282" s="122"/>
      <c r="DT282" s="122"/>
      <c r="DU282" s="122"/>
      <c r="DV282" s="122"/>
      <c r="DW282" s="122"/>
      <c r="DX282" s="122"/>
      <c r="DY282" s="122"/>
      <c r="DZ282" s="122"/>
      <c r="EA282" s="122"/>
      <c r="EB282" s="122"/>
      <c r="EC282" s="122"/>
      <c r="ED282" s="122"/>
      <c r="EE282" s="122"/>
      <c r="EF282" s="122"/>
      <c r="EG282" s="122"/>
      <c r="EH282" s="122"/>
      <c r="EI282" s="122"/>
      <c r="EJ282" s="122"/>
      <c r="EK282" s="122"/>
      <c r="EL282" s="122"/>
      <c r="EM282" s="122"/>
      <c r="EN282" s="122"/>
      <c r="EO282" s="122"/>
      <c r="EP282" s="122"/>
      <c r="EQ282" s="122"/>
      <c r="ER282" s="122"/>
      <c r="ES282" s="122"/>
      <c r="ET282" s="122"/>
      <c r="EU282" s="122"/>
      <c r="EV282" s="122"/>
      <c r="EW282" s="122"/>
      <c r="EX282" s="122"/>
      <c r="EY282" s="122"/>
      <c r="EZ282" s="122"/>
      <c r="FA282" s="122"/>
      <c r="FB282" s="122"/>
      <c r="FC282" s="122"/>
      <c r="FD282" s="122"/>
      <c r="FE282" s="122"/>
      <c r="FF282" s="122"/>
      <c r="FG282" s="122"/>
      <c r="FH282" s="122"/>
      <c r="FI282" s="122"/>
      <c r="FJ282" s="122"/>
      <c r="FK282" s="122"/>
      <c r="FL282" s="122"/>
      <c r="FM282" s="122"/>
      <c r="FN282" s="122"/>
      <c r="FO282" s="122"/>
      <c r="FP282" s="122"/>
      <c r="FQ282" s="122"/>
      <c r="FR282" s="122"/>
      <c r="FS282" s="122"/>
      <c r="FT282" s="122"/>
      <c r="FU282" s="122"/>
      <c r="FV282" s="122"/>
      <c r="FW282" s="122"/>
      <c r="FX282" s="122"/>
      <c r="FY282" s="122"/>
      <c r="FZ282" s="122"/>
      <c r="GA282" s="122"/>
      <c r="GB282" s="122"/>
      <c r="GC282" s="122"/>
      <c r="GD282" s="122"/>
      <c r="GE282" s="122"/>
      <c r="GF282" s="122"/>
      <c r="GG282" s="122"/>
      <c r="GH282" s="122"/>
      <c r="GI282" s="122"/>
      <c r="GJ282" s="122"/>
      <c r="GK282" s="122"/>
      <c r="GL282" s="122"/>
      <c r="GM282" s="122"/>
      <c r="GN282" s="122"/>
      <c r="GO282" s="122"/>
      <c r="GP282" s="122"/>
      <c r="GQ282" s="122"/>
      <c r="GR282" s="122"/>
      <c r="GS282" s="122"/>
      <c r="GT282" s="122"/>
      <c r="GU282" s="122"/>
      <c r="GV282" s="122"/>
      <c r="GW282" s="122"/>
      <c r="GX282" s="122"/>
      <c r="GY282" s="122"/>
      <c r="GZ282" s="122"/>
      <c r="HA282" s="122"/>
      <c r="HB282" s="122"/>
      <c r="HC282" s="122"/>
      <c r="HD282" s="122"/>
      <c r="HE282" s="122"/>
      <c r="HF282" s="122"/>
      <c r="HG282" s="122"/>
      <c r="HH282" s="122"/>
      <c r="HI282" s="122"/>
      <c r="HJ282" s="122"/>
      <c r="HK282" s="122"/>
      <c r="HL282" s="122"/>
      <c r="HM282" s="122"/>
      <c r="HN282" s="122"/>
      <c r="HO282" s="122"/>
      <c r="HP282" s="122"/>
      <c r="HQ282" s="122"/>
      <c r="HR282" s="122"/>
      <c r="HS282" s="122"/>
      <c r="HT282" s="122"/>
      <c r="HU282" s="122"/>
      <c r="HV282" s="122"/>
      <c r="HW282" s="122"/>
      <c r="HX282" s="122"/>
      <c r="HY282" s="122"/>
      <c r="HZ282" s="122"/>
      <c r="IA282" s="122"/>
      <c r="IB282" s="122"/>
      <c r="IC282" s="122"/>
      <c r="ID282" s="122"/>
      <c r="IE282" s="122"/>
      <c r="IF282" s="122"/>
      <c r="IG282" s="122"/>
      <c r="IH282" s="122"/>
      <c r="II282" s="122"/>
      <c r="IJ282" s="122"/>
      <c r="IK282" s="122"/>
      <c r="IL282" s="122"/>
      <c r="IM282" s="122"/>
      <c r="IN282" s="122"/>
      <c r="IO282" s="122"/>
      <c r="IP282" s="122"/>
      <c r="IQ282" s="122"/>
      <c r="IR282" s="122"/>
      <c r="IS282" s="122"/>
      <c r="IT282" s="122"/>
      <c r="IU282" s="122"/>
      <c r="IV282" s="122"/>
    </row>
    <row r="283" spans="1:256" x14ac:dyDescent="0.25">
      <c r="A283" s="130"/>
      <c r="B283" s="131"/>
      <c r="C283" s="131"/>
      <c r="D283" s="122"/>
      <c r="E283" s="122"/>
      <c r="F283" s="131"/>
      <c r="G283" s="131"/>
      <c r="H283" s="131"/>
      <c r="I283" s="131"/>
      <c r="J283" s="131"/>
      <c r="K283" s="217"/>
      <c r="L283" s="131"/>
      <c r="M283" s="122"/>
      <c r="N283" s="122"/>
      <c r="O283" s="122"/>
      <c r="P283" s="122"/>
      <c r="Q283" s="122"/>
      <c r="R283" s="122"/>
      <c r="S283" s="122"/>
      <c r="T283" s="122"/>
      <c r="U283" s="122"/>
      <c r="V283" s="122"/>
      <c r="W283" s="122"/>
      <c r="X283" s="122"/>
      <c r="Y283" s="122"/>
      <c r="Z283" s="122"/>
      <c r="AA283" s="122"/>
      <c r="AB283" s="122"/>
      <c r="AC283" s="122"/>
      <c r="AD283" s="122"/>
      <c r="AE283" s="122"/>
      <c r="AF283" s="122"/>
      <c r="AG283" s="122"/>
      <c r="AH283" s="122"/>
      <c r="AI283" s="122"/>
      <c r="AJ283" s="122"/>
      <c r="AK283" s="122"/>
      <c r="AL283" s="122"/>
      <c r="AM283" s="122"/>
      <c r="AN283" s="122"/>
      <c r="AO283" s="122"/>
      <c r="AP283" s="122"/>
      <c r="AQ283" s="122"/>
      <c r="AR283" s="122"/>
      <c r="AS283" s="122"/>
      <c r="AT283" s="122"/>
      <c r="AU283" s="122"/>
      <c r="AV283" s="122"/>
      <c r="AW283" s="122"/>
      <c r="AX283" s="122"/>
      <c r="AY283" s="122"/>
      <c r="AZ283" s="122"/>
      <c r="BA283" s="122"/>
      <c r="BB283" s="122"/>
      <c r="BC283" s="122"/>
      <c r="BD283" s="122"/>
      <c r="BE283" s="122"/>
      <c r="BF283" s="122"/>
      <c r="BG283" s="122"/>
      <c r="BH283" s="122"/>
      <c r="BI283" s="122"/>
      <c r="BJ283" s="122"/>
      <c r="BK283" s="122"/>
      <c r="BL283" s="122"/>
      <c r="BM283" s="122"/>
      <c r="BN283" s="122"/>
      <c r="BO283" s="122"/>
      <c r="BP283" s="122"/>
      <c r="BQ283" s="122"/>
      <c r="BR283" s="122"/>
      <c r="BS283" s="122"/>
      <c r="BT283" s="122"/>
      <c r="BU283" s="122"/>
      <c r="BV283" s="122"/>
      <c r="BW283" s="122"/>
      <c r="BX283" s="122"/>
      <c r="BY283" s="122"/>
      <c r="BZ283" s="122"/>
      <c r="CA283" s="122"/>
      <c r="CB283" s="122"/>
      <c r="CC283" s="122"/>
      <c r="CD283" s="122"/>
      <c r="CE283" s="122"/>
      <c r="CF283" s="122"/>
      <c r="CG283" s="122"/>
      <c r="CH283" s="122"/>
      <c r="CI283" s="122"/>
      <c r="CJ283" s="122"/>
      <c r="CK283" s="122"/>
      <c r="CL283" s="122"/>
      <c r="CM283" s="122"/>
      <c r="CN283" s="122"/>
      <c r="CO283" s="122"/>
      <c r="CP283" s="122"/>
      <c r="CQ283" s="122"/>
      <c r="CR283" s="122"/>
      <c r="CS283" s="122"/>
      <c r="CT283" s="122"/>
      <c r="CU283" s="122"/>
      <c r="CV283" s="122"/>
      <c r="CW283" s="122"/>
      <c r="CX283" s="122"/>
      <c r="CY283" s="122"/>
      <c r="CZ283" s="122"/>
      <c r="DA283" s="122"/>
      <c r="DB283" s="122"/>
      <c r="DC283" s="122"/>
      <c r="DD283" s="122"/>
      <c r="DE283" s="122"/>
      <c r="DF283" s="122"/>
      <c r="DG283" s="122"/>
      <c r="DH283" s="122"/>
      <c r="DI283" s="122"/>
      <c r="DJ283" s="122"/>
      <c r="DK283" s="122"/>
      <c r="DL283" s="122"/>
      <c r="DM283" s="122"/>
      <c r="DN283" s="122"/>
      <c r="DO283" s="122"/>
      <c r="DP283" s="122"/>
      <c r="DQ283" s="122"/>
      <c r="DR283" s="122"/>
      <c r="DS283" s="122"/>
      <c r="DT283" s="122"/>
      <c r="DU283" s="122"/>
      <c r="DV283" s="122"/>
      <c r="DW283" s="122"/>
      <c r="DX283" s="122"/>
      <c r="DY283" s="122"/>
      <c r="DZ283" s="122"/>
      <c r="EA283" s="122"/>
      <c r="EB283" s="122"/>
      <c r="EC283" s="122"/>
      <c r="ED283" s="122"/>
      <c r="EE283" s="122"/>
      <c r="EF283" s="122"/>
      <c r="EG283" s="122"/>
      <c r="EH283" s="122"/>
      <c r="EI283" s="122"/>
      <c r="EJ283" s="122"/>
      <c r="EK283" s="122"/>
      <c r="EL283" s="122"/>
      <c r="EM283" s="122"/>
      <c r="EN283" s="122"/>
      <c r="EO283" s="122"/>
      <c r="EP283" s="122"/>
      <c r="EQ283" s="122"/>
      <c r="ER283" s="122"/>
      <c r="ES283" s="122"/>
      <c r="ET283" s="122"/>
      <c r="EU283" s="122"/>
      <c r="EV283" s="122"/>
      <c r="EW283" s="122"/>
      <c r="EX283" s="122"/>
      <c r="EY283" s="122"/>
      <c r="EZ283" s="122"/>
      <c r="FA283" s="122"/>
      <c r="FB283" s="122"/>
      <c r="FC283" s="122"/>
      <c r="FD283" s="122"/>
      <c r="FE283" s="122"/>
      <c r="FF283" s="122"/>
      <c r="FG283" s="122"/>
      <c r="FH283" s="122"/>
      <c r="FI283" s="122"/>
      <c r="FJ283" s="122"/>
      <c r="FK283" s="122"/>
      <c r="FL283" s="122"/>
      <c r="FM283" s="122"/>
      <c r="FN283" s="122"/>
      <c r="FO283" s="122"/>
      <c r="FP283" s="122"/>
      <c r="FQ283" s="122"/>
      <c r="FR283" s="122"/>
      <c r="FS283" s="122"/>
      <c r="FT283" s="122"/>
      <c r="FU283" s="122"/>
      <c r="FV283" s="122"/>
      <c r="FW283" s="122"/>
      <c r="FX283" s="122"/>
      <c r="FY283" s="122"/>
      <c r="FZ283" s="122"/>
      <c r="GA283" s="122"/>
      <c r="GB283" s="122"/>
      <c r="GC283" s="122"/>
      <c r="GD283" s="122"/>
      <c r="GE283" s="122"/>
      <c r="GF283" s="122"/>
      <c r="GG283" s="122"/>
      <c r="GH283" s="122"/>
      <c r="GI283" s="122"/>
      <c r="GJ283" s="122"/>
      <c r="GK283" s="122"/>
      <c r="GL283" s="122"/>
      <c r="GM283" s="122"/>
      <c r="GN283" s="122"/>
      <c r="GO283" s="122"/>
      <c r="GP283" s="122"/>
      <c r="GQ283" s="122"/>
      <c r="GR283" s="122"/>
      <c r="GS283" s="122"/>
      <c r="GT283" s="122"/>
      <c r="GU283" s="122"/>
      <c r="GV283" s="122"/>
      <c r="GW283" s="122"/>
      <c r="GX283" s="122"/>
      <c r="GY283" s="122"/>
      <c r="GZ283" s="122"/>
      <c r="HA283" s="122"/>
      <c r="HB283" s="122"/>
      <c r="HC283" s="122"/>
      <c r="HD283" s="122"/>
      <c r="HE283" s="122"/>
      <c r="HF283" s="122"/>
      <c r="HG283" s="122"/>
      <c r="HH283" s="122"/>
      <c r="HI283" s="122"/>
      <c r="HJ283" s="122"/>
      <c r="HK283" s="122"/>
      <c r="HL283" s="122"/>
      <c r="HM283" s="122"/>
      <c r="HN283" s="122"/>
      <c r="HO283" s="122"/>
      <c r="HP283" s="122"/>
      <c r="HQ283" s="122"/>
      <c r="HR283" s="122"/>
      <c r="HS283" s="122"/>
      <c r="HT283" s="122"/>
      <c r="HU283" s="122"/>
      <c r="HV283" s="122"/>
      <c r="HW283" s="122"/>
      <c r="HX283" s="122"/>
      <c r="HY283" s="122"/>
      <c r="HZ283" s="122"/>
      <c r="IA283" s="122"/>
      <c r="IB283" s="122"/>
      <c r="IC283" s="122"/>
      <c r="ID283" s="122"/>
      <c r="IE283" s="122"/>
      <c r="IF283" s="122"/>
      <c r="IG283" s="122"/>
      <c r="IH283" s="122"/>
      <c r="II283" s="122"/>
      <c r="IJ283" s="122"/>
      <c r="IK283" s="122"/>
      <c r="IL283" s="122"/>
      <c r="IM283" s="122"/>
      <c r="IN283" s="122"/>
      <c r="IO283" s="122"/>
      <c r="IP283" s="122"/>
      <c r="IQ283" s="122"/>
      <c r="IR283" s="122"/>
      <c r="IS283" s="122"/>
      <c r="IT283" s="122"/>
      <c r="IU283" s="122"/>
      <c r="IV283" s="122"/>
    </row>
    <row r="284" spans="1:256" x14ac:dyDescent="0.25">
      <c r="A284" s="130"/>
      <c r="B284" s="131"/>
      <c r="C284" s="131"/>
      <c r="D284" s="122"/>
      <c r="E284" s="122"/>
      <c r="F284" s="131"/>
      <c r="G284" s="131"/>
      <c r="H284" s="131"/>
      <c r="I284" s="131"/>
      <c r="J284" s="131"/>
      <c r="K284" s="217"/>
      <c r="L284" s="131"/>
      <c r="M284" s="122"/>
      <c r="N284" s="122"/>
      <c r="O284" s="122"/>
      <c r="P284" s="122"/>
      <c r="Q284" s="122"/>
      <c r="R284" s="122"/>
      <c r="S284" s="122"/>
      <c r="T284" s="122"/>
      <c r="U284" s="122"/>
      <c r="V284" s="122"/>
      <c r="W284" s="122"/>
      <c r="X284" s="122"/>
      <c r="Y284" s="122"/>
      <c r="Z284" s="122"/>
      <c r="AA284" s="122"/>
      <c r="AB284" s="122"/>
      <c r="AC284" s="122"/>
      <c r="AD284" s="122"/>
      <c r="AE284" s="122"/>
      <c r="AF284" s="122"/>
      <c r="AG284" s="122"/>
      <c r="AH284" s="122"/>
      <c r="AI284" s="122"/>
      <c r="AJ284" s="122"/>
      <c r="AK284" s="122"/>
      <c r="AL284" s="122"/>
      <c r="AM284" s="122"/>
      <c r="AN284" s="122"/>
      <c r="AO284" s="122"/>
      <c r="AP284" s="122"/>
      <c r="AQ284" s="122"/>
      <c r="AR284" s="122"/>
      <c r="AS284" s="122"/>
      <c r="AT284" s="122"/>
      <c r="AU284" s="122"/>
      <c r="AV284" s="122"/>
      <c r="AW284" s="122"/>
      <c r="AX284" s="122"/>
      <c r="AY284" s="122"/>
      <c r="AZ284" s="122"/>
      <c r="BA284" s="122"/>
      <c r="BB284" s="122"/>
      <c r="BC284" s="122"/>
      <c r="BD284" s="122"/>
      <c r="BE284" s="122"/>
      <c r="BF284" s="122"/>
      <c r="BG284" s="122"/>
      <c r="BH284" s="122"/>
      <c r="BI284" s="122"/>
      <c r="BJ284" s="122"/>
      <c r="BK284" s="122"/>
      <c r="BL284" s="122"/>
      <c r="BM284" s="122"/>
      <c r="BN284" s="122"/>
      <c r="BO284" s="122"/>
      <c r="BP284" s="122"/>
      <c r="BQ284" s="122"/>
      <c r="BR284" s="122"/>
      <c r="BS284" s="122"/>
      <c r="BT284" s="122"/>
      <c r="BU284" s="122"/>
      <c r="BV284" s="122"/>
      <c r="BW284" s="122"/>
      <c r="BX284" s="122"/>
      <c r="BY284" s="122"/>
      <c r="BZ284" s="122"/>
      <c r="CA284" s="122"/>
      <c r="CB284" s="122"/>
      <c r="CC284" s="122"/>
      <c r="CD284" s="122"/>
      <c r="CE284" s="122"/>
      <c r="CF284" s="122"/>
      <c r="CG284" s="122"/>
      <c r="CH284" s="122"/>
      <c r="CI284" s="122"/>
      <c r="CJ284" s="122"/>
      <c r="CK284" s="122"/>
      <c r="CL284" s="122"/>
      <c r="CM284" s="122"/>
      <c r="CN284" s="122"/>
      <c r="CO284" s="122"/>
      <c r="CP284" s="122"/>
      <c r="CQ284" s="122"/>
      <c r="CR284" s="122"/>
      <c r="CS284" s="122"/>
      <c r="CT284" s="122"/>
      <c r="CU284" s="122"/>
      <c r="CV284" s="122"/>
      <c r="CW284" s="122"/>
      <c r="CX284" s="122"/>
      <c r="CY284" s="122"/>
      <c r="CZ284" s="122"/>
      <c r="DA284" s="122"/>
      <c r="DB284" s="122"/>
      <c r="DC284" s="122"/>
      <c r="DD284" s="122"/>
      <c r="DE284" s="122"/>
      <c r="DF284" s="122"/>
      <c r="DG284" s="122"/>
      <c r="DH284" s="122"/>
      <c r="DI284" s="122"/>
      <c r="DJ284" s="122"/>
      <c r="DK284" s="122"/>
      <c r="DL284" s="122"/>
      <c r="DM284" s="122"/>
      <c r="DN284" s="122"/>
      <c r="DO284" s="122"/>
      <c r="DP284" s="122"/>
      <c r="DQ284" s="122"/>
      <c r="DR284" s="122"/>
      <c r="DS284" s="122"/>
      <c r="DT284" s="122"/>
      <c r="DU284" s="122"/>
      <c r="DV284" s="122"/>
      <c r="DW284" s="122"/>
      <c r="DX284" s="122"/>
      <c r="DY284" s="122"/>
      <c r="DZ284" s="122"/>
      <c r="EA284" s="122"/>
      <c r="EB284" s="122"/>
      <c r="EC284" s="122"/>
      <c r="ED284" s="122"/>
      <c r="EE284" s="122"/>
      <c r="EF284" s="122"/>
      <c r="EG284" s="122"/>
      <c r="EH284" s="122"/>
      <c r="EI284" s="122"/>
      <c r="EJ284" s="122"/>
      <c r="EK284" s="122"/>
      <c r="EL284" s="122"/>
      <c r="EM284" s="122"/>
      <c r="EN284" s="122"/>
      <c r="EO284" s="122"/>
      <c r="EP284" s="122"/>
      <c r="EQ284" s="122"/>
      <c r="ER284" s="122"/>
      <c r="ES284" s="122"/>
      <c r="ET284" s="122"/>
      <c r="EU284" s="122"/>
      <c r="EV284" s="122"/>
      <c r="EW284" s="122"/>
      <c r="EX284" s="122"/>
      <c r="EY284" s="122"/>
      <c r="EZ284" s="122"/>
      <c r="FA284" s="122"/>
      <c r="FB284" s="122"/>
      <c r="FC284" s="122"/>
      <c r="FD284" s="122"/>
      <c r="FE284" s="122"/>
      <c r="FF284" s="122"/>
      <c r="FG284" s="122"/>
      <c r="FH284" s="122"/>
      <c r="FI284" s="122"/>
      <c r="FJ284" s="122"/>
      <c r="FK284" s="122"/>
      <c r="FL284" s="122"/>
      <c r="FM284" s="122"/>
      <c r="FN284" s="122"/>
      <c r="FO284" s="122"/>
      <c r="FP284" s="122"/>
      <c r="FQ284" s="122"/>
      <c r="FR284" s="122"/>
      <c r="FS284" s="122"/>
      <c r="FT284" s="122"/>
      <c r="FU284" s="122"/>
      <c r="FV284" s="122"/>
      <c r="FW284" s="122"/>
      <c r="FX284" s="122"/>
      <c r="FY284" s="122"/>
      <c r="FZ284" s="122"/>
      <c r="GA284" s="122"/>
      <c r="GB284" s="122"/>
      <c r="GC284" s="122"/>
      <c r="GD284" s="122"/>
      <c r="GE284" s="122"/>
      <c r="GF284" s="122"/>
      <c r="GG284" s="122"/>
      <c r="GH284" s="122"/>
      <c r="GI284" s="122"/>
      <c r="GJ284" s="122"/>
      <c r="GK284" s="122"/>
      <c r="GL284" s="122"/>
      <c r="GM284" s="122"/>
      <c r="GN284" s="122"/>
      <c r="GO284" s="122"/>
      <c r="GP284" s="122"/>
      <c r="GQ284" s="122"/>
      <c r="GR284" s="122"/>
      <c r="GS284" s="122"/>
      <c r="GT284" s="122"/>
      <c r="GU284" s="122"/>
      <c r="GV284" s="122"/>
      <c r="GW284" s="122"/>
      <c r="GX284" s="122"/>
      <c r="GY284" s="122"/>
      <c r="GZ284" s="122"/>
      <c r="HA284" s="122"/>
      <c r="HB284" s="122"/>
      <c r="HC284" s="122"/>
      <c r="HD284" s="122"/>
      <c r="HE284" s="122"/>
      <c r="HF284" s="122"/>
      <c r="HG284" s="122"/>
      <c r="HH284" s="122"/>
      <c r="HI284" s="122"/>
      <c r="HJ284" s="122"/>
      <c r="HK284" s="122"/>
      <c r="HL284" s="122"/>
      <c r="HM284" s="122"/>
      <c r="HN284" s="122"/>
      <c r="HO284" s="122"/>
      <c r="HP284" s="122"/>
      <c r="HQ284" s="122"/>
      <c r="HR284" s="122"/>
      <c r="HS284" s="122"/>
      <c r="HT284" s="122"/>
      <c r="HU284" s="122"/>
      <c r="HV284" s="122"/>
      <c r="HW284" s="122"/>
      <c r="HX284" s="122"/>
      <c r="HY284" s="122"/>
      <c r="HZ284" s="122"/>
      <c r="IA284" s="122"/>
      <c r="IB284" s="122"/>
      <c r="IC284" s="122"/>
      <c r="ID284" s="122"/>
      <c r="IE284" s="122"/>
      <c r="IF284" s="122"/>
      <c r="IG284" s="122"/>
      <c r="IH284" s="122"/>
      <c r="II284" s="122"/>
      <c r="IJ284" s="122"/>
      <c r="IK284" s="122"/>
      <c r="IL284" s="122"/>
      <c r="IM284" s="122"/>
      <c r="IN284" s="122"/>
      <c r="IO284" s="122"/>
      <c r="IP284" s="122"/>
      <c r="IQ284" s="122"/>
      <c r="IR284" s="122"/>
      <c r="IS284" s="122"/>
      <c r="IT284" s="122"/>
      <c r="IU284" s="122"/>
      <c r="IV284" s="122"/>
    </row>
    <row r="285" spans="1:256" x14ac:dyDescent="0.25">
      <c r="A285" s="130"/>
      <c r="B285" s="131"/>
      <c r="C285" s="131"/>
      <c r="D285" s="122"/>
      <c r="E285" s="122"/>
      <c r="F285" s="131"/>
      <c r="G285" s="131"/>
      <c r="H285" s="131"/>
      <c r="I285" s="131"/>
      <c r="J285" s="131"/>
      <c r="K285" s="217"/>
      <c r="L285" s="131"/>
      <c r="M285" s="122"/>
      <c r="N285" s="122"/>
      <c r="O285" s="122"/>
      <c r="P285" s="122"/>
      <c r="Q285" s="122"/>
      <c r="R285" s="122"/>
      <c r="S285" s="122"/>
      <c r="T285" s="122"/>
      <c r="U285" s="122"/>
      <c r="V285" s="122"/>
      <c r="W285" s="122"/>
      <c r="X285" s="122"/>
      <c r="Y285" s="122"/>
      <c r="Z285" s="122"/>
      <c r="AA285" s="122"/>
      <c r="AB285" s="122"/>
      <c r="AC285" s="122"/>
      <c r="AD285" s="122"/>
      <c r="AE285" s="122"/>
      <c r="AF285" s="122"/>
      <c r="AG285" s="122"/>
      <c r="AH285" s="122"/>
      <c r="AI285" s="122"/>
      <c r="AJ285" s="122"/>
      <c r="AK285" s="122"/>
      <c r="AL285" s="122"/>
      <c r="AM285" s="122"/>
      <c r="AN285" s="122"/>
      <c r="AO285" s="122"/>
      <c r="AP285" s="122"/>
      <c r="AQ285" s="122"/>
      <c r="AR285" s="122"/>
      <c r="AS285" s="122"/>
      <c r="AT285" s="122"/>
      <c r="AU285" s="122"/>
      <c r="AV285" s="122"/>
      <c r="AW285" s="122"/>
      <c r="AX285" s="122"/>
      <c r="AY285" s="122"/>
      <c r="AZ285" s="122"/>
      <c r="BA285" s="122"/>
      <c r="BB285" s="122"/>
      <c r="BC285" s="122"/>
      <c r="BD285" s="122"/>
      <c r="BE285" s="122"/>
      <c r="BF285" s="122"/>
      <c r="BG285" s="122"/>
      <c r="BH285" s="122"/>
      <c r="BI285" s="122"/>
      <c r="BJ285" s="122"/>
      <c r="BK285" s="122"/>
      <c r="BL285" s="122"/>
      <c r="BM285" s="122"/>
      <c r="BN285" s="122"/>
      <c r="BO285" s="122"/>
      <c r="BP285" s="122"/>
      <c r="BQ285" s="122"/>
      <c r="BR285" s="122"/>
      <c r="BS285" s="122"/>
      <c r="BT285" s="122"/>
      <c r="BU285" s="122"/>
      <c r="BV285" s="122"/>
      <c r="BW285" s="122"/>
      <c r="BX285" s="122"/>
      <c r="BY285" s="122"/>
      <c r="BZ285" s="122"/>
      <c r="CA285" s="122"/>
      <c r="CB285" s="122"/>
      <c r="CC285" s="122"/>
      <c r="CD285" s="122"/>
      <c r="CE285" s="122"/>
      <c r="CF285" s="122"/>
      <c r="CG285" s="122"/>
      <c r="CH285" s="122"/>
      <c r="CI285" s="122"/>
      <c r="CJ285" s="122"/>
      <c r="CK285" s="122"/>
      <c r="CL285" s="122"/>
      <c r="CM285" s="122"/>
      <c r="CN285" s="122"/>
      <c r="CO285" s="122"/>
      <c r="CP285" s="122"/>
      <c r="CQ285" s="122"/>
      <c r="CR285" s="122"/>
      <c r="CS285" s="122"/>
      <c r="CT285" s="122"/>
      <c r="CU285" s="122"/>
      <c r="CV285" s="122"/>
      <c r="CW285" s="122"/>
      <c r="CX285" s="122"/>
      <c r="CY285" s="122"/>
      <c r="CZ285" s="122"/>
      <c r="DA285" s="122"/>
      <c r="DB285" s="122"/>
      <c r="DC285" s="122"/>
      <c r="DD285" s="122"/>
      <c r="DE285" s="122"/>
      <c r="DF285" s="122"/>
      <c r="DG285" s="122"/>
      <c r="DH285" s="122"/>
      <c r="DI285" s="122"/>
      <c r="DJ285" s="122"/>
      <c r="DK285" s="122"/>
      <c r="DL285" s="122"/>
      <c r="DM285" s="122"/>
      <c r="DN285" s="122"/>
      <c r="DO285" s="122"/>
      <c r="DP285" s="122"/>
      <c r="DQ285" s="122"/>
      <c r="DR285" s="122"/>
      <c r="DS285" s="122"/>
      <c r="DT285" s="122"/>
      <c r="DU285" s="122"/>
      <c r="DV285" s="122"/>
      <c r="DW285" s="122"/>
      <c r="DX285" s="122"/>
      <c r="DY285" s="122"/>
      <c r="DZ285" s="122"/>
      <c r="EA285" s="122"/>
      <c r="EB285" s="122"/>
      <c r="EC285" s="122"/>
      <c r="ED285" s="122"/>
      <c r="EE285" s="122"/>
      <c r="EF285" s="122"/>
      <c r="EG285" s="122"/>
      <c r="EH285" s="122"/>
      <c r="EI285" s="122"/>
      <c r="EJ285" s="122"/>
      <c r="EK285" s="122"/>
      <c r="EL285" s="122"/>
      <c r="EM285" s="122"/>
      <c r="EN285" s="122"/>
      <c r="EO285" s="122"/>
      <c r="EP285" s="122"/>
      <c r="EQ285" s="122"/>
      <c r="ER285" s="122"/>
      <c r="ES285" s="122"/>
      <c r="ET285" s="122"/>
      <c r="EU285" s="122"/>
      <c r="EV285" s="122"/>
      <c r="EW285" s="122"/>
      <c r="EX285" s="122"/>
      <c r="EY285" s="122"/>
      <c r="EZ285" s="122"/>
      <c r="FA285" s="122"/>
      <c r="FB285" s="122"/>
      <c r="FC285" s="122"/>
      <c r="FD285" s="122"/>
      <c r="FE285" s="122"/>
      <c r="FF285" s="122"/>
      <c r="FG285" s="122"/>
      <c r="FH285" s="122"/>
      <c r="FI285" s="122"/>
      <c r="FJ285" s="122"/>
      <c r="FK285" s="122"/>
      <c r="FL285" s="122"/>
      <c r="FM285" s="122"/>
      <c r="FN285" s="122"/>
      <c r="FO285" s="122"/>
      <c r="FP285" s="122"/>
      <c r="FQ285" s="122"/>
      <c r="FR285" s="122"/>
      <c r="FS285" s="122"/>
      <c r="FT285" s="122"/>
      <c r="FU285" s="122"/>
      <c r="FV285" s="122"/>
      <c r="FW285" s="122"/>
      <c r="FX285" s="122"/>
      <c r="FY285" s="122"/>
      <c r="FZ285" s="122"/>
      <c r="GA285" s="122"/>
      <c r="GB285" s="122"/>
      <c r="GC285" s="122"/>
      <c r="GD285" s="122"/>
      <c r="GE285" s="122"/>
      <c r="GF285" s="122"/>
      <c r="GG285" s="122"/>
      <c r="GH285" s="122"/>
      <c r="GI285" s="122"/>
      <c r="GJ285" s="122"/>
      <c r="GK285" s="122"/>
      <c r="GL285" s="122"/>
      <c r="GM285" s="122"/>
      <c r="GN285" s="122"/>
      <c r="GO285" s="122"/>
      <c r="GP285" s="122"/>
      <c r="GQ285" s="122"/>
      <c r="GR285" s="122"/>
      <c r="GS285" s="122"/>
      <c r="GT285" s="122"/>
      <c r="GU285" s="122"/>
      <c r="GV285" s="122"/>
      <c r="GW285" s="122"/>
      <c r="GX285" s="122"/>
      <c r="GY285" s="122"/>
      <c r="GZ285" s="122"/>
      <c r="HA285" s="122"/>
      <c r="HB285" s="122"/>
      <c r="HC285" s="122"/>
      <c r="HD285" s="122"/>
      <c r="HE285" s="122"/>
      <c r="HF285" s="122"/>
      <c r="HG285" s="122"/>
      <c r="HH285" s="122"/>
      <c r="HI285" s="122"/>
      <c r="HJ285" s="122"/>
      <c r="HK285" s="122"/>
      <c r="HL285" s="122"/>
      <c r="HM285" s="122"/>
      <c r="HN285" s="122"/>
      <c r="HO285" s="122"/>
      <c r="HP285" s="122"/>
      <c r="HQ285" s="122"/>
      <c r="HR285" s="122"/>
      <c r="HS285" s="122"/>
      <c r="HT285" s="122"/>
      <c r="HU285" s="122"/>
      <c r="HV285" s="122"/>
      <c r="HW285" s="122"/>
      <c r="HX285" s="122"/>
      <c r="HY285" s="122"/>
      <c r="HZ285" s="122"/>
      <c r="IA285" s="122"/>
      <c r="IB285" s="122"/>
      <c r="IC285" s="122"/>
      <c r="ID285" s="122"/>
      <c r="IE285" s="122"/>
      <c r="IF285" s="122"/>
      <c r="IG285" s="122"/>
      <c r="IH285" s="122"/>
      <c r="II285" s="122"/>
      <c r="IJ285" s="122"/>
      <c r="IK285" s="122"/>
      <c r="IL285" s="122"/>
      <c r="IM285" s="122"/>
      <c r="IN285" s="122"/>
      <c r="IO285" s="122"/>
      <c r="IP285" s="122"/>
      <c r="IQ285" s="122"/>
      <c r="IR285" s="122"/>
      <c r="IS285" s="122"/>
      <c r="IT285" s="122"/>
      <c r="IU285" s="122"/>
      <c r="IV285" s="122"/>
    </row>
    <row r="286" spans="1:256" x14ac:dyDescent="0.25">
      <c r="A286" s="130"/>
      <c r="B286" s="131"/>
      <c r="C286" s="131"/>
      <c r="D286" s="122"/>
      <c r="E286" s="122"/>
      <c r="F286" s="131"/>
      <c r="G286" s="131"/>
      <c r="H286" s="131"/>
      <c r="I286" s="131"/>
      <c r="J286" s="131"/>
      <c r="K286" s="217"/>
      <c r="L286" s="131"/>
      <c r="M286" s="122"/>
      <c r="N286" s="122"/>
      <c r="O286" s="122"/>
      <c r="P286" s="122"/>
      <c r="Q286" s="122"/>
      <c r="R286" s="122"/>
      <c r="S286" s="122"/>
      <c r="T286" s="122"/>
      <c r="U286" s="122"/>
      <c r="V286" s="122"/>
      <c r="W286" s="122"/>
      <c r="X286" s="122"/>
      <c r="Y286" s="122"/>
      <c r="Z286" s="122"/>
      <c r="AA286" s="122"/>
      <c r="AB286" s="122"/>
      <c r="AC286" s="122"/>
      <c r="AD286" s="122"/>
      <c r="AE286" s="122"/>
      <c r="AF286" s="122"/>
      <c r="AG286" s="122"/>
      <c r="AH286" s="122"/>
      <c r="AI286" s="122"/>
      <c r="AJ286" s="122"/>
      <c r="AK286" s="122"/>
      <c r="AL286" s="122"/>
      <c r="AM286" s="122"/>
      <c r="AN286" s="122"/>
      <c r="AO286" s="122"/>
      <c r="AP286" s="122"/>
      <c r="AQ286" s="122"/>
      <c r="AR286" s="122"/>
      <c r="AS286" s="122"/>
      <c r="AT286" s="122"/>
      <c r="AU286" s="122"/>
      <c r="AV286" s="122"/>
      <c r="AW286" s="122"/>
      <c r="AX286" s="122"/>
      <c r="AY286" s="122"/>
      <c r="AZ286" s="122"/>
      <c r="BA286" s="122"/>
      <c r="BB286" s="122"/>
      <c r="BC286" s="122"/>
      <c r="BD286" s="122"/>
      <c r="BE286" s="122"/>
      <c r="BF286" s="122"/>
      <c r="BG286" s="122"/>
      <c r="BH286" s="122"/>
      <c r="BI286" s="122"/>
      <c r="BJ286" s="122"/>
      <c r="BK286" s="122"/>
      <c r="BL286" s="122"/>
      <c r="BM286" s="122"/>
      <c r="BN286" s="122"/>
      <c r="BO286" s="122"/>
      <c r="BP286" s="122"/>
      <c r="BQ286" s="122"/>
      <c r="BR286" s="122"/>
      <c r="BS286" s="122"/>
      <c r="BT286" s="122"/>
      <c r="BU286" s="122"/>
      <c r="BV286" s="122"/>
      <c r="BW286" s="122"/>
      <c r="BX286" s="122"/>
      <c r="BY286" s="122"/>
      <c r="BZ286" s="122"/>
      <c r="CA286" s="122"/>
      <c r="CB286" s="122"/>
      <c r="CC286" s="122"/>
      <c r="CD286" s="122"/>
      <c r="CE286" s="122"/>
      <c r="CF286" s="122"/>
      <c r="CG286" s="122"/>
      <c r="CH286" s="122"/>
      <c r="CI286" s="122"/>
      <c r="CJ286" s="122"/>
      <c r="CK286" s="122"/>
      <c r="CL286" s="122"/>
      <c r="CM286" s="122"/>
      <c r="CN286" s="122"/>
      <c r="CO286" s="122"/>
      <c r="CP286" s="122"/>
      <c r="CQ286" s="122"/>
      <c r="CR286" s="122"/>
      <c r="CS286" s="122"/>
      <c r="CT286" s="122"/>
      <c r="CU286" s="122"/>
      <c r="CV286" s="122"/>
      <c r="CW286" s="122"/>
      <c r="CX286" s="122"/>
      <c r="CY286" s="122"/>
      <c r="CZ286" s="122"/>
      <c r="DA286" s="122"/>
      <c r="DB286" s="122"/>
      <c r="DC286" s="122"/>
      <c r="DD286" s="122"/>
      <c r="DE286" s="122"/>
      <c r="DF286" s="122"/>
      <c r="DG286" s="122"/>
      <c r="DH286" s="122"/>
      <c r="DI286" s="122"/>
      <c r="DJ286" s="122"/>
      <c r="DK286" s="122"/>
      <c r="DL286" s="122"/>
      <c r="DM286" s="122"/>
      <c r="DN286" s="122"/>
      <c r="DO286" s="122"/>
      <c r="DP286" s="122"/>
      <c r="DQ286" s="122"/>
      <c r="DR286" s="122"/>
      <c r="DS286" s="122"/>
      <c r="DT286" s="122"/>
      <c r="DU286" s="122"/>
      <c r="DV286" s="122"/>
      <c r="DW286" s="122"/>
      <c r="DX286" s="122"/>
      <c r="DY286" s="122"/>
      <c r="DZ286" s="122"/>
      <c r="EA286" s="122"/>
      <c r="EB286" s="122"/>
      <c r="EC286" s="122"/>
      <c r="ED286" s="122"/>
      <c r="EE286" s="122"/>
      <c r="EF286" s="122"/>
      <c r="EG286" s="122"/>
      <c r="EH286" s="122"/>
      <c r="EI286" s="122"/>
      <c r="EJ286" s="122"/>
      <c r="EK286" s="122"/>
      <c r="EL286" s="122"/>
      <c r="EM286" s="122"/>
      <c r="EN286" s="122"/>
      <c r="EO286" s="122"/>
      <c r="EP286" s="122"/>
      <c r="EQ286" s="122"/>
      <c r="ER286" s="122"/>
      <c r="ES286" s="122"/>
      <c r="ET286" s="122"/>
      <c r="EU286" s="122"/>
      <c r="EV286" s="122"/>
      <c r="EW286" s="122"/>
      <c r="EX286" s="122"/>
      <c r="EY286" s="122"/>
      <c r="EZ286" s="122"/>
      <c r="FA286" s="122"/>
      <c r="FB286" s="122"/>
      <c r="FC286" s="122"/>
      <c r="FD286" s="122"/>
      <c r="FE286" s="122"/>
      <c r="FF286" s="122"/>
      <c r="FG286" s="122"/>
      <c r="FH286" s="122"/>
      <c r="FI286" s="122"/>
      <c r="FJ286" s="122"/>
      <c r="FK286" s="122"/>
      <c r="FL286" s="122"/>
      <c r="FM286" s="122"/>
      <c r="FN286" s="122"/>
      <c r="FO286" s="122"/>
      <c r="FP286" s="122"/>
      <c r="FQ286" s="122"/>
      <c r="FR286" s="122"/>
      <c r="FS286" s="122"/>
      <c r="FT286" s="122"/>
      <c r="FU286" s="122"/>
      <c r="FV286" s="122"/>
      <c r="FW286" s="122"/>
      <c r="FX286" s="122"/>
      <c r="FY286" s="122"/>
      <c r="FZ286" s="122"/>
      <c r="GA286" s="122"/>
      <c r="GB286" s="122"/>
      <c r="GC286" s="122"/>
      <c r="GD286" s="122"/>
      <c r="GE286" s="122"/>
      <c r="GF286" s="122"/>
      <c r="GG286" s="122"/>
      <c r="GH286" s="122"/>
      <c r="GI286" s="122"/>
      <c r="GJ286" s="122"/>
      <c r="GK286" s="122"/>
      <c r="GL286" s="122"/>
      <c r="GM286" s="122"/>
      <c r="GN286" s="122"/>
      <c r="GO286" s="122"/>
      <c r="GP286" s="122"/>
      <c r="GQ286" s="122"/>
      <c r="GR286" s="122"/>
      <c r="GS286" s="122"/>
      <c r="GT286" s="122"/>
      <c r="GU286" s="122"/>
      <c r="GV286" s="122"/>
      <c r="GW286" s="122"/>
      <c r="GX286" s="122"/>
      <c r="GY286" s="122"/>
      <c r="GZ286" s="122"/>
      <c r="HA286" s="122"/>
      <c r="HB286" s="122"/>
      <c r="HC286" s="122"/>
      <c r="HD286" s="122"/>
      <c r="HE286" s="122"/>
      <c r="HF286" s="122"/>
      <c r="HG286" s="122"/>
      <c r="HH286" s="122"/>
      <c r="HI286" s="122"/>
      <c r="HJ286" s="122"/>
      <c r="HK286" s="122"/>
      <c r="HL286" s="122"/>
      <c r="HM286" s="122"/>
      <c r="HN286" s="122"/>
      <c r="HO286" s="122"/>
      <c r="HP286" s="122"/>
      <c r="HQ286" s="122"/>
      <c r="HR286" s="122"/>
      <c r="HS286" s="122"/>
      <c r="HT286" s="122"/>
      <c r="HU286" s="122"/>
      <c r="HV286" s="122"/>
      <c r="HW286" s="122"/>
      <c r="HX286" s="122"/>
      <c r="HY286" s="122"/>
      <c r="HZ286" s="122"/>
      <c r="IA286" s="122"/>
      <c r="IB286" s="122"/>
      <c r="IC286" s="122"/>
      <c r="ID286" s="122"/>
      <c r="IE286" s="122"/>
      <c r="IF286" s="122"/>
      <c r="IG286" s="122"/>
      <c r="IH286" s="122"/>
      <c r="II286" s="122"/>
      <c r="IJ286" s="122"/>
      <c r="IK286" s="122"/>
      <c r="IL286" s="122"/>
      <c r="IM286" s="122"/>
      <c r="IN286" s="122"/>
      <c r="IO286" s="122"/>
      <c r="IP286" s="122"/>
      <c r="IQ286" s="122"/>
      <c r="IR286" s="122"/>
      <c r="IS286" s="122"/>
      <c r="IT286" s="122"/>
      <c r="IU286" s="122"/>
      <c r="IV286" s="122"/>
    </row>
    <row r="287" spans="1:256" x14ac:dyDescent="0.25">
      <c r="A287" s="130"/>
      <c r="B287" s="131"/>
      <c r="C287" s="131"/>
      <c r="D287" s="122"/>
      <c r="E287" s="122"/>
      <c r="F287" s="131"/>
      <c r="G287" s="131"/>
      <c r="H287" s="131"/>
      <c r="I287" s="131"/>
      <c r="J287" s="131"/>
      <c r="K287" s="217"/>
      <c r="L287" s="131"/>
      <c r="M287" s="122"/>
      <c r="N287" s="122"/>
      <c r="O287" s="122"/>
      <c r="P287" s="122"/>
      <c r="Q287" s="122"/>
      <c r="R287" s="122"/>
      <c r="S287" s="122"/>
      <c r="T287" s="122"/>
      <c r="U287" s="122"/>
      <c r="V287" s="122"/>
      <c r="W287" s="122"/>
      <c r="X287" s="122"/>
      <c r="Y287" s="122"/>
      <c r="Z287" s="122"/>
      <c r="AA287" s="122"/>
      <c r="AB287" s="122"/>
      <c r="AC287" s="122"/>
      <c r="AD287" s="122"/>
      <c r="AE287" s="122"/>
      <c r="AF287" s="122"/>
      <c r="AG287" s="122"/>
      <c r="AH287" s="122"/>
      <c r="AI287" s="122"/>
      <c r="AJ287" s="122"/>
      <c r="AK287" s="122"/>
      <c r="AL287" s="122"/>
      <c r="AM287" s="122"/>
      <c r="AN287" s="122"/>
      <c r="AO287" s="122"/>
      <c r="AP287" s="122"/>
      <c r="AQ287" s="122"/>
      <c r="AR287" s="122"/>
      <c r="AS287" s="122"/>
      <c r="AT287" s="122"/>
      <c r="AU287" s="122"/>
      <c r="AV287" s="122"/>
      <c r="AW287" s="122"/>
      <c r="AX287" s="122"/>
      <c r="AY287" s="122"/>
      <c r="AZ287" s="122"/>
      <c r="BA287" s="122"/>
      <c r="BB287" s="122"/>
      <c r="BC287" s="122"/>
      <c r="BD287" s="122"/>
      <c r="BE287" s="122"/>
      <c r="BF287" s="122"/>
      <c r="BG287" s="122"/>
      <c r="BH287" s="122"/>
      <c r="BI287" s="122"/>
      <c r="BJ287" s="122"/>
      <c r="BK287" s="122"/>
      <c r="BL287" s="122"/>
      <c r="BM287" s="122"/>
      <c r="BN287" s="122"/>
      <c r="BO287" s="122"/>
      <c r="BP287" s="122"/>
      <c r="BQ287" s="122"/>
      <c r="BR287" s="122"/>
      <c r="BS287" s="122"/>
      <c r="BT287" s="122"/>
      <c r="BU287" s="122"/>
      <c r="BV287" s="122"/>
      <c r="BW287" s="122"/>
      <c r="BX287" s="122"/>
      <c r="BY287" s="122"/>
      <c r="BZ287" s="122"/>
      <c r="CA287" s="122"/>
      <c r="CB287" s="122"/>
      <c r="CC287" s="122"/>
      <c r="CD287" s="122"/>
      <c r="CE287" s="122"/>
      <c r="CF287" s="122"/>
      <c r="CG287" s="122"/>
      <c r="CH287" s="122"/>
      <c r="CI287" s="122"/>
      <c r="CJ287" s="122"/>
      <c r="CK287" s="122"/>
      <c r="CL287" s="122"/>
      <c r="CM287" s="122"/>
      <c r="CN287" s="122"/>
      <c r="CO287" s="122"/>
      <c r="CP287" s="122"/>
      <c r="CQ287" s="122"/>
      <c r="CR287" s="122"/>
      <c r="CS287" s="122"/>
      <c r="CT287" s="122"/>
      <c r="CU287" s="122"/>
      <c r="CV287" s="122"/>
      <c r="CW287" s="122"/>
      <c r="CX287" s="122"/>
      <c r="CY287" s="122"/>
      <c r="CZ287" s="122"/>
      <c r="DA287" s="122"/>
      <c r="DB287" s="122"/>
      <c r="DC287" s="122"/>
      <c r="DD287" s="122"/>
      <c r="DE287" s="122"/>
      <c r="DF287" s="122"/>
      <c r="DG287" s="122"/>
      <c r="DH287" s="122"/>
      <c r="DI287" s="122"/>
      <c r="DJ287" s="122"/>
      <c r="DK287" s="122"/>
      <c r="DL287" s="122"/>
      <c r="DM287" s="122"/>
      <c r="DN287" s="122"/>
      <c r="DO287" s="122"/>
      <c r="DP287" s="122"/>
      <c r="DQ287" s="122"/>
      <c r="DR287" s="122"/>
      <c r="DS287" s="122"/>
      <c r="DT287" s="122"/>
      <c r="DU287" s="122"/>
      <c r="DV287" s="122"/>
      <c r="DW287" s="122"/>
      <c r="DX287" s="122"/>
      <c r="DY287" s="122"/>
      <c r="DZ287" s="122"/>
      <c r="EA287" s="122"/>
      <c r="EB287" s="122"/>
      <c r="EC287" s="122"/>
      <c r="ED287" s="122"/>
      <c r="EE287" s="122"/>
      <c r="EF287" s="122"/>
      <c r="EG287" s="122"/>
      <c r="EH287" s="122"/>
      <c r="EI287" s="122"/>
      <c r="EJ287" s="122"/>
      <c r="EK287" s="122"/>
      <c r="EL287" s="122"/>
      <c r="EM287" s="122"/>
      <c r="EN287" s="122"/>
      <c r="EO287" s="122"/>
      <c r="EP287" s="122"/>
      <c r="EQ287" s="122"/>
      <c r="ER287" s="122"/>
      <c r="ES287" s="122"/>
      <c r="ET287" s="122"/>
      <c r="EU287" s="122"/>
      <c r="EV287" s="122"/>
      <c r="EW287" s="122"/>
      <c r="EX287" s="122"/>
      <c r="EY287" s="122"/>
      <c r="EZ287" s="122"/>
      <c r="FA287" s="122"/>
      <c r="FB287" s="122"/>
      <c r="FC287" s="122"/>
      <c r="FD287" s="122"/>
      <c r="FE287" s="122"/>
      <c r="FF287" s="122"/>
      <c r="FG287" s="122"/>
      <c r="FH287" s="122"/>
      <c r="FI287" s="122"/>
      <c r="FJ287" s="122"/>
      <c r="FK287" s="122"/>
      <c r="FL287" s="122"/>
      <c r="FM287" s="122"/>
      <c r="FN287" s="122"/>
      <c r="FO287" s="122"/>
      <c r="FP287" s="122"/>
      <c r="FQ287" s="122"/>
      <c r="FR287" s="122"/>
      <c r="FS287" s="122"/>
      <c r="FT287" s="122"/>
      <c r="FU287" s="122"/>
      <c r="FV287" s="122"/>
      <c r="FW287" s="122"/>
      <c r="FX287" s="122"/>
      <c r="FY287" s="122"/>
      <c r="FZ287" s="122"/>
      <c r="GA287" s="122"/>
      <c r="GB287" s="122"/>
      <c r="GC287" s="122"/>
      <c r="GD287" s="122"/>
      <c r="GE287" s="122"/>
      <c r="GF287" s="122"/>
      <c r="GG287" s="122"/>
      <c r="GH287" s="122"/>
      <c r="GI287" s="122"/>
      <c r="GJ287" s="122"/>
      <c r="GK287" s="122"/>
      <c r="GL287" s="122"/>
      <c r="GM287" s="122"/>
      <c r="GN287" s="122"/>
      <c r="GO287" s="122"/>
      <c r="GP287" s="122"/>
      <c r="GQ287" s="122"/>
      <c r="GR287" s="122"/>
      <c r="GS287" s="122"/>
      <c r="GT287" s="122"/>
      <c r="GU287" s="122"/>
      <c r="GV287" s="122"/>
      <c r="GW287" s="122"/>
      <c r="GX287" s="122"/>
      <c r="GY287" s="122"/>
      <c r="GZ287" s="122"/>
      <c r="HA287" s="122"/>
      <c r="HB287" s="122"/>
      <c r="HC287" s="122"/>
      <c r="HD287" s="122"/>
      <c r="HE287" s="122"/>
      <c r="HF287" s="122"/>
      <c r="HG287" s="122"/>
      <c r="HH287" s="122"/>
      <c r="HI287" s="122"/>
      <c r="HJ287" s="122"/>
      <c r="HK287" s="122"/>
      <c r="HL287" s="122"/>
      <c r="HM287" s="122"/>
      <c r="HN287" s="122"/>
      <c r="HO287" s="122"/>
      <c r="HP287" s="122"/>
      <c r="HQ287" s="122"/>
      <c r="HR287" s="122"/>
      <c r="HS287" s="122"/>
      <c r="HT287" s="122"/>
      <c r="HU287" s="122"/>
      <c r="HV287" s="122"/>
      <c r="HW287" s="122"/>
      <c r="HX287" s="122"/>
      <c r="HY287" s="122"/>
      <c r="HZ287" s="122"/>
      <c r="IA287" s="122"/>
      <c r="IB287" s="122"/>
      <c r="IC287" s="122"/>
      <c r="ID287" s="122"/>
      <c r="IE287" s="122"/>
      <c r="IF287" s="122"/>
      <c r="IG287" s="122"/>
      <c r="IH287" s="122"/>
      <c r="II287" s="122"/>
      <c r="IJ287" s="122"/>
      <c r="IK287" s="122"/>
      <c r="IL287" s="122"/>
      <c r="IM287" s="122"/>
      <c r="IN287" s="122"/>
      <c r="IO287" s="122"/>
      <c r="IP287" s="122"/>
      <c r="IQ287" s="122"/>
      <c r="IR287" s="122"/>
      <c r="IS287" s="122"/>
      <c r="IT287" s="122"/>
      <c r="IU287" s="122"/>
      <c r="IV287" s="122"/>
    </row>
    <row r="288" spans="1:256" x14ac:dyDescent="0.25">
      <c r="A288" s="130"/>
      <c r="B288" s="131"/>
      <c r="C288" s="131"/>
      <c r="D288" s="122"/>
      <c r="E288" s="122"/>
      <c r="F288" s="131"/>
      <c r="G288" s="131"/>
      <c r="H288" s="131"/>
      <c r="I288" s="131"/>
      <c r="J288" s="131"/>
      <c r="K288" s="217"/>
      <c r="L288" s="131"/>
      <c r="M288" s="122"/>
      <c r="N288" s="122"/>
      <c r="O288" s="122"/>
      <c r="P288" s="122"/>
      <c r="Q288" s="122"/>
      <c r="R288" s="122"/>
      <c r="S288" s="122"/>
      <c r="T288" s="122"/>
      <c r="U288" s="122"/>
      <c r="V288" s="122"/>
      <c r="W288" s="122"/>
      <c r="X288" s="122"/>
      <c r="Y288" s="122"/>
      <c r="Z288" s="122"/>
      <c r="AA288" s="122"/>
      <c r="AB288" s="122"/>
      <c r="AC288" s="122"/>
      <c r="AD288" s="122"/>
      <c r="AE288" s="122"/>
      <c r="AF288" s="122"/>
      <c r="AG288" s="122"/>
      <c r="AH288" s="122"/>
      <c r="AI288" s="122"/>
      <c r="AJ288" s="122"/>
      <c r="AK288" s="122"/>
      <c r="AL288" s="122"/>
      <c r="AM288" s="122"/>
      <c r="AN288" s="122"/>
      <c r="AO288" s="122"/>
      <c r="AP288" s="122"/>
      <c r="AQ288" s="122"/>
      <c r="AR288" s="122"/>
      <c r="AS288" s="122"/>
      <c r="AT288" s="122"/>
      <c r="AU288" s="122"/>
      <c r="AV288" s="122"/>
      <c r="AW288" s="122"/>
      <c r="AX288" s="122"/>
      <c r="AY288" s="122"/>
      <c r="AZ288" s="122"/>
      <c r="BA288" s="122"/>
      <c r="BB288" s="122"/>
      <c r="BC288" s="122"/>
      <c r="BD288" s="122"/>
      <c r="BE288" s="122"/>
      <c r="BF288" s="122"/>
      <c r="BG288" s="122"/>
      <c r="BH288" s="122"/>
      <c r="BI288" s="122"/>
      <c r="BJ288" s="122"/>
      <c r="BK288" s="122"/>
      <c r="BL288" s="122"/>
      <c r="BM288" s="122"/>
      <c r="BN288" s="122"/>
      <c r="BO288" s="122"/>
      <c r="BP288" s="122"/>
      <c r="BQ288" s="122"/>
      <c r="BR288" s="122"/>
      <c r="BS288" s="122"/>
      <c r="BT288" s="122"/>
      <c r="BU288" s="122"/>
      <c r="BV288" s="122"/>
      <c r="BW288" s="122"/>
      <c r="BX288" s="122"/>
      <c r="BY288" s="122"/>
      <c r="BZ288" s="122"/>
      <c r="CA288" s="122"/>
      <c r="CB288" s="122"/>
      <c r="CC288" s="122"/>
      <c r="CD288" s="122"/>
      <c r="CE288" s="122"/>
      <c r="CF288" s="122"/>
      <c r="CG288" s="122"/>
      <c r="CH288" s="122"/>
      <c r="CI288" s="122"/>
      <c r="CJ288" s="122"/>
      <c r="CK288" s="122"/>
      <c r="CL288" s="122"/>
      <c r="CM288" s="122"/>
      <c r="CN288" s="122"/>
      <c r="CO288" s="122"/>
      <c r="CP288" s="122"/>
      <c r="CQ288" s="122"/>
      <c r="CR288" s="122"/>
      <c r="CS288" s="122"/>
      <c r="CT288" s="122"/>
      <c r="CU288" s="122"/>
      <c r="CV288" s="122"/>
      <c r="CW288" s="122"/>
      <c r="CX288" s="122"/>
      <c r="CY288" s="122"/>
      <c r="CZ288" s="122"/>
      <c r="DA288" s="122"/>
      <c r="DB288" s="122"/>
      <c r="DC288" s="122"/>
      <c r="DD288" s="122"/>
      <c r="DE288" s="122"/>
      <c r="DF288" s="122"/>
      <c r="DG288" s="122"/>
      <c r="DH288" s="122"/>
      <c r="DI288" s="122"/>
      <c r="DJ288" s="122"/>
      <c r="DK288" s="122"/>
      <c r="DL288" s="122"/>
      <c r="DM288" s="122"/>
      <c r="DN288" s="122"/>
      <c r="DO288" s="122"/>
      <c r="DP288" s="122"/>
      <c r="DQ288" s="122"/>
      <c r="DR288" s="122"/>
      <c r="DS288" s="122"/>
      <c r="DT288" s="122"/>
      <c r="DU288" s="122"/>
      <c r="DV288" s="122"/>
      <c r="DW288" s="122"/>
      <c r="DX288" s="122"/>
      <c r="DY288" s="122"/>
      <c r="DZ288" s="122"/>
      <c r="EA288" s="122"/>
      <c r="EB288" s="122"/>
      <c r="EC288" s="122"/>
      <c r="ED288" s="122"/>
      <c r="EE288" s="122"/>
      <c r="EF288" s="122"/>
      <c r="EG288" s="122"/>
      <c r="EH288" s="122"/>
      <c r="EI288" s="122"/>
      <c r="EJ288" s="122"/>
      <c r="EK288" s="122"/>
      <c r="EL288" s="122"/>
      <c r="EM288" s="122"/>
      <c r="EN288" s="122"/>
      <c r="EO288" s="122"/>
      <c r="EP288" s="122"/>
      <c r="EQ288" s="122"/>
      <c r="ER288" s="122"/>
      <c r="ES288" s="122"/>
      <c r="ET288" s="122"/>
      <c r="EU288" s="122"/>
      <c r="EV288" s="122"/>
      <c r="EW288" s="122"/>
      <c r="EX288" s="122"/>
      <c r="EY288" s="122"/>
      <c r="EZ288" s="122"/>
      <c r="FA288" s="122"/>
      <c r="FB288" s="122"/>
      <c r="FC288" s="122"/>
      <c r="FD288" s="122"/>
      <c r="FE288" s="122"/>
      <c r="FF288" s="122"/>
      <c r="FG288" s="122"/>
      <c r="FH288" s="122"/>
      <c r="FI288" s="122"/>
      <c r="FJ288" s="122"/>
      <c r="FK288" s="122"/>
      <c r="FL288" s="122"/>
      <c r="FM288" s="122"/>
      <c r="FN288" s="122"/>
      <c r="FO288" s="122"/>
      <c r="FP288" s="122"/>
      <c r="FQ288" s="122"/>
      <c r="FR288" s="122"/>
      <c r="FS288" s="122"/>
      <c r="FT288" s="122"/>
      <c r="FU288" s="122"/>
      <c r="FV288" s="122"/>
      <c r="FW288" s="122"/>
      <c r="FX288" s="122"/>
      <c r="FY288" s="122"/>
      <c r="FZ288" s="122"/>
      <c r="GA288" s="122"/>
      <c r="GB288" s="122"/>
      <c r="GC288" s="122"/>
      <c r="GD288" s="122"/>
      <c r="GE288" s="122"/>
      <c r="GF288" s="122"/>
      <c r="GG288" s="122"/>
      <c r="GH288" s="122"/>
      <c r="GI288" s="122"/>
      <c r="GJ288" s="122"/>
      <c r="GK288" s="122"/>
      <c r="GL288" s="122"/>
      <c r="GM288" s="122"/>
      <c r="GN288" s="122"/>
      <c r="GO288" s="122"/>
      <c r="GP288" s="122"/>
      <c r="GQ288" s="122"/>
      <c r="GR288" s="122"/>
      <c r="GS288" s="122"/>
      <c r="GT288" s="122"/>
      <c r="GU288" s="122"/>
      <c r="GV288" s="122"/>
      <c r="GW288" s="122"/>
      <c r="GX288" s="122"/>
      <c r="GY288" s="122"/>
      <c r="GZ288" s="122"/>
      <c r="HA288" s="122"/>
      <c r="HB288" s="122"/>
      <c r="HC288" s="122"/>
      <c r="HD288" s="122"/>
      <c r="HE288" s="122"/>
      <c r="HF288" s="122"/>
      <c r="HG288" s="122"/>
      <c r="HH288" s="122"/>
      <c r="HI288" s="122"/>
      <c r="HJ288" s="122"/>
      <c r="HK288" s="122"/>
      <c r="HL288" s="122"/>
      <c r="HM288" s="122"/>
      <c r="HN288" s="122"/>
      <c r="HO288" s="122"/>
      <c r="HP288" s="122"/>
      <c r="HQ288" s="122"/>
      <c r="HR288" s="122"/>
      <c r="HS288" s="122"/>
      <c r="HT288" s="122"/>
      <c r="HU288" s="122"/>
      <c r="HV288" s="122"/>
      <c r="HW288" s="122"/>
      <c r="HX288" s="122"/>
      <c r="HY288" s="122"/>
      <c r="HZ288" s="122"/>
      <c r="IA288" s="122"/>
      <c r="IB288" s="122"/>
      <c r="IC288" s="122"/>
      <c r="ID288" s="122"/>
      <c r="IE288" s="122"/>
      <c r="IF288" s="122"/>
      <c r="IG288" s="122"/>
      <c r="IH288" s="122"/>
      <c r="II288" s="122"/>
      <c r="IJ288" s="122"/>
      <c r="IK288" s="122"/>
      <c r="IL288" s="122"/>
      <c r="IM288" s="122"/>
      <c r="IN288" s="122"/>
      <c r="IO288" s="122"/>
      <c r="IP288" s="122"/>
      <c r="IQ288" s="122"/>
      <c r="IR288" s="122"/>
      <c r="IS288" s="122"/>
      <c r="IT288" s="122"/>
      <c r="IU288" s="122"/>
      <c r="IV288" s="122"/>
    </row>
    <row r="289" spans="2:13" x14ac:dyDescent="0.25">
      <c r="B289" s="131"/>
      <c r="C289" s="131"/>
      <c r="D289" s="122"/>
      <c r="E289" s="122"/>
      <c r="F289" s="131"/>
      <c r="G289" s="131"/>
      <c r="H289" s="131"/>
      <c r="I289" s="131"/>
      <c r="J289" s="131"/>
      <c r="K289" s="217"/>
      <c r="L289" s="131"/>
      <c r="M289" s="122"/>
    </row>
    <row r="290" spans="2:13" x14ac:dyDescent="0.25">
      <c r="B290" s="131"/>
      <c r="C290" s="131"/>
      <c r="D290" s="122"/>
      <c r="E290" s="122"/>
      <c r="F290" s="131"/>
      <c r="G290" s="131"/>
      <c r="H290" s="131"/>
      <c r="I290" s="131"/>
      <c r="J290" s="131"/>
      <c r="K290" s="217"/>
      <c r="L290" s="131"/>
      <c r="M290" s="122"/>
    </row>
    <row r="291" spans="2:13" x14ac:dyDescent="0.25">
      <c r="B291" s="131"/>
      <c r="C291" s="131"/>
      <c r="D291" s="122"/>
      <c r="E291" s="122"/>
      <c r="F291" s="131"/>
      <c r="G291" s="131"/>
      <c r="H291" s="131"/>
      <c r="I291" s="131"/>
      <c r="J291" s="131"/>
      <c r="K291" s="217"/>
      <c r="L291" s="131"/>
      <c r="M291" s="122"/>
    </row>
    <row r="292" spans="2:13" x14ac:dyDescent="0.25">
      <c r="B292" s="131"/>
      <c r="C292" s="131"/>
      <c r="D292" s="122"/>
      <c r="E292" s="122"/>
      <c r="F292" s="131"/>
      <c r="G292" s="131"/>
      <c r="H292" s="131"/>
      <c r="I292" s="131"/>
      <c r="J292" s="131"/>
      <c r="K292" s="217"/>
      <c r="L292" s="131"/>
      <c r="M292" s="122"/>
    </row>
    <row r="293" spans="2:13" x14ac:dyDescent="0.25">
      <c r="B293" s="131"/>
      <c r="C293" s="131"/>
      <c r="D293" s="122"/>
      <c r="E293" s="122"/>
      <c r="F293" s="131"/>
      <c r="G293" s="131"/>
      <c r="H293" s="131"/>
      <c r="I293" s="131"/>
      <c r="J293" s="131"/>
      <c r="K293" s="217"/>
      <c r="L293" s="131"/>
      <c r="M293" s="122"/>
    </row>
    <row r="294" spans="2:13" x14ac:dyDescent="0.25">
      <c r="B294" s="131"/>
      <c r="C294" s="131"/>
      <c r="D294" s="122"/>
      <c r="E294" s="122"/>
      <c r="F294" s="131"/>
      <c r="G294" s="131"/>
      <c r="H294" s="131"/>
      <c r="I294" s="131"/>
      <c r="J294" s="131"/>
      <c r="K294" s="217"/>
      <c r="L294" s="131"/>
      <c r="M294" s="122"/>
    </row>
    <row r="295" spans="2:13" x14ac:dyDescent="0.25">
      <c r="B295" s="131"/>
      <c r="C295" s="131"/>
      <c r="D295" s="122"/>
      <c r="E295" s="122"/>
      <c r="F295" s="131"/>
      <c r="G295" s="131"/>
      <c r="H295" s="131"/>
      <c r="I295" s="131"/>
      <c r="J295" s="131"/>
      <c r="K295" s="217"/>
      <c r="L295" s="131"/>
      <c r="M295" s="122"/>
    </row>
    <row r="296" spans="2:13" x14ac:dyDescent="0.25">
      <c r="B296" s="131"/>
      <c r="C296" s="131"/>
      <c r="D296" s="122"/>
      <c r="E296" s="122"/>
      <c r="F296" s="131"/>
      <c r="G296" s="131"/>
      <c r="H296" s="131"/>
      <c r="I296" s="131"/>
      <c r="J296" s="131"/>
      <c r="K296" s="217"/>
      <c r="L296" s="131"/>
      <c r="M296" s="122"/>
    </row>
    <row r="297" spans="2:13" x14ac:dyDescent="0.25">
      <c r="B297" s="131"/>
      <c r="C297" s="131"/>
      <c r="D297" s="122"/>
      <c r="E297" s="122"/>
      <c r="F297" s="131"/>
      <c r="G297" s="131"/>
      <c r="H297" s="131"/>
      <c r="I297" s="131"/>
      <c r="J297" s="131"/>
      <c r="K297" s="217"/>
      <c r="L297" s="131"/>
      <c r="M297" s="122"/>
    </row>
    <row r="298" spans="2:13" x14ac:dyDescent="0.25">
      <c r="B298" s="131"/>
      <c r="C298" s="131"/>
      <c r="D298" s="122"/>
      <c r="E298" s="122"/>
      <c r="F298" s="131"/>
      <c r="G298" s="131"/>
      <c r="H298" s="131"/>
      <c r="I298" s="131"/>
      <c r="J298" s="131"/>
      <c r="K298" s="217"/>
      <c r="L298" s="131"/>
      <c r="M298" s="122"/>
    </row>
  </sheetData>
  <dataConsolidate/>
  <pageMargins left="0.7" right="0.7" top="0.75" bottom="0.75" header="0.3" footer="0.3"/>
  <pageSetup paperSize="9" orientation="portrait" horizontalDpi="180" verticalDpi="18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Q12"/>
  <sheetViews>
    <sheetView workbookViewId="0">
      <selection activeCell="C6" sqref="C6"/>
    </sheetView>
  </sheetViews>
  <sheetFormatPr defaultRowHeight="15" x14ac:dyDescent="0.25"/>
  <cols>
    <col min="1" max="1" width="8.5703125" style="16" customWidth="1"/>
    <col min="2" max="2" width="5.85546875" customWidth="1"/>
    <col min="3" max="3" width="16" customWidth="1"/>
    <col min="4" max="4" width="33.28515625" customWidth="1"/>
    <col min="5" max="5" width="18.85546875" customWidth="1"/>
    <col min="7" max="7" width="19" customWidth="1"/>
    <col min="8" max="8" width="10.28515625" customWidth="1"/>
    <col min="9" max="9" width="15" customWidth="1"/>
    <col min="11" max="11" width="7.28515625" customWidth="1"/>
    <col min="12" max="12" width="14.85546875" customWidth="1"/>
    <col min="13" max="13" width="15.140625" customWidth="1"/>
    <col min="14" max="14" width="16.5703125" customWidth="1"/>
    <col min="15" max="15" width="19.140625" customWidth="1"/>
    <col min="16" max="16" width="23" customWidth="1"/>
  </cols>
  <sheetData>
    <row r="1" spans="1:17" ht="14.45" x14ac:dyDescent="0.3">
      <c r="A1" s="14"/>
      <c r="J1" s="1"/>
    </row>
    <row r="2" spans="1:17" ht="14.45" x14ac:dyDescent="0.3">
      <c r="A2" s="14"/>
      <c r="B2" s="1"/>
      <c r="J2" s="1"/>
    </row>
    <row r="3" spans="1:17" ht="14.45" x14ac:dyDescent="0.3">
      <c r="A3" s="14"/>
      <c r="B3" s="1"/>
      <c r="J3" s="1"/>
    </row>
    <row r="4" spans="1:17" s="2" customFormat="1" ht="15" customHeight="1" x14ac:dyDescent="0.25">
      <c r="A4" s="8"/>
      <c r="B4" s="2" t="s">
        <v>14</v>
      </c>
      <c r="C4" s="3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4" t="s">
        <v>19</v>
      </c>
      <c r="L4" s="5" t="s">
        <v>12</v>
      </c>
      <c r="M4" s="4" t="s">
        <v>13</v>
      </c>
      <c r="N4" s="4"/>
      <c r="O4" s="4"/>
      <c r="P4" s="5"/>
      <c r="Q4" s="4"/>
    </row>
    <row r="5" spans="1:17" s="102" customFormat="1" x14ac:dyDescent="0.25">
      <c r="A5" s="102" t="s">
        <v>22</v>
      </c>
      <c r="B5" s="103">
        <v>1</v>
      </c>
      <c r="C5" s="104" t="s">
        <v>34</v>
      </c>
      <c r="E5" s="102" t="s">
        <v>24</v>
      </c>
      <c r="F5" s="103">
        <v>1024</v>
      </c>
      <c r="G5" s="103" t="s">
        <v>35</v>
      </c>
      <c r="H5" s="103" t="s">
        <v>26</v>
      </c>
      <c r="I5" s="103" t="s">
        <v>18</v>
      </c>
      <c r="J5" s="103" t="s">
        <v>36</v>
      </c>
      <c r="K5" s="103"/>
      <c r="L5" s="104" t="s">
        <v>36</v>
      </c>
    </row>
    <row r="6" spans="1:17" s="106" customFormat="1" x14ac:dyDescent="0.25">
      <c r="A6" s="209" t="s">
        <v>22</v>
      </c>
      <c r="B6" s="210">
        <v>1</v>
      </c>
      <c r="C6" s="211" t="s">
        <v>484</v>
      </c>
      <c r="D6" s="211" t="s">
        <v>37</v>
      </c>
      <c r="E6" s="211" t="s">
        <v>87</v>
      </c>
      <c r="F6" s="210">
        <v>1024</v>
      </c>
      <c r="G6" s="210" t="s">
        <v>35</v>
      </c>
      <c r="H6" s="210" t="s">
        <v>38</v>
      </c>
      <c r="I6" s="210" t="s">
        <v>18</v>
      </c>
      <c r="J6" s="211"/>
      <c r="K6" s="211"/>
      <c r="L6" s="211" t="s">
        <v>489</v>
      </c>
      <c r="M6" s="211"/>
    </row>
    <row r="7" spans="1:17" s="107" customFormat="1" x14ac:dyDescent="0.25">
      <c r="A7" s="201" t="s">
        <v>22</v>
      </c>
      <c r="B7" s="202">
        <v>1</v>
      </c>
      <c r="C7" s="204" t="s">
        <v>485</v>
      </c>
      <c r="D7" s="204" t="s">
        <v>132</v>
      </c>
      <c r="E7" s="204" t="s">
        <v>87</v>
      </c>
      <c r="F7" s="202">
        <v>1024</v>
      </c>
      <c r="G7" s="202" t="s">
        <v>35</v>
      </c>
      <c r="H7" s="202" t="s">
        <v>38</v>
      </c>
      <c r="I7" s="202" t="s">
        <v>18</v>
      </c>
      <c r="J7" s="202"/>
      <c r="K7" s="202"/>
      <c r="L7" s="204" t="s">
        <v>488</v>
      </c>
      <c r="M7" s="204"/>
    </row>
    <row r="8" spans="1:17" s="108" customFormat="1" x14ac:dyDescent="0.25">
      <c r="A8" s="205" t="s">
        <v>22</v>
      </c>
      <c r="B8" s="206">
        <v>1</v>
      </c>
      <c r="C8" s="208" t="s">
        <v>486</v>
      </c>
      <c r="D8" s="208" t="s">
        <v>133</v>
      </c>
      <c r="E8" s="208" t="s">
        <v>87</v>
      </c>
      <c r="F8" s="206">
        <v>1024</v>
      </c>
      <c r="G8" s="206" t="s">
        <v>35</v>
      </c>
      <c r="H8" s="206" t="s">
        <v>38</v>
      </c>
      <c r="I8" s="206" t="s">
        <v>18</v>
      </c>
      <c r="J8" s="206"/>
      <c r="K8" s="206"/>
      <c r="L8" s="208" t="s">
        <v>487</v>
      </c>
      <c r="M8" s="208"/>
    </row>
    <row r="9" spans="1:17" s="42" customFormat="1" ht="3" customHeight="1" x14ac:dyDescent="0.3">
      <c r="A9" s="66"/>
    </row>
    <row r="12" spans="1:17" ht="14.45" x14ac:dyDescent="0.3">
      <c r="B12" s="1"/>
      <c r="F12" s="1"/>
      <c r="G12" s="1"/>
      <c r="H12" s="1"/>
      <c r="I12" s="1"/>
      <c r="J12" s="1"/>
      <c r="K12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O11"/>
  <sheetViews>
    <sheetView workbookViewId="0">
      <selection activeCell="N5" sqref="N5"/>
    </sheetView>
  </sheetViews>
  <sheetFormatPr defaultRowHeight="15" x14ac:dyDescent="0.25"/>
  <cols>
    <col min="3" max="3" width="3.140625" customWidth="1"/>
    <col min="4" max="4" width="13.28515625" customWidth="1"/>
    <col min="5" max="5" width="31.85546875" customWidth="1"/>
    <col min="6" max="6" width="10.7109375" customWidth="1"/>
    <col min="7" max="7" width="5.7109375" style="218" customWidth="1"/>
    <col min="8" max="8" width="16.140625" customWidth="1"/>
    <col min="9" max="9" width="9.7109375" customWidth="1"/>
    <col min="10" max="10" width="11" customWidth="1"/>
    <col min="11" max="11" width="21.140625" style="218" customWidth="1"/>
    <col min="12" max="12" width="4.42578125" style="221" customWidth="1"/>
    <col min="13" max="13" width="6.7109375" customWidth="1"/>
    <col min="14" max="14" width="24.7109375" customWidth="1"/>
  </cols>
  <sheetData>
    <row r="1" spans="1:15" ht="14.45" x14ac:dyDescent="0.3">
      <c r="A1" s="6"/>
      <c r="C1" s="18"/>
    </row>
    <row r="2" spans="1:15" ht="14.45" x14ac:dyDescent="0.3">
      <c r="A2" s="6"/>
      <c r="B2" s="218" t="s">
        <v>21</v>
      </c>
      <c r="C2" s="218" t="s">
        <v>119</v>
      </c>
    </row>
    <row r="3" spans="1:15" ht="77.25" x14ac:dyDescent="0.25">
      <c r="A3" s="6"/>
      <c r="B3" s="77" t="s">
        <v>117</v>
      </c>
      <c r="C3" s="76" t="s">
        <v>118</v>
      </c>
    </row>
    <row r="4" spans="1:15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2" t="s">
        <v>12</v>
      </c>
      <c r="O4" s="4" t="s">
        <v>13</v>
      </c>
    </row>
    <row r="5" spans="1:15" s="161" customFormat="1" ht="15" customHeight="1" x14ac:dyDescent="0.25">
      <c r="A5" s="160" t="s">
        <v>22</v>
      </c>
      <c r="B5" s="161">
        <v>1</v>
      </c>
      <c r="C5" s="103">
        <v>1</v>
      </c>
      <c r="D5" s="104" t="s">
        <v>193</v>
      </c>
      <c r="E5" s="162"/>
      <c r="F5" s="103" t="s">
        <v>24</v>
      </c>
      <c r="G5" s="103">
        <v>1024</v>
      </c>
      <c r="H5" s="103" t="s">
        <v>194</v>
      </c>
      <c r="I5" s="103" t="s">
        <v>26</v>
      </c>
      <c r="J5" s="163"/>
      <c r="K5" s="103" t="s">
        <v>18</v>
      </c>
      <c r="L5" s="103" t="s">
        <v>198</v>
      </c>
      <c r="M5" s="163"/>
      <c r="N5" s="163" t="s">
        <v>198</v>
      </c>
    </row>
    <row r="6" spans="1:15" s="198" customFormat="1" x14ac:dyDescent="0.25">
      <c r="A6" s="198" t="s">
        <v>22</v>
      </c>
      <c r="B6" s="213">
        <v>1</v>
      </c>
      <c r="C6" s="213">
        <v>1</v>
      </c>
      <c r="D6" s="198" t="s">
        <v>195</v>
      </c>
      <c r="E6" s="226" t="s">
        <v>196</v>
      </c>
      <c r="F6" s="213" t="s">
        <v>131</v>
      </c>
      <c r="G6" s="213">
        <v>1024</v>
      </c>
      <c r="H6" s="213" t="s">
        <v>194</v>
      </c>
      <c r="I6" s="213" t="s">
        <v>155</v>
      </c>
      <c r="K6" s="213" t="s">
        <v>284</v>
      </c>
      <c r="L6" s="213">
        <v>0</v>
      </c>
      <c r="N6" s="198" t="s">
        <v>699</v>
      </c>
    </row>
    <row r="7" spans="1:15" s="200" customFormat="1" x14ac:dyDescent="0.25">
      <c r="A7" s="200" t="s">
        <v>22</v>
      </c>
      <c r="B7" s="213">
        <v>1</v>
      </c>
      <c r="C7" s="213">
        <v>1</v>
      </c>
      <c r="D7" s="198" t="s">
        <v>202</v>
      </c>
      <c r="E7" s="225" t="s">
        <v>207</v>
      </c>
      <c r="F7" s="213" t="s">
        <v>131</v>
      </c>
      <c r="G7" s="213">
        <v>1024</v>
      </c>
      <c r="H7" s="213" t="s">
        <v>194</v>
      </c>
      <c r="I7" s="213" t="s">
        <v>155</v>
      </c>
      <c r="K7" s="213" t="s">
        <v>284</v>
      </c>
      <c r="L7" s="199">
        <v>0</v>
      </c>
      <c r="N7" s="200" t="s">
        <v>700</v>
      </c>
    </row>
    <row r="8" spans="1:15" s="200" customFormat="1" x14ac:dyDescent="0.25">
      <c r="A8" s="200" t="s">
        <v>22</v>
      </c>
      <c r="B8" s="213">
        <v>1</v>
      </c>
      <c r="C8" s="213">
        <v>1</v>
      </c>
      <c r="D8" s="198" t="s">
        <v>203</v>
      </c>
      <c r="E8" s="200" t="s">
        <v>208</v>
      </c>
      <c r="F8" s="213" t="s">
        <v>131</v>
      </c>
      <c r="G8" s="213">
        <v>1024</v>
      </c>
      <c r="H8" s="213" t="s">
        <v>194</v>
      </c>
      <c r="I8" s="213" t="s">
        <v>155</v>
      </c>
      <c r="K8" s="213" t="s">
        <v>82</v>
      </c>
      <c r="L8" s="199">
        <v>0</v>
      </c>
      <c r="N8" s="200" t="s">
        <v>701</v>
      </c>
    </row>
    <row r="9" spans="1:15" s="200" customFormat="1" x14ac:dyDescent="0.25">
      <c r="A9" s="200" t="s">
        <v>22</v>
      </c>
      <c r="B9" s="213">
        <v>1</v>
      </c>
      <c r="C9" s="213">
        <v>1</v>
      </c>
      <c r="D9" s="198" t="s">
        <v>204</v>
      </c>
      <c r="E9" s="200" t="s">
        <v>209</v>
      </c>
      <c r="F9" s="213" t="s">
        <v>131</v>
      </c>
      <c r="G9" s="213">
        <v>1024</v>
      </c>
      <c r="H9" s="213" t="s">
        <v>194</v>
      </c>
      <c r="I9" s="213" t="s">
        <v>155</v>
      </c>
      <c r="K9" s="213" t="s">
        <v>82</v>
      </c>
      <c r="L9" s="199">
        <v>0</v>
      </c>
      <c r="N9" s="200" t="s">
        <v>702</v>
      </c>
    </row>
    <row r="10" spans="1:15" s="200" customFormat="1" x14ac:dyDescent="0.25">
      <c r="A10" s="200" t="s">
        <v>22</v>
      </c>
      <c r="B10" s="213">
        <v>1</v>
      </c>
      <c r="C10" s="213">
        <v>1</v>
      </c>
      <c r="D10" s="198" t="s">
        <v>205</v>
      </c>
      <c r="E10" s="200" t="s">
        <v>210</v>
      </c>
      <c r="F10" s="213" t="s">
        <v>131</v>
      </c>
      <c r="G10" s="213">
        <v>1024</v>
      </c>
      <c r="H10" s="213" t="s">
        <v>194</v>
      </c>
      <c r="I10" s="213" t="s">
        <v>155</v>
      </c>
      <c r="K10" s="213" t="s">
        <v>82</v>
      </c>
      <c r="L10" s="199">
        <v>0</v>
      </c>
      <c r="N10" s="200" t="s">
        <v>703</v>
      </c>
    </row>
    <row r="11" spans="1:15" s="200" customFormat="1" x14ac:dyDescent="0.25">
      <c r="A11" s="200" t="s">
        <v>22</v>
      </c>
      <c r="B11" s="213">
        <v>1</v>
      </c>
      <c r="C11" s="213">
        <v>1</v>
      </c>
      <c r="D11" s="198" t="s">
        <v>206</v>
      </c>
      <c r="E11" s="225" t="s">
        <v>211</v>
      </c>
      <c r="F11" s="213" t="s">
        <v>131</v>
      </c>
      <c r="G11" s="213">
        <v>1024</v>
      </c>
      <c r="H11" s="213" t="s">
        <v>194</v>
      </c>
      <c r="I11" s="213" t="s">
        <v>155</v>
      </c>
      <c r="K11" s="213" t="s">
        <v>82</v>
      </c>
      <c r="L11" s="199">
        <v>0</v>
      </c>
      <c r="N11" s="200" t="s">
        <v>704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O20"/>
  <sheetViews>
    <sheetView workbookViewId="0">
      <selection activeCell="L9" sqref="L9"/>
    </sheetView>
  </sheetViews>
  <sheetFormatPr defaultRowHeight="15" x14ac:dyDescent="0.25"/>
  <cols>
    <col min="2" max="3" width="8.85546875" style="218"/>
    <col min="4" max="4" width="18.28515625" customWidth="1"/>
    <col min="5" max="5" width="28" customWidth="1"/>
    <col min="6" max="6" width="16.7109375" style="218" customWidth="1"/>
    <col min="7" max="7" width="8.85546875" style="218"/>
    <col min="8" max="8" width="16.140625" customWidth="1"/>
    <col min="9" max="9" width="10.42578125" style="218" customWidth="1"/>
    <col min="10" max="10" width="5.85546875" style="221" customWidth="1"/>
    <col min="11" max="11" width="26.42578125" style="218" customWidth="1"/>
    <col min="12" max="12" width="17.85546875" style="221" customWidth="1"/>
    <col min="13" max="13" width="5.85546875" customWidth="1"/>
    <col min="14" max="14" width="35.42578125" customWidth="1"/>
  </cols>
  <sheetData>
    <row r="1" spans="1:15" ht="14.45" x14ac:dyDescent="0.3">
      <c r="A1" s="6"/>
      <c r="C1" s="19"/>
    </row>
    <row r="2" spans="1:15" ht="14.45" x14ac:dyDescent="0.3">
      <c r="A2" s="6"/>
      <c r="B2" s="218" t="s">
        <v>21</v>
      </c>
      <c r="C2" s="218" t="s">
        <v>119</v>
      </c>
    </row>
    <row r="3" spans="1:15" ht="77.25" x14ac:dyDescent="0.25">
      <c r="A3" s="6"/>
      <c r="B3" s="77" t="s">
        <v>117</v>
      </c>
      <c r="C3" s="76" t="s">
        <v>118</v>
      </c>
    </row>
    <row r="4" spans="1:15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2" t="s">
        <v>12</v>
      </c>
      <c r="O4" s="4" t="s">
        <v>13</v>
      </c>
    </row>
    <row r="5" spans="1:15" s="161" customFormat="1" ht="15" customHeight="1" x14ac:dyDescent="0.25">
      <c r="A5" s="160" t="s">
        <v>22</v>
      </c>
      <c r="B5" s="161">
        <v>1</v>
      </c>
      <c r="C5" s="103">
        <v>1</v>
      </c>
      <c r="D5" s="104" t="s">
        <v>235</v>
      </c>
      <c r="E5" s="162"/>
      <c r="F5" s="103" t="s">
        <v>24</v>
      </c>
      <c r="G5" s="103">
        <v>1024</v>
      </c>
      <c r="H5" s="103" t="s">
        <v>197</v>
      </c>
      <c r="I5" s="103" t="s">
        <v>26</v>
      </c>
      <c r="J5" s="163"/>
      <c r="K5" s="103" t="s">
        <v>18</v>
      </c>
      <c r="L5" s="103" t="s">
        <v>200</v>
      </c>
      <c r="M5" s="163"/>
      <c r="N5" s="163" t="s">
        <v>200</v>
      </c>
    </row>
    <row r="6" spans="1:15" s="200" customFormat="1" x14ac:dyDescent="0.25">
      <c r="A6" s="200" t="s">
        <v>22</v>
      </c>
      <c r="B6" s="199">
        <v>1</v>
      </c>
      <c r="C6" s="199">
        <v>1</v>
      </c>
      <c r="D6" s="198" t="s">
        <v>212</v>
      </c>
      <c r="E6" s="225" t="s">
        <v>223</v>
      </c>
      <c r="F6" s="199" t="s">
        <v>234</v>
      </c>
      <c r="G6" s="199">
        <v>1024</v>
      </c>
      <c r="H6" s="200" t="s">
        <v>197</v>
      </c>
      <c r="I6" s="199" t="s">
        <v>222</v>
      </c>
      <c r="J6" s="199">
        <v>17</v>
      </c>
      <c r="K6" s="199" t="s">
        <v>284</v>
      </c>
      <c r="L6" s="199" t="s">
        <v>237</v>
      </c>
      <c r="N6" s="200" t="s">
        <v>705</v>
      </c>
    </row>
    <row r="7" spans="1:15" s="200" customFormat="1" x14ac:dyDescent="0.25">
      <c r="A7" s="200" t="s">
        <v>22</v>
      </c>
      <c r="B7" s="199">
        <v>1</v>
      </c>
      <c r="C7" s="199">
        <v>1</v>
      </c>
      <c r="D7" s="198" t="s">
        <v>213</v>
      </c>
      <c r="E7" s="225" t="s">
        <v>224</v>
      </c>
      <c r="F7" s="199" t="s">
        <v>234</v>
      </c>
      <c r="G7" s="199">
        <v>1024</v>
      </c>
      <c r="H7" s="200" t="s">
        <v>197</v>
      </c>
      <c r="I7" s="199" t="s">
        <v>222</v>
      </c>
      <c r="J7" s="199">
        <v>17</v>
      </c>
      <c r="K7" s="199" t="s">
        <v>284</v>
      </c>
      <c r="L7" s="199" t="s">
        <v>238</v>
      </c>
      <c r="N7" s="200" t="s">
        <v>706</v>
      </c>
    </row>
    <row r="8" spans="1:15" s="200" customFormat="1" x14ac:dyDescent="0.25">
      <c r="A8" s="200" t="s">
        <v>22</v>
      </c>
      <c r="B8" s="199">
        <v>1</v>
      </c>
      <c r="C8" s="199">
        <v>1</v>
      </c>
      <c r="D8" s="198" t="s">
        <v>214</v>
      </c>
      <c r="E8" s="200" t="s">
        <v>225</v>
      </c>
      <c r="F8" s="199" t="s">
        <v>234</v>
      </c>
      <c r="G8" s="199">
        <v>1024</v>
      </c>
      <c r="H8" s="200" t="s">
        <v>197</v>
      </c>
      <c r="I8" s="199" t="s">
        <v>222</v>
      </c>
      <c r="J8" s="199">
        <v>17</v>
      </c>
      <c r="K8" s="199" t="s">
        <v>284</v>
      </c>
      <c r="L8" s="199" t="s">
        <v>236</v>
      </c>
      <c r="N8" s="200" t="s">
        <v>707</v>
      </c>
    </row>
    <row r="9" spans="1:15" s="537" customFormat="1" x14ac:dyDescent="0.25">
      <c r="A9" s="537" t="s">
        <v>22</v>
      </c>
      <c r="B9" s="536">
        <v>1</v>
      </c>
      <c r="C9" s="536">
        <v>1</v>
      </c>
      <c r="D9" s="535" t="s">
        <v>848</v>
      </c>
      <c r="E9" s="538" t="s">
        <v>849</v>
      </c>
      <c r="F9" s="536" t="s">
        <v>718</v>
      </c>
      <c r="G9" s="536">
        <v>1024</v>
      </c>
      <c r="H9" s="537" t="s">
        <v>197</v>
      </c>
      <c r="I9" s="536" t="s">
        <v>26</v>
      </c>
      <c r="J9" s="536">
        <v>18</v>
      </c>
      <c r="K9" s="536" t="s">
        <v>284</v>
      </c>
      <c r="L9" s="536" t="s">
        <v>862</v>
      </c>
      <c r="N9" s="537" t="s">
        <v>850</v>
      </c>
    </row>
    <row r="10" spans="1:15" s="200" customFormat="1" x14ac:dyDescent="0.25">
      <c r="A10" s="200" t="s">
        <v>22</v>
      </c>
      <c r="B10" s="199">
        <v>1</v>
      </c>
      <c r="C10" s="199">
        <v>1</v>
      </c>
      <c r="D10" s="198" t="s">
        <v>215</v>
      </c>
      <c r="E10" s="225" t="s">
        <v>215</v>
      </c>
      <c r="F10" s="199" t="s">
        <v>234</v>
      </c>
      <c r="G10" s="199">
        <v>1024</v>
      </c>
      <c r="H10" s="200" t="s">
        <v>197</v>
      </c>
      <c r="I10" s="199" t="s">
        <v>26</v>
      </c>
      <c r="J10" s="199">
        <v>16</v>
      </c>
      <c r="K10" s="199" t="s">
        <v>284</v>
      </c>
      <c r="L10" s="199" t="s">
        <v>134</v>
      </c>
      <c r="N10" s="200" t="s">
        <v>708</v>
      </c>
    </row>
    <row r="11" spans="1:15" s="200" customFormat="1" x14ac:dyDescent="0.25">
      <c r="A11" s="200" t="s">
        <v>22</v>
      </c>
      <c r="B11" s="199">
        <v>1</v>
      </c>
      <c r="C11" s="199">
        <v>1</v>
      </c>
      <c r="D11" s="198" t="s">
        <v>216</v>
      </c>
      <c r="E11" s="225" t="s">
        <v>216</v>
      </c>
      <c r="F11" s="199" t="s">
        <v>234</v>
      </c>
      <c r="G11" s="199">
        <v>1024</v>
      </c>
      <c r="H11" s="200" t="s">
        <v>197</v>
      </c>
      <c r="I11" s="199" t="s">
        <v>26</v>
      </c>
      <c r="J11" s="199">
        <v>16</v>
      </c>
      <c r="K11" s="199" t="s">
        <v>284</v>
      </c>
      <c r="L11" s="199" t="s">
        <v>134</v>
      </c>
      <c r="N11" s="200" t="s">
        <v>709</v>
      </c>
    </row>
    <row r="12" spans="1:15" s="200" customFormat="1" x14ac:dyDescent="0.25">
      <c r="A12" s="200" t="s">
        <v>22</v>
      </c>
      <c r="B12" s="199">
        <v>1</v>
      </c>
      <c r="C12" s="199">
        <v>1</v>
      </c>
      <c r="D12" s="198" t="s">
        <v>217</v>
      </c>
      <c r="E12" s="225" t="s">
        <v>226</v>
      </c>
      <c r="F12" s="199" t="s">
        <v>234</v>
      </c>
      <c r="G12" s="199">
        <v>1024</v>
      </c>
      <c r="H12" s="200" t="s">
        <v>197</v>
      </c>
      <c r="I12" s="199" t="s">
        <v>222</v>
      </c>
      <c r="J12" s="199">
        <v>17</v>
      </c>
      <c r="K12" s="199" t="s">
        <v>284</v>
      </c>
      <c r="L12" s="199" t="s">
        <v>236</v>
      </c>
      <c r="N12" s="200" t="s">
        <v>710</v>
      </c>
    </row>
    <row r="13" spans="1:15" s="200" customFormat="1" x14ac:dyDescent="0.25">
      <c r="A13" s="200" t="s">
        <v>22</v>
      </c>
      <c r="B13" s="199">
        <v>1</v>
      </c>
      <c r="C13" s="199">
        <v>1</v>
      </c>
      <c r="D13" s="198" t="s">
        <v>218</v>
      </c>
      <c r="E13" s="225" t="s">
        <v>227</v>
      </c>
      <c r="F13" s="199" t="s">
        <v>234</v>
      </c>
      <c r="G13" s="199">
        <v>1024</v>
      </c>
      <c r="H13" s="200" t="s">
        <v>197</v>
      </c>
      <c r="I13" s="199" t="s">
        <v>222</v>
      </c>
      <c r="J13" s="199">
        <v>17</v>
      </c>
      <c r="K13" s="199" t="s">
        <v>284</v>
      </c>
      <c r="L13" s="199" t="s">
        <v>236</v>
      </c>
      <c r="N13" s="200" t="s">
        <v>711</v>
      </c>
    </row>
    <row r="14" spans="1:15" s="200" customFormat="1" x14ac:dyDescent="0.25">
      <c r="A14" s="200" t="s">
        <v>22</v>
      </c>
      <c r="B14" s="199">
        <v>1</v>
      </c>
      <c r="C14" s="199">
        <v>1</v>
      </c>
      <c r="D14" s="198" t="s">
        <v>219</v>
      </c>
      <c r="E14" s="225" t="s">
        <v>228</v>
      </c>
      <c r="F14" s="199" t="s">
        <v>234</v>
      </c>
      <c r="G14" s="199">
        <v>1024</v>
      </c>
      <c r="H14" s="200" t="s">
        <v>197</v>
      </c>
      <c r="I14" s="199" t="s">
        <v>222</v>
      </c>
      <c r="J14" s="199">
        <v>17</v>
      </c>
      <c r="K14" s="199" t="s">
        <v>284</v>
      </c>
      <c r="L14" s="199" t="s">
        <v>236</v>
      </c>
      <c r="N14" s="200" t="s">
        <v>712</v>
      </c>
    </row>
    <row r="15" spans="1:15" s="200" customFormat="1" x14ac:dyDescent="0.25">
      <c r="A15" s="200" t="s">
        <v>22</v>
      </c>
      <c r="B15" s="199">
        <v>1</v>
      </c>
      <c r="C15" s="199">
        <v>1</v>
      </c>
      <c r="D15" s="198" t="s">
        <v>220</v>
      </c>
      <c r="E15" s="225" t="s">
        <v>229</v>
      </c>
      <c r="F15" s="199" t="s">
        <v>234</v>
      </c>
      <c r="G15" s="199">
        <v>1024</v>
      </c>
      <c r="H15" s="200" t="s">
        <v>197</v>
      </c>
      <c r="I15" s="199" t="s">
        <v>222</v>
      </c>
      <c r="J15" s="199">
        <v>17</v>
      </c>
      <c r="K15" s="199" t="s">
        <v>284</v>
      </c>
      <c r="L15" s="199" t="s">
        <v>236</v>
      </c>
      <c r="N15" s="200" t="s">
        <v>713</v>
      </c>
    </row>
    <row r="16" spans="1:15" s="200" customFormat="1" x14ac:dyDescent="0.25">
      <c r="A16" s="200" t="s">
        <v>22</v>
      </c>
      <c r="B16" s="199">
        <v>1</v>
      </c>
      <c r="C16" s="199">
        <v>1</v>
      </c>
      <c r="D16" s="198" t="s">
        <v>221</v>
      </c>
      <c r="E16" s="225" t="s">
        <v>230</v>
      </c>
      <c r="F16" s="199" t="s">
        <v>234</v>
      </c>
      <c r="G16" s="199">
        <v>1024</v>
      </c>
      <c r="H16" s="200" t="s">
        <v>197</v>
      </c>
      <c r="I16" s="199" t="s">
        <v>222</v>
      </c>
      <c r="J16" s="199">
        <v>17</v>
      </c>
      <c r="K16" s="199" t="s">
        <v>284</v>
      </c>
      <c r="L16" s="199" t="s">
        <v>236</v>
      </c>
      <c r="N16" s="200" t="s">
        <v>714</v>
      </c>
    </row>
    <row r="17" spans="1:14" s="200" customFormat="1" x14ac:dyDescent="0.25">
      <c r="A17" s="200" t="s">
        <v>22</v>
      </c>
      <c r="B17" s="199">
        <v>1</v>
      </c>
      <c r="C17" s="199">
        <v>1</v>
      </c>
      <c r="D17" s="459" t="s">
        <v>514</v>
      </c>
      <c r="E17" s="225" t="s">
        <v>515</v>
      </c>
      <c r="F17" s="199" t="s">
        <v>234</v>
      </c>
      <c r="G17" s="199">
        <v>1024</v>
      </c>
      <c r="H17" s="200" t="s">
        <v>197</v>
      </c>
      <c r="I17" s="199" t="s">
        <v>222</v>
      </c>
      <c r="J17" s="199">
        <v>17</v>
      </c>
      <c r="K17" s="199" t="s">
        <v>284</v>
      </c>
      <c r="L17" s="199" t="s">
        <v>236</v>
      </c>
      <c r="N17" s="200" t="s">
        <v>715</v>
      </c>
    </row>
    <row r="18" spans="1:14" s="537" customFormat="1" x14ac:dyDescent="0.25">
      <c r="A18" s="537" t="s">
        <v>22</v>
      </c>
      <c r="B18" s="536">
        <v>1</v>
      </c>
      <c r="C18" s="536">
        <v>1</v>
      </c>
      <c r="D18" s="535" t="s">
        <v>775</v>
      </c>
      <c r="E18" s="538" t="s">
        <v>776</v>
      </c>
      <c r="F18" s="536" t="s">
        <v>233</v>
      </c>
      <c r="G18" s="536">
        <v>1024</v>
      </c>
      <c r="H18" s="537" t="s">
        <v>197</v>
      </c>
      <c r="I18" s="536" t="s">
        <v>222</v>
      </c>
      <c r="J18" s="536">
        <v>17</v>
      </c>
      <c r="K18" s="536" t="s">
        <v>284</v>
      </c>
      <c r="L18" s="536" t="s">
        <v>236</v>
      </c>
      <c r="N18" s="537" t="s">
        <v>777</v>
      </c>
    </row>
    <row r="19" spans="1:14" s="537" customFormat="1" x14ac:dyDescent="0.25">
      <c r="A19" s="537" t="s">
        <v>22</v>
      </c>
      <c r="B19" s="536">
        <v>1</v>
      </c>
      <c r="C19" s="536">
        <v>1</v>
      </c>
      <c r="D19" s="537" t="s">
        <v>778</v>
      </c>
      <c r="E19" s="537" t="s">
        <v>779</v>
      </c>
      <c r="F19" s="536" t="s">
        <v>233</v>
      </c>
      <c r="G19" s="536">
        <v>1024</v>
      </c>
      <c r="H19" s="537" t="s">
        <v>197</v>
      </c>
      <c r="I19" s="536" t="s">
        <v>222</v>
      </c>
      <c r="J19" s="536">
        <v>17</v>
      </c>
      <c r="K19" s="536" t="s">
        <v>284</v>
      </c>
      <c r="L19" s="536" t="s">
        <v>236</v>
      </c>
      <c r="N19" s="537" t="s">
        <v>780</v>
      </c>
    </row>
    <row r="20" spans="1:14" s="537" customFormat="1" x14ac:dyDescent="0.25">
      <c r="A20" s="537" t="s">
        <v>22</v>
      </c>
      <c r="B20" s="536">
        <v>1</v>
      </c>
      <c r="C20" s="536">
        <v>1</v>
      </c>
      <c r="D20" s="537" t="s">
        <v>807</v>
      </c>
      <c r="E20" s="537" t="s">
        <v>781</v>
      </c>
      <c r="F20" s="536" t="s">
        <v>234</v>
      </c>
      <c r="G20" s="536">
        <v>1024</v>
      </c>
      <c r="H20" s="537" t="s">
        <v>197</v>
      </c>
      <c r="I20" s="536" t="s">
        <v>26</v>
      </c>
      <c r="J20" s="536">
        <v>128</v>
      </c>
      <c r="K20" s="536" t="s">
        <v>284</v>
      </c>
      <c r="L20" s="536" t="s">
        <v>236</v>
      </c>
      <c r="N20" s="537" t="s">
        <v>808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W6"/>
  <sheetViews>
    <sheetView workbookViewId="0">
      <selection activeCell="E6" sqref="E6"/>
    </sheetView>
  </sheetViews>
  <sheetFormatPr defaultRowHeight="15" x14ac:dyDescent="0.25"/>
  <cols>
    <col min="4" max="4" width="14.28515625" customWidth="1"/>
    <col min="5" max="5" width="39.28515625" customWidth="1"/>
    <col min="6" max="6" width="16.42578125" customWidth="1"/>
    <col min="8" max="8" width="17.42578125" style="218" customWidth="1"/>
    <col min="9" max="9" width="13" style="218" customWidth="1"/>
    <col min="11" max="11" width="11.85546875" style="218" customWidth="1"/>
    <col min="13" max="13" width="8.85546875" style="228"/>
    <col min="14" max="14" width="24.7109375" customWidth="1"/>
  </cols>
  <sheetData>
    <row r="1" spans="1:23" x14ac:dyDescent="0.25">
      <c r="A1" s="6"/>
      <c r="C1" s="18"/>
      <c r="H1" s="554"/>
      <c r="I1" s="554"/>
      <c r="K1" s="554"/>
      <c r="L1" s="554"/>
      <c r="M1"/>
    </row>
    <row r="2" spans="1:23" x14ac:dyDescent="0.25">
      <c r="A2" s="6"/>
      <c r="B2" s="554" t="s">
        <v>21</v>
      </c>
      <c r="C2" s="554" t="s">
        <v>119</v>
      </c>
      <c r="H2" s="554"/>
      <c r="I2" s="554"/>
      <c r="K2" s="554"/>
      <c r="L2" s="554"/>
      <c r="M2"/>
    </row>
    <row r="3" spans="1:23" ht="77.25" x14ac:dyDescent="0.25">
      <c r="A3" s="6"/>
      <c r="B3" s="77" t="s">
        <v>117</v>
      </c>
      <c r="C3" s="76" t="s">
        <v>118</v>
      </c>
      <c r="H3" s="554"/>
      <c r="I3" s="554"/>
      <c r="K3" s="554"/>
      <c r="L3" s="554"/>
      <c r="M3"/>
    </row>
    <row r="4" spans="1:23" s="2" customFormat="1" ht="15" customHeight="1" x14ac:dyDescent="0.25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2" t="s">
        <v>12</v>
      </c>
      <c r="O4" s="4" t="s">
        <v>13</v>
      </c>
    </row>
    <row r="5" spans="1:23" s="161" customFormat="1" ht="15" customHeight="1" x14ac:dyDescent="0.25">
      <c r="A5" s="160" t="s">
        <v>22</v>
      </c>
      <c r="B5" s="161">
        <v>1</v>
      </c>
      <c r="C5" s="103">
        <v>1</v>
      </c>
      <c r="D5" s="104" t="s">
        <v>231</v>
      </c>
      <c r="E5" s="162"/>
      <c r="F5" s="103" t="s">
        <v>24</v>
      </c>
      <c r="G5" s="103">
        <v>1024</v>
      </c>
      <c r="H5" s="103" t="s">
        <v>201</v>
      </c>
      <c r="I5" s="103" t="s">
        <v>26</v>
      </c>
      <c r="J5" s="163"/>
      <c r="K5" s="103" t="s">
        <v>18</v>
      </c>
      <c r="L5" s="103" t="s">
        <v>199</v>
      </c>
      <c r="M5" s="163"/>
      <c r="N5" s="163" t="s">
        <v>199</v>
      </c>
    </row>
    <row r="6" spans="1:23" s="200" customFormat="1" x14ac:dyDescent="0.25">
      <c r="A6" s="537" t="s">
        <v>22</v>
      </c>
      <c r="B6" s="536">
        <v>1</v>
      </c>
      <c r="C6" s="536">
        <v>1</v>
      </c>
      <c r="D6" s="537" t="s">
        <v>232</v>
      </c>
      <c r="E6" s="538" t="s">
        <v>867</v>
      </c>
      <c r="F6" s="213" t="s">
        <v>131</v>
      </c>
      <c r="G6" s="536">
        <v>1024</v>
      </c>
      <c r="H6" s="536" t="s">
        <v>201</v>
      </c>
      <c r="I6" s="536" t="s">
        <v>38</v>
      </c>
      <c r="J6" s="537"/>
      <c r="K6" s="536" t="s">
        <v>284</v>
      </c>
      <c r="L6" s="536">
        <v>0</v>
      </c>
      <c r="M6" s="537"/>
      <c r="N6" s="535" t="s">
        <v>868</v>
      </c>
      <c r="O6" s="535"/>
      <c r="P6" s="537"/>
      <c r="Q6" s="537"/>
      <c r="R6" s="537"/>
      <c r="S6" s="537"/>
      <c r="T6" s="537"/>
      <c r="U6" s="537"/>
      <c r="V6" s="537"/>
      <c r="W6" s="537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2:N31"/>
  <sheetViews>
    <sheetView workbookViewId="0">
      <pane ySplit="4" topLeftCell="A5" activePane="bottomLeft" state="frozen"/>
      <selection pane="bottomLeft" activeCell="H5" sqref="H5"/>
    </sheetView>
  </sheetViews>
  <sheetFormatPr defaultRowHeight="15" x14ac:dyDescent="0.25"/>
  <cols>
    <col min="1" max="1" width="9.5703125" style="6" customWidth="1"/>
    <col min="2" max="2" width="8.140625" customWidth="1"/>
    <col min="3" max="3" width="4.7109375" style="18" customWidth="1"/>
    <col min="4" max="4" width="19.85546875" customWidth="1"/>
    <col min="5" max="5" width="25.85546875" customWidth="1"/>
    <col min="6" max="6" width="24.42578125" customWidth="1"/>
    <col min="7" max="7" width="8.140625" customWidth="1"/>
    <col min="8" max="8" width="19.42578125" customWidth="1"/>
    <col min="9" max="9" width="11.28515625" customWidth="1"/>
    <col min="10" max="10" width="13.28515625" customWidth="1"/>
    <col min="11" max="11" width="13.5703125" customWidth="1"/>
    <col min="12" max="12" width="20.5703125" style="1" customWidth="1"/>
    <col min="13" max="13" width="7.85546875" customWidth="1"/>
  </cols>
  <sheetData>
    <row r="2" spans="1:14" ht="14.45" x14ac:dyDescent="0.3">
      <c r="B2" s="85" t="s">
        <v>21</v>
      </c>
      <c r="C2" s="85" t="s">
        <v>119</v>
      </c>
    </row>
    <row r="3" spans="1:14" ht="77.25" x14ac:dyDescent="0.25">
      <c r="B3" s="77" t="s">
        <v>117</v>
      </c>
      <c r="C3" s="76" t="s">
        <v>118</v>
      </c>
    </row>
    <row r="4" spans="1:14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4" t="s">
        <v>13</v>
      </c>
    </row>
    <row r="5" spans="1:14" s="161" customFormat="1" ht="15" customHeight="1" x14ac:dyDescent="0.25">
      <c r="A5" s="160" t="s">
        <v>22</v>
      </c>
      <c r="B5" s="161">
        <v>1</v>
      </c>
      <c r="C5" s="103">
        <v>1</v>
      </c>
      <c r="D5" s="104" t="s">
        <v>41</v>
      </c>
      <c r="E5" s="162"/>
      <c r="F5" s="103" t="s">
        <v>24</v>
      </c>
      <c r="G5" s="103">
        <v>1024</v>
      </c>
      <c r="H5" s="103" t="s">
        <v>42</v>
      </c>
      <c r="I5" s="103" t="s">
        <v>26</v>
      </c>
      <c r="J5" s="163"/>
      <c r="K5" s="103" t="s">
        <v>18</v>
      </c>
      <c r="L5" s="103" t="s">
        <v>43</v>
      </c>
      <c r="M5" s="163"/>
      <c r="N5" s="163"/>
    </row>
    <row r="7" spans="1:14" s="122" customFormat="1" ht="14.45" x14ac:dyDescent="0.3">
      <c r="A7" s="132"/>
      <c r="B7" s="131"/>
      <c r="C7" s="131"/>
      <c r="D7" s="145"/>
      <c r="E7" s="180"/>
      <c r="F7" s="131"/>
      <c r="G7" s="131"/>
      <c r="H7" s="131"/>
      <c r="I7" s="131"/>
      <c r="J7" s="131"/>
      <c r="K7" s="131"/>
      <c r="L7" s="180"/>
    </row>
    <row r="8" spans="1:14" s="122" customFormat="1" ht="14.45" x14ac:dyDescent="0.3">
      <c r="A8" s="132"/>
      <c r="B8" s="131"/>
      <c r="C8" s="131"/>
      <c r="D8" s="145"/>
      <c r="E8" s="180"/>
      <c r="F8" s="131"/>
      <c r="G8" s="131"/>
      <c r="H8" s="131"/>
      <c r="I8" s="131"/>
      <c r="J8" s="131"/>
      <c r="K8" s="131"/>
      <c r="L8" s="181"/>
    </row>
    <row r="9" spans="1:14" s="122" customFormat="1" ht="14.45" x14ac:dyDescent="0.3">
      <c r="A9" s="132"/>
      <c r="B9" s="131"/>
      <c r="C9" s="131"/>
      <c r="D9" s="145"/>
      <c r="E9" s="180"/>
      <c r="F9" s="131"/>
      <c r="G9" s="131"/>
      <c r="H9" s="131"/>
      <c r="I9" s="131"/>
      <c r="J9" s="131"/>
      <c r="K9" s="131"/>
      <c r="L9" s="180"/>
    </row>
    <row r="10" spans="1:14" s="122" customFormat="1" ht="15.6" customHeight="1" x14ac:dyDescent="0.3">
      <c r="A10" s="132"/>
      <c r="B10" s="131"/>
      <c r="C10" s="131"/>
      <c r="D10" s="145"/>
      <c r="E10" s="180"/>
      <c r="F10" s="131"/>
      <c r="G10" s="131"/>
      <c r="H10" s="131"/>
      <c r="I10" s="131"/>
      <c r="J10" s="131"/>
      <c r="K10" s="131"/>
      <c r="L10" s="181"/>
    </row>
    <row r="11" spans="1:14" s="122" customFormat="1" ht="8.4499999999999993" customHeight="1" x14ac:dyDescent="0.3">
      <c r="A11" s="132"/>
      <c r="L11" s="131"/>
    </row>
    <row r="12" spans="1:14" ht="14.45" x14ac:dyDescent="0.3">
      <c r="L12" s="94"/>
      <c r="M12" s="1"/>
    </row>
    <row r="13" spans="1:14" ht="14.45" x14ac:dyDescent="0.3">
      <c r="B13" s="94"/>
      <c r="C13" s="19"/>
      <c r="D13" s="6"/>
      <c r="E13" s="6"/>
      <c r="F13" s="94"/>
      <c r="G13" s="94"/>
      <c r="H13" s="6"/>
      <c r="I13" s="94"/>
      <c r="K13" s="94"/>
      <c r="L13" s="94"/>
    </row>
    <row r="14" spans="1:14" s="177" customFormat="1" ht="14.45" x14ac:dyDescent="0.3">
      <c r="A14" s="113"/>
      <c r="C14" s="112"/>
      <c r="D14" s="178"/>
      <c r="E14" s="179"/>
      <c r="F14" s="179"/>
      <c r="G14" s="179"/>
      <c r="H14" s="179"/>
      <c r="L14" s="112"/>
    </row>
    <row r="15" spans="1:14" s="177" customFormat="1" ht="14.45" x14ac:dyDescent="0.3">
      <c r="A15" s="113"/>
      <c r="C15" s="112"/>
      <c r="D15" s="178"/>
      <c r="E15" s="179"/>
      <c r="F15" s="179"/>
      <c r="G15" s="179"/>
      <c r="H15" s="179"/>
      <c r="L15" s="112"/>
    </row>
    <row r="16" spans="1:14" s="177" customFormat="1" ht="14.45" x14ac:dyDescent="0.3">
      <c r="A16" s="113"/>
      <c r="C16" s="112"/>
      <c r="D16" s="180"/>
      <c r="E16" s="181"/>
      <c r="F16" s="181"/>
      <c r="G16" s="181"/>
      <c r="H16" s="180"/>
      <c r="L16" s="112"/>
    </row>
    <row r="17" spans="1:14" s="177" customFormat="1" ht="14.45" x14ac:dyDescent="0.3">
      <c r="A17" s="113"/>
      <c r="C17" s="112"/>
      <c r="D17" s="180"/>
      <c r="E17" s="181"/>
      <c r="F17" s="181"/>
      <c r="G17" s="181"/>
      <c r="H17" s="180"/>
      <c r="L17" s="112"/>
    </row>
    <row r="18" spans="1:14" s="177" customFormat="1" ht="14.45" x14ac:dyDescent="0.3">
      <c r="A18" s="113"/>
      <c r="C18" s="112"/>
      <c r="L18" s="112"/>
    </row>
    <row r="19" spans="1:14" s="100" customFormat="1" ht="15" customHeight="1" x14ac:dyDescent="0.3">
      <c r="A19" s="113"/>
      <c r="B19" s="112"/>
      <c r="C19" s="112"/>
      <c r="D19" s="113"/>
      <c r="E19" s="113"/>
      <c r="F19" s="113"/>
      <c r="G19" s="112"/>
      <c r="H19" s="113"/>
      <c r="I19" s="112"/>
      <c r="J19" s="112"/>
      <c r="K19" s="113"/>
      <c r="L19" s="113"/>
      <c r="M19" s="114"/>
      <c r="N19" s="114"/>
    </row>
    <row r="20" spans="1:14" s="177" customFormat="1" ht="14.45" x14ac:dyDescent="0.3">
      <c r="A20" s="97"/>
      <c r="B20" s="100"/>
      <c r="C20" s="112"/>
      <c r="D20" s="113"/>
      <c r="E20" s="113"/>
      <c r="F20" s="113"/>
      <c r="G20" s="112"/>
      <c r="H20" s="113"/>
      <c r="I20" s="112"/>
      <c r="J20" s="114"/>
      <c r="K20" s="113"/>
      <c r="L20" s="114"/>
    </row>
    <row r="21" spans="1:14" s="100" customFormat="1" ht="15" customHeight="1" x14ac:dyDescent="0.3">
      <c r="A21" s="113"/>
      <c r="B21" s="177"/>
      <c r="C21" s="112"/>
      <c r="D21" s="177"/>
      <c r="E21" s="177"/>
      <c r="F21" s="177"/>
      <c r="G21" s="177"/>
      <c r="H21" s="177"/>
      <c r="I21" s="177"/>
      <c r="J21" s="177"/>
      <c r="K21" s="177"/>
      <c r="L21" s="112"/>
      <c r="M21" s="114"/>
      <c r="N21" s="114"/>
    </row>
    <row r="22" spans="1:14" s="177" customFormat="1" x14ac:dyDescent="0.25">
      <c r="A22" s="97"/>
      <c r="B22" s="100"/>
      <c r="C22" s="112"/>
      <c r="D22" s="113"/>
      <c r="E22" s="96"/>
      <c r="F22" s="113"/>
      <c r="G22" s="112"/>
      <c r="H22" s="113"/>
      <c r="I22" s="112"/>
      <c r="J22" s="100"/>
      <c r="K22" s="113"/>
      <c r="L22" s="112"/>
    </row>
    <row r="23" spans="1:14" s="100" customFormat="1" ht="15" customHeight="1" x14ac:dyDescent="0.25">
      <c r="A23" s="113"/>
      <c r="B23" s="112"/>
      <c r="C23" s="112"/>
      <c r="D23" s="113"/>
      <c r="E23" s="113"/>
      <c r="F23" s="113"/>
      <c r="G23" s="112"/>
      <c r="H23" s="113"/>
      <c r="I23" s="112"/>
      <c r="J23" s="112"/>
      <c r="K23" s="113"/>
      <c r="L23" s="113"/>
      <c r="M23" s="114"/>
      <c r="N23" s="114"/>
    </row>
    <row r="24" spans="1:14" s="177" customFormat="1" x14ac:dyDescent="0.25">
      <c r="A24" s="97"/>
      <c r="B24" s="100"/>
      <c r="C24" s="112"/>
      <c r="D24" s="113"/>
      <c r="E24" s="113"/>
      <c r="F24" s="113"/>
      <c r="G24" s="112"/>
      <c r="H24" s="113"/>
      <c r="I24" s="112"/>
      <c r="J24" s="100"/>
      <c r="K24" s="113"/>
      <c r="L24" s="114"/>
    </row>
    <row r="25" spans="1:14" s="177" customFormat="1" x14ac:dyDescent="0.25">
      <c r="A25" s="113"/>
      <c r="C25" s="112"/>
      <c r="L25" s="112"/>
    </row>
    <row r="26" spans="1:14" s="177" customFormat="1" x14ac:dyDescent="0.25">
      <c r="A26" s="113"/>
      <c r="C26" s="112"/>
      <c r="L26" s="112"/>
    </row>
    <row r="27" spans="1:14" s="177" customFormat="1" x14ac:dyDescent="0.25">
      <c r="A27" s="113"/>
      <c r="C27" s="112"/>
      <c r="L27" s="112"/>
    </row>
    <row r="28" spans="1:14" s="177" customFormat="1" x14ac:dyDescent="0.25">
      <c r="A28" s="113"/>
      <c r="C28" s="112"/>
      <c r="L28" s="112"/>
    </row>
    <row r="29" spans="1:14" x14ac:dyDescent="0.25">
      <c r="C29" s="19"/>
    </row>
    <row r="30" spans="1:14" x14ac:dyDescent="0.25">
      <c r="C30" s="19"/>
    </row>
    <row r="31" spans="1:14" x14ac:dyDescent="0.25">
      <c r="C31" s="19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O11"/>
  <sheetViews>
    <sheetView topLeftCell="B1" workbookViewId="0">
      <pane ySplit="4" topLeftCell="A5" activePane="bottomLeft" state="frozen"/>
      <selection pane="bottomLeft" activeCell="N7" sqref="N7"/>
    </sheetView>
  </sheetViews>
  <sheetFormatPr defaultRowHeight="15" x14ac:dyDescent="0.25"/>
  <cols>
    <col min="4" max="4" width="14.42578125" customWidth="1"/>
    <col min="5" max="5" width="36" customWidth="1"/>
    <col min="6" max="6" width="18" customWidth="1"/>
    <col min="7" max="7" width="13" customWidth="1"/>
    <col min="8" max="8" width="18.28515625" customWidth="1"/>
    <col min="9" max="9" width="12.140625" customWidth="1"/>
    <col min="10" max="10" width="13.5703125" customWidth="1"/>
    <col min="11" max="11" width="29.7109375" customWidth="1"/>
    <col min="14" max="14" width="24.7109375" customWidth="1"/>
  </cols>
  <sheetData>
    <row r="1" spans="1:15" x14ac:dyDescent="0.25">
      <c r="A1" s="6"/>
      <c r="C1" s="18"/>
      <c r="H1" s="539"/>
      <c r="I1" s="539"/>
      <c r="K1" s="539"/>
      <c r="L1" s="539"/>
    </row>
    <row r="2" spans="1:15" x14ac:dyDescent="0.25">
      <c r="A2" s="6"/>
      <c r="B2" s="539" t="s">
        <v>21</v>
      </c>
      <c r="C2" s="539" t="s">
        <v>119</v>
      </c>
      <c r="H2" s="539"/>
      <c r="I2" s="539"/>
      <c r="K2" s="539"/>
      <c r="L2" s="539"/>
    </row>
    <row r="3" spans="1:15" ht="77.25" x14ac:dyDescent="0.25">
      <c r="A3" s="6"/>
      <c r="B3" s="77" t="s">
        <v>117</v>
      </c>
      <c r="C3" s="76" t="s">
        <v>118</v>
      </c>
      <c r="H3" s="539"/>
      <c r="I3" s="539"/>
      <c r="K3" s="539"/>
      <c r="L3" s="539"/>
    </row>
    <row r="4" spans="1:15" s="2" customFormat="1" ht="15" customHeight="1" x14ac:dyDescent="0.25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2" t="s">
        <v>12</v>
      </c>
      <c r="O4" s="4" t="s">
        <v>13</v>
      </c>
    </row>
    <row r="5" spans="1:15" s="161" customFormat="1" ht="15" customHeight="1" x14ac:dyDescent="0.25">
      <c r="A5" s="160" t="s">
        <v>22</v>
      </c>
      <c r="B5" s="161">
        <v>1</v>
      </c>
      <c r="C5" s="103">
        <v>1</v>
      </c>
      <c r="D5" s="104" t="s">
        <v>797</v>
      </c>
      <c r="E5" s="162"/>
      <c r="F5" s="103" t="s">
        <v>24</v>
      </c>
      <c r="G5" s="103">
        <v>1024</v>
      </c>
      <c r="H5" s="103" t="s">
        <v>798</v>
      </c>
      <c r="I5" s="103" t="s">
        <v>26</v>
      </c>
      <c r="J5" s="163"/>
      <c r="K5" s="103" t="s">
        <v>18</v>
      </c>
      <c r="L5" s="103" t="s">
        <v>799</v>
      </c>
      <c r="M5" s="163"/>
      <c r="N5" s="163" t="s">
        <v>799</v>
      </c>
    </row>
    <row r="6" spans="1:15" s="535" customFormat="1" x14ac:dyDescent="0.25">
      <c r="A6" s="535" t="s">
        <v>22</v>
      </c>
      <c r="B6" s="213">
        <v>14</v>
      </c>
      <c r="C6" s="213">
        <v>1</v>
      </c>
      <c r="D6" s="535" t="s">
        <v>800</v>
      </c>
      <c r="E6" s="226" t="s">
        <v>869</v>
      </c>
      <c r="F6" s="213" t="s">
        <v>233</v>
      </c>
      <c r="G6" s="213" t="s">
        <v>21</v>
      </c>
      <c r="H6" s="213" t="s">
        <v>798</v>
      </c>
      <c r="I6" s="213" t="s">
        <v>26</v>
      </c>
      <c r="K6" s="213" t="s">
        <v>86</v>
      </c>
      <c r="L6" s="213">
        <v>0</v>
      </c>
      <c r="N6" s="535" t="s">
        <v>870</v>
      </c>
    </row>
    <row r="7" spans="1:15" s="177" customFormat="1" x14ac:dyDescent="0.25">
      <c r="B7" s="101"/>
      <c r="C7" s="101"/>
      <c r="D7" s="152"/>
      <c r="E7" s="548"/>
      <c r="F7" s="101"/>
      <c r="G7" s="101"/>
      <c r="H7" s="101"/>
      <c r="I7" s="101"/>
      <c r="K7" s="101"/>
      <c r="L7" s="112"/>
      <c r="N7"/>
      <c r="O7"/>
    </row>
    <row r="8" spans="1:15" s="177" customFormat="1" x14ac:dyDescent="0.25">
      <c r="B8" s="101"/>
      <c r="C8" s="101"/>
      <c r="D8" s="152"/>
      <c r="F8" s="101"/>
      <c r="G8" s="101"/>
      <c r="H8" s="101"/>
      <c r="I8" s="101"/>
      <c r="K8" s="101"/>
      <c r="L8" s="112"/>
      <c r="N8"/>
      <c r="O8"/>
    </row>
    <row r="9" spans="1:15" s="177" customFormat="1" x14ac:dyDescent="0.25">
      <c r="B9" s="101"/>
      <c r="C9" s="101"/>
      <c r="D9" s="152"/>
      <c r="F9" s="101"/>
      <c r="G9" s="101"/>
      <c r="H9" s="101"/>
      <c r="I9" s="101"/>
      <c r="K9" s="101"/>
      <c r="L9" s="112"/>
      <c r="N9"/>
      <c r="O9"/>
    </row>
    <row r="10" spans="1:15" s="177" customFormat="1" x14ac:dyDescent="0.25">
      <c r="B10" s="101"/>
      <c r="C10" s="101"/>
      <c r="D10" s="152"/>
      <c r="F10" s="101"/>
      <c r="G10" s="101"/>
      <c r="H10" s="101"/>
      <c r="I10" s="101"/>
      <c r="K10" s="101"/>
      <c r="L10" s="112"/>
      <c r="N10"/>
      <c r="O10"/>
    </row>
    <row r="11" spans="1:15" s="177" customFormat="1" x14ac:dyDescent="0.25">
      <c r="B11" s="101"/>
      <c r="C11" s="101"/>
      <c r="D11" s="152"/>
      <c r="E11" s="548"/>
      <c r="F11" s="101"/>
      <c r="G11" s="101"/>
      <c r="H11" s="101"/>
      <c r="I11" s="101"/>
      <c r="K11" s="101"/>
      <c r="L11" s="112"/>
      <c r="N11"/>
      <c r="O11"/>
    </row>
  </sheetData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2:L30"/>
  <sheetViews>
    <sheetView topLeftCell="B1" workbookViewId="0">
      <pane ySplit="4" topLeftCell="A5" activePane="bottomLeft" state="frozen"/>
      <selection pane="bottomLeft" activeCell="I11" sqref="I11"/>
    </sheetView>
  </sheetViews>
  <sheetFormatPr defaultRowHeight="15" x14ac:dyDescent="0.25"/>
  <cols>
    <col min="1" max="1" width="13.7109375" style="6" customWidth="1"/>
    <col min="2" max="2" width="7.140625" customWidth="1"/>
    <col min="3" max="3" width="5.5703125" customWidth="1"/>
    <col min="4" max="4" width="14.7109375" customWidth="1"/>
    <col min="5" max="5" width="16.5703125" customWidth="1"/>
    <col min="6" max="6" width="11" customWidth="1"/>
    <col min="7" max="7" width="13.28515625" customWidth="1"/>
    <col min="8" max="8" width="11.28515625" customWidth="1"/>
    <col min="9" max="9" width="13.42578125" customWidth="1"/>
    <col min="10" max="10" width="103.7109375" style="1" customWidth="1"/>
    <col min="11" max="11" width="28.42578125" customWidth="1"/>
    <col min="12" max="12" width="6.28515625" customWidth="1"/>
  </cols>
  <sheetData>
    <row r="2" spans="1:12" ht="14.45" x14ac:dyDescent="0.3">
      <c r="B2" s="85" t="s">
        <v>21</v>
      </c>
      <c r="C2" s="85" t="s">
        <v>119</v>
      </c>
    </row>
    <row r="3" spans="1:12" ht="77.25" x14ac:dyDescent="0.25">
      <c r="B3" s="77" t="s">
        <v>117</v>
      </c>
      <c r="C3" s="76" t="s">
        <v>118</v>
      </c>
    </row>
    <row r="4" spans="1:12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0" customFormat="1" ht="15" customHeight="1" x14ac:dyDescent="0.25">
      <c r="A5" s="9" t="s">
        <v>22</v>
      </c>
      <c r="B5" s="10">
        <v>1</v>
      </c>
      <c r="C5" s="10">
        <v>1</v>
      </c>
      <c r="D5" s="9" t="s">
        <v>73</v>
      </c>
      <c r="E5" s="6" t="s">
        <v>24</v>
      </c>
      <c r="F5" s="41">
        <v>1024</v>
      </c>
      <c r="G5" s="41" t="s">
        <v>44</v>
      </c>
      <c r="H5" s="41" t="s">
        <v>26</v>
      </c>
      <c r="I5" s="34" t="s">
        <v>18</v>
      </c>
      <c r="J5" s="6" t="s">
        <v>45</v>
      </c>
      <c r="K5" s="6" t="s">
        <v>45</v>
      </c>
      <c r="L5" s="12"/>
    </row>
    <row r="7" spans="1:12" x14ac:dyDescent="0.25">
      <c r="B7" s="61" t="s">
        <v>114</v>
      </c>
      <c r="C7" s="62" t="s">
        <v>115</v>
      </c>
      <c r="D7" s="34" t="s">
        <v>46</v>
      </c>
      <c r="E7" s="6" t="s">
        <v>24</v>
      </c>
      <c r="F7" s="41">
        <v>1024</v>
      </c>
      <c r="G7" s="41" t="s">
        <v>44</v>
      </c>
      <c r="H7" s="41" t="s">
        <v>26</v>
      </c>
      <c r="I7" s="34" t="s">
        <v>18</v>
      </c>
      <c r="J7" t="s">
        <v>121</v>
      </c>
      <c r="K7" s="6" t="s">
        <v>122</v>
      </c>
    </row>
    <row r="8" spans="1:12" x14ac:dyDescent="0.25">
      <c r="B8" s="10"/>
      <c r="C8" s="10"/>
      <c r="D8" s="34" t="s">
        <v>46</v>
      </c>
      <c r="E8" s="6" t="s">
        <v>24</v>
      </c>
      <c r="F8" s="41">
        <v>1024</v>
      </c>
      <c r="G8" s="41" t="s">
        <v>44</v>
      </c>
      <c r="H8" s="41" t="s">
        <v>26</v>
      </c>
      <c r="I8" s="34" t="s">
        <v>18</v>
      </c>
      <c r="J8" t="s">
        <v>123</v>
      </c>
      <c r="K8" s="6" t="s">
        <v>124</v>
      </c>
    </row>
    <row r="9" spans="1:12" s="66" customFormat="1" ht="6.75" customHeight="1" x14ac:dyDescent="0.3">
      <c r="A9" s="60"/>
      <c r="B9" s="44"/>
      <c r="C9" s="44"/>
      <c r="D9" s="60"/>
      <c r="E9" s="60"/>
      <c r="F9" s="59"/>
      <c r="G9" s="59"/>
      <c r="H9" s="59"/>
      <c r="K9" s="60"/>
    </row>
    <row r="10" spans="1:12" thickBot="1" x14ac:dyDescent="0.35">
      <c r="I10" s="18"/>
    </row>
    <row r="11" spans="1:12" ht="45.75" thickBot="1" x14ac:dyDescent="0.3">
      <c r="B11" s="72" t="s">
        <v>96</v>
      </c>
      <c r="C11" s="73" t="s">
        <v>97</v>
      </c>
      <c r="D11" s="73" t="s">
        <v>98</v>
      </c>
      <c r="E11" s="74" t="s">
        <v>99</v>
      </c>
      <c r="F11" s="73" t="s">
        <v>100</v>
      </c>
      <c r="H11" s="18"/>
      <c r="I11" s="63" t="s">
        <v>111</v>
      </c>
      <c r="J11"/>
    </row>
    <row r="12" spans="1:12" ht="30.75" thickBot="1" x14ac:dyDescent="0.3">
      <c r="B12" s="67" t="s">
        <v>90</v>
      </c>
      <c r="C12" s="68" t="s">
        <v>91</v>
      </c>
      <c r="D12" s="68" t="s">
        <v>106</v>
      </c>
      <c r="E12" s="68" t="s">
        <v>92</v>
      </c>
      <c r="F12" s="68" t="s">
        <v>93</v>
      </c>
      <c r="H12" s="18"/>
      <c r="I12" s="63" t="s">
        <v>112</v>
      </c>
      <c r="J12"/>
    </row>
    <row r="13" spans="1:12" ht="30.75" thickBot="1" x14ac:dyDescent="0.3">
      <c r="B13" s="67" t="s">
        <v>90</v>
      </c>
      <c r="C13" s="68" t="s">
        <v>94</v>
      </c>
      <c r="D13" s="68" t="s">
        <v>107</v>
      </c>
      <c r="E13" s="68" t="s">
        <v>92</v>
      </c>
      <c r="F13" s="68" t="s">
        <v>93</v>
      </c>
      <c r="H13" s="18"/>
      <c r="I13" s="63" t="s">
        <v>113</v>
      </c>
      <c r="J13"/>
    </row>
    <row r="14" spans="1:12" ht="45.75" thickBot="1" x14ac:dyDescent="0.3">
      <c r="B14" s="67" t="s">
        <v>95</v>
      </c>
      <c r="C14" s="68" t="s">
        <v>91</v>
      </c>
      <c r="D14" s="69" t="s">
        <v>108</v>
      </c>
      <c r="E14" s="68" t="s">
        <v>92</v>
      </c>
      <c r="F14" s="68" t="s">
        <v>93</v>
      </c>
      <c r="H14" s="18"/>
      <c r="I14" s="1"/>
      <c r="J14"/>
    </row>
    <row r="15" spans="1:12" ht="45.75" thickBot="1" x14ac:dyDescent="0.3">
      <c r="B15" s="65" t="s">
        <v>95</v>
      </c>
      <c r="C15" s="70" t="s">
        <v>94</v>
      </c>
      <c r="D15" s="71" t="s">
        <v>110</v>
      </c>
      <c r="E15" s="70" t="s">
        <v>92</v>
      </c>
      <c r="F15" s="70" t="s">
        <v>93</v>
      </c>
      <c r="H15" s="38"/>
      <c r="I15" s="1"/>
      <c r="J15"/>
    </row>
    <row r="16" spans="1:12" x14ac:dyDescent="0.25">
      <c r="I16" s="38"/>
    </row>
    <row r="17" spans="1:12" s="23" customFormat="1" x14ac:dyDescent="0.25">
      <c r="A17" s="21"/>
      <c r="B17" s="22" t="s">
        <v>72</v>
      </c>
      <c r="C17" s="22"/>
      <c r="D17" s="21" t="s">
        <v>46</v>
      </c>
      <c r="E17" s="21" t="s">
        <v>24</v>
      </c>
      <c r="F17" s="21">
        <v>1024</v>
      </c>
      <c r="G17" s="21" t="s">
        <v>44</v>
      </c>
      <c r="H17" s="21" t="s">
        <v>26</v>
      </c>
      <c r="I17" s="21" t="s">
        <v>18</v>
      </c>
      <c r="J17" s="21" t="s">
        <v>76</v>
      </c>
      <c r="K17" s="23" t="s">
        <v>75</v>
      </c>
    </row>
    <row r="18" spans="1:12" x14ac:dyDescent="0.25">
      <c r="I18" s="38"/>
    </row>
    <row r="19" spans="1:12" s="10" customFormat="1" ht="15" customHeight="1" x14ac:dyDescent="0.25">
      <c r="A19" s="9"/>
      <c r="B19" s="10" t="s">
        <v>72</v>
      </c>
      <c r="D19" s="11" t="s">
        <v>80</v>
      </c>
      <c r="E19" s="34" t="s">
        <v>24</v>
      </c>
      <c r="F19" s="34">
        <v>1024</v>
      </c>
      <c r="G19" s="34" t="s">
        <v>44</v>
      </c>
      <c r="H19" s="34" t="s">
        <v>26</v>
      </c>
      <c r="I19" s="18"/>
      <c r="J19" s="13" t="s">
        <v>109</v>
      </c>
      <c r="K19" s="13" t="s">
        <v>81</v>
      </c>
      <c r="L19" s="12"/>
    </row>
    <row r="20" spans="1:12" s="23" customFormat="1" x14ac:dyDescent="0.25">
      <c r="A20" s="21"/>
      <c r="B20" s="22" t="s">
        <v>72</v>
      </c>
      <c r="C20" s="22"/>
      <c r="D20" s="21" t="s">
        <v>46</v>
      </c>
      <c r="E20" s="21" t="s">
        <v>24</v>
      </c>
      <c r="F20" s="21">
        <v>1024</v>
      </c>
      <c r="G20" s="21" t="s">
        <v>44</v>
      </c>
      <c r="H20" s="21" t="s">
        <v>26</v>
      </c>
      <c r="I20" s="18"/>
      <c r="J20" s="21" t="s">
        <v>76</v>
      </c>
      <c r="K20" s="23" t="s">
        <v>75</v>
      </c>
    </row>
    <row r="21" spans="1:12" s="23" customFormat="1" x14ac:dyDescent="0.25">
      <c r="A21" s="21"/>
      <c r="B21" s="22" t="s">
        <v>72</v>
      </c>
      <c r="C21" s="22"/>
      <c r="D21" s="21" t="s">
        <v>46</v>
      </c>
      <c r="E21" s="21" t="s">
        <v>24</v>
      </c>
      <c r="F21" s="21">
        <v>1024</v>
      </c>
      <c r="G21" s="21" t="s">
        <v>44</v>
      </c>
      <c r="H21" s="21" t="s">
        <v>26</v>
      </c>
      <c r="I21" s="18"/>
      <c r="J21" s="21" t="s">
        <v>76</v>
      </c>
      <c r="K21" s="23" t="s">
        <v>75</v>
      </c>
    </row>
    <row r="22" spans="1:12" x14ac:dyDescent="0.25">
      <c r="I22" s="18"/>
    </row>
    <row r="23" spans="1:12" x14ac:dyDescent="0.25">
      <c r="I23" s="38"/>
    </row>
    <row r="24" spans="1:12" x14ac:dyDescent="0.25">
      <c r="I24" s="38"/>
    </row>
    <row r="25" spans="1:12" x14ac:dyDescent="0.25">
      <c r="I25" s="38"/>
    </row>
    <row r="26" spans="1:12" x14ac:dyDescent="0.25">
      <c r="I26" s="38"/>
    </row>
    <row r="27" spans="1:12" x14ac:dyDescent="0.25">
      <c r="I27" s="38"/>
    </row>
    <row r="28" spans="1:12" x14ac:dyDescent="0.25">
      <c r="I28" s="38"/>
    </row>
    <row r="29" spans="1:12" x14ac:dyDescent="0.25">
      <c r="I29" s="38"/>
    </row>
    <row r="30" spans="1:12" x14ac:dyDescent="0.25">
      <c r="I30" s="18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L10"/>
  <sheetViews>
    <sheetView zoomScale="85" zoomScaleNormal="85" workbookViewId="0">
      <selection activeCell="J9" sqref="J9"/>
    </sheetView>
  </sheetViews>
  <sheetFormatPr defaultRowHeight="15" x14ac:dyDescent="0.25"/>
  <cols>
    <col min="2" max="2" width="3.7109375" customWidth="1"/>
    <col min="3" max="3" width="3.5703125" customWidth="1"/>
    <col min="4" max="4" width="11.7109375" customWidth="1"/>
    <col min="5" max="5" width="15.7109375" customWidth="1"/>
    <col min="6" max="6" width="8.28515625" style="526" customWidth="1"/>
    <col min="7" max="7" width="18.7109375" customWidth="1"/>
    <col min="10" max="10" width="87.42578125" customWidth="1"/>
    <col min="11" max="11" width="27.28515625" customWidth="1"/>
  </cols>
  <sheetData>
    <row r="1" spans="1:12" ht="12.6" customHeight="1" x14ac:dyDescent="0.3">
      <c r="A1" s="6"/>
      <c r="B1" s="525"/>
      <c r="C1" s="19"/>
      <c r="I1" s="525"/>
      <c r="J1" s="525"/>
    </row>
    <row r="2" spans="1:12" ht="19.149999999999999" customHeight="1" x14ac:dyDescent="0.3">
      <c r="A2" s="6"/>
      <c r="B2" s="525" t="s">
        <v>21</v>
      </c>
      <c r="C2" s="525" t="s">
        <v>119</v>
      </c>
      <c r="I2" s="525"/>
      <c r="J2" s="525"/>
    </row>
    <row r="3" spans="1:12" ht="96.6" customHeight="1" x14ac:dyDescent="0.25">
      <c r="A3" s="6"/>
      <c r="B3" s="77" t="s">
        <v>117</v>
      </c>
      <c r="C3" s="76" t="s">
        <v>118</v>
      </c>
      <c r="I3" s="525"/>
      <c r="J3" s="525"/>
    </row>
    <row r="4" spans="1:12" s="2" customFormat="1" ht="16.149999999999999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02" customFormat="1" ht="16.899999999999999" customHeight="1" x14ac:dyDescent="0.25">
      <c r="A5" s="102" t="s">
        <v>22</v>
      </c>
      <c r="B5" s="103">
        <v>1</v>
      </c>
      <c r="C5" s="103">
        <v>1</v>
      </c>
      <c r="D5" s="102" t="s">
        <v>735</v>
      </c>
      <c r="E5" s="102" t="s">
        <v>24</v>
      </c>
      <c r="F5" s="103">
        <v>1024</v>
      </c>
      <c r="G5" s="102" t="s">
        <v>736</v>
      </c>
      <c r="H5" s="102" t="s">
        <v>26</v>
      </c>
      <c r="I5" s="103">
        <v>0</v>
      </c>
      <c r="J5" s="102" t="s">
        <v>737</v>
      </c>
      <c r="K5" s="102" t="s">
        <v>737</v>
      </c>
    </row>
    <row r="6" spans="1:12" s="211" customFormat="1" ht="142.15" customHeight="1" x14ac:dyDescent="0.25">
      <c r="A6" s="211" t="s">
        <v>22</v>
      </c>
      <c r="B6" s="210">
        <v>1</v>
      </c>
      <c r="C6" s="210">
        <v>1</v>
      </c>
      <c r="D6" s="211" t="s">
        <v>735</v>
      </c>
      <c r="E6" s="211" t="s">
        <v>24</v>
      </c>
      <c r="F6" s="210">
        <v>1024</v>
      </c>
      <c r="G6" s="211" t="s">
        <v>736</v>
      </c>
      <c r="H6" s="211" t="s">
        <v>26</v>
      </c>
      <c r="I6" s="210">
        <v>0</v>
      </c>
      <c r="J6" s="527" t="s">
        <v>861</v>
      </c>
      <c r="K6" s="279" t="s">
        <v>738</v>
      </c>
    </row>
    <row r="7" spans="1:12" s="340" customFormat="1" ht="13.15" customHeight="1" x14ac:dyDescent="0.25">
      <c r="A7" s="340" t="s">
        <v>22</v>
      </c>
      <c r="B7" s="275">
        <v>1</v>
      </c>
      <c r="C7" s="275">
        <v>1</v>
      </c>
      <c r="D7" s="340" t="s">
        <v>735</v>
      </c>
      <c r="E7" s="340" t="s">
        <v>24</v>
      </c>
      <c r="F7" s="275">
        <v>1024</v>
      </c>
      <c r="G7" s="340" t="s">
        <v>736</v>
      </c>
      <c r="H7" s="340" t="s">
        <v>26</v>
      </c>
      <c r="I7" s="275">
        <v>0</v>
      </c>
      <c r="J7" s="528" t="s">
        <v>740</v>
      </c>
      <c r="K7" s="340" t="s">
        <v>739</v>
      </c>
    </row>
    <row r="8" spans="1:12" s="516" customFormat="1" ht="13.15" customHeight="1" x14ac:dyDescent="0.25">
      <c r="A8" s="516" t="s">
        <v>22</v>
      </c>
      <c r="B8" s="514">
        <v>1</v>
      </c>
      <c r="C8" s="514">
        <v>1</v>
      </c>
      <c r="D8" s="516" t="s">
        <v>735</v>
      </c>
      <c r="E8" s="516" t="s">
        <v>24</v>
      </c>
      <c r="F8" s="514">
        <v>1024</v>
      </c>
      <c r="G8" s="516" t="s">
        <v>736</v>
      </c>
      <c r="H8" s="516" t="s">
        <v>26</v>
      </c>
      <c r="I8" s="514">
        <v>0</v>
      </c>
      <c r="J8" s="529" t="s">
        <v>943</v>
      </c>
      <c r="K8" s="516" t="s">
        <v>741</v>
      </c>
    </row>
    <row r="9" spans="1:12" s="530" customFormat="1" ht="13.15" customHeight="1" x14ac:dyDescent="0.25">
      <c r="A9" s="530" t="s">
        <v>22</v>
      </c>
      <c r="B9" s="531">
        <v>1</v>
      </c>
      <c r="C9" s="531">
        <v>1</v>
      </c>
      <c r="D9" s="530" t="s">
        <v>735</v>
      </c>
      <c r="E9" s="530" t="s">
        <v>24</v>
      </c>
      <c r="F9" s="531">
        <v>1024</v>
      </c>
      <c r="G9" s="530" t="s">
        <v>736</v>
      </c>
      <c r="H9" s="530" t="s">
        <v>26</v>
      </c>
      <c r="I9" s="531">
        <v>0</v>
      </c>
      <c r="J9" s="532" t="s">
        <v>747</v>
      </c>
      <c r="K9" s="530" t="s">
        <v>742</v>
      </c>
    </row>
    <row r="10" spans="1:12" s="42" customFormat="1" ht="4.9000000000000004" customHeight="1" x14ac:dyDescent="0.25">
      <c r="F10" s="43"/>
    </row>
  </sheetData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2:N152"/>
  <sheetViews>
    <sheetView zoomScale="85" zoomScaleNormal="85" workbookViewId="0">
      <pane ySplit="4" topLeftCell="A20" activePane="bottomLeft" state="frozen"/>
      <selection pane="bottomLeft" activeCell="J60" sqref="J60"/>
    </sheetView>
  </sheetViews>
  <sheetFormatPr defaultRowHeight="15" x14ac:dyDescent="0.25"/>
  <cols>
    <col min="1" max="1" width="8.7109375" style="230" customWidth="1"/>
    <col min="2" max="3" width="8.140625" customWidth="1"/>
    <col min="4" max="4" width="21.7109375" customWidth="1"/>
    <col min="5" max="5" width="16.85546875" style="221" customWidth="1"/>
    <col min="6" max="6" width="8.140625" customWidth="1"/>
    <col min="7" max="7" width="16.7109375" customWidth="1"/>
    <col min="8" max="8" width="11.28515625" customWidth="1"/>
    <col min="9" max="9" width="9.140625" customWidth="1"/>
    <col min="10" max="10" width="118.85546875" style="1" customWidth="1"/>
    <col min="11" max="11" width="83" customWidth="1"/>
  </cols>
  <sheetData>
    <row r="2" spans="1:12" x14ac:dyDescent="0.25">
      <c r="A2" s="555"/>
      <c r="B2" s="555" t="s">
        <v>21</v>
      </c>
      <c r="C2" s="555" t="s">
        <v>119</v>
      </c>
      <c r="E2" s="555"/>
      <c r="I2" s="555" t="s">
        <v>83</v>
      </c>
      <c r="J2" s="555"/>
    </row>
    <row r="3" spans="1:12" ht="77.25" x14ac:dyDescent="0.25">
      <c r="A3" s="555"/>
      <c r="B3" s="77" t="s">
        <v>117</v>
      </c>
      <c r="C3" s="76" t="s">
        <v>118</v>
      </c>
      <c r="E3" s="555"/>
      <c r="J3" s="555"/>
    </row>
    <row r="4" spans="1:12" s="2" customFormat="1" ht="15" customHeight="1" x14ac:dyDescent="0.25"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61" customFormat="1" ht="15" customHeight="1" x14ac:dyDescent="0.25">
      <c r="A5" s="161" t="s">
        <v>22</v>
      </c>
      <c r="B5" s="161">
        <v>1</v>
      </c>
      <c r="C5" s="161">
        <v>1</v>
      </c>
      <c r="D5" s="160" t="s">
        <v>74</v>
      </c>
      <c r="E5" s="103" t="s">
        <v>24</v>
      </c>
      <c r="F5" s="103">
        <v>1024</v>
      </c>
      <c r="G5" s="104" t="s">
        <v>47</v>
      </c>
      <c r="H5" s="104" t="s">
        <v>26</v>
      </c>
      <c r="I5" s="103">
        <v>0</v>
      </c>
      <c r="J5" s="104" t="s">
        <v>48</v>
      </c>
      <c r="K5" s="104" t="s">
        <v>48</v>
      </c>
      <c r="L5" s="163"/>
    </row>
    <row r="6" spans="1:12" s="290" customFormat="1" ht="15" customHeight="1" x14ac:dyDescent="0.25">
      <c r="A6" s="500" t="s">
        <v>22</v>
      </c>
      <c r="B6" s="500">
        <v>1</v>
      </c>
      <c r="C6" s="500">
        <v>1</v>
      </c>
      <c r="D6" s="501" t="s">
        <v>157</v>
      </c>
      <c r="E6" s="188" t="s">
        <v>24</v>
      </c>
      <c r="F6" s="500">
        <v>1024</v>
      </c>
      <c r="G6" s="287" t="s">
        <v>47</v>
      </c>
      <c r="H6" s="287" t="s">
        <v>26</v>
      </c>
      <c r="I6" s="502">
        <v>0</v>
      </c>
      <c r="J6" s="498" t="s">
        <v>158</v>
      </c>
      <c r="K6" s="498" t="s">
        <v>158</v>
      </c>
      <c r="L6" s="289"/>
    </row>
    <row r="7" spans="1:12" s="290" customFormat="1" ht="15" customHeight="1" x14ac:dyDescent="0.25">
      <c r="A7" s="500" t="s">
        <v>22</v>
      </c>
      <c r="B7" s="500">
        <v>1</v>
      </c>
      <c r="C7" s="500">
        <v>1</v>
      </c>
      <c r="D7" s="501" t="s">
        <v>420</v>
      </c>
      <c r="E7" s="188" t="s">
        <v>24</v>
      </c>
      <c r="F7" s="500">
        <v>1024</v>
      </c>
      <c r="G7" s="287" t="s">
        <v>47</v>
      </c>
      <c r="H7" s="287" t="s">
        <v>26</v>
      </c>
      <c r="I7" s="502">
        <v>0</v>
      </c>
      <c r="J7" s="498" t="s">
        <v>483</v>
      </c>
      <c r="K7" s="498" t="s">
        <v>483</v>
      </c>
      <c r="L7" s="289"/>
    </row>
    <row r="8" spans="1:12" s="435" customFormat="1" ht="15" customHeight="1" x14ac:dyDescent="0.25">
      <c r="A8" s="292" t="s">
        <v>22</v>
      </c>
      <c r="B8" s="292">
        <v>2</v>
      </c>
      <c r="C8" s="292">
        <v>1</v>
      </c>
      <c r="D8" s="404" t="s">
        <v>427</v>
      </c>
      <c r="E8" s="514" t="s">
        <v>24</v>
      </c>
      <c r="F8" s="292">
        <v>1024</v>
      </c>
      <c r="G8" s="303" t="s">
        <v>47</v>
      </c>
      <c r="H8" s="303" t="s">
        <v>26</v>
      </c>
      <c r="I8" s="292">
        <v>0</v>
      </c>
      <c r="J8" s="515" t="s">
        <v>465</v>
      </c>
      <c r="K8" s="515" t="s">
        <v>597</v>
      </c>
    </row>
    <row r="9" spans="1:12" s="407" customFormat="1" x14ac:dyDescent="0.25">
      <c r="A9" s="514" t="s">
        <v>22</v>
      </c>
      <c r="B9" s="292"/>
      <c r="C9" s="292">
        <v>1</v>
      </c>
      <c r="D9" s="404" t="s">
        <v>430</v>
      </c>
      <c r="E9" s="514" t="s">
        <v>24</v>
      </c>
      <c r="F9" s="292">
        <v>1024</v>
      </c>
      <c r="G9" s="303" t="s">
        <v>47</v>
      </c>
      <c r="H9" s="303" t="s">
        <v>26</v>
      </c>
      <c r="I9" s="292">
        <v>0</v>
      </c>
      <c r="J9" s="303" t="s">
        <v>521</v>
      </c>
      <c r="K9" s="303" t="s">
        <v>598</v>
      </c>
    </row>
    <row r="10" spans="1:12" s="407" customFormat="1" x14ac:dyDescent="0.25">
      <c r="A10" s="514" t="s">
        <v>22</v>
      </c>
      <c r="B10" s="292"/>
      <c r="C10" s="292">
        <v>1</v>
      </c>
      <c r="D10" s="516" t="s">
        <v>460</v>
      </c>
      <c r="E10" s="514" t="s">
        <v>24</v>
      </c>
      <c r="F10" s="292">
        <v>1024</v>
      </c>
      <c r="G10" s="303" t="s">
        <v>47</v>
      </c>
      <c r="H10" s="303" t="s">
        <v>26</v>
      </c>
      <c r="I10" s="292">
        <v>0</v>
      </c>
      <c r="J10" s="303" t="s">
        <v>464</v>
      </c>
      <c r="K10" s="303" t="s">
        <v>605</v>
      </c>
    </row>
    <row r="11" spans="1:12" s="407" customFormat="1" x14ac:dyDescent="0.25">
      <c r="A11" s="514" t="s">
        <v>22</v>
      </c>
      <c r="B11" s="292"/>
      <c r="C11" s="292">
        <v>1</v>
      </c>
      <c r="D11" s="516" t="s">
        <v>838</v>
      </c>
      <c r="E11" s="514" t="s">
        <v>24</v>
      </c>
      <c r="F11" s="292">
        <v>1024</v>
      </c>
      <c r="G11" s="303" t="s">
        <v>47</v>
      </c>
      <c r="H11" s="303" t="s">
        <v>26</v>
      </c>
      <c r="I11" s="514">
        <v>0</v>
      </c>
      <c r="J11" s="516" t="s">
        <v>841</v>
      </c>
      <c r="K11" s="516" t="s">
        <v>842</v>
      </c>
    </row>
    <row r="12" spans="1:12" s="407" customFormat="1" x14ac:dyDescent="0.25">
      <c r="A12" s="514" t="s">
        <v>22</v>
      </c>
      <c r="B12" s="292"/>
      <c r="C12" s="292">
        <v>1</v>
      </c>
      <c r="D12" s="424" t="s">
        <v>365</v>
      </c>
      <c r="E12" s="514" t="s">
        <v>24</v>
      </c>
      <c r="F12" s="292">
        <v>1024</v>
      </c>
      <c r="G12" s="303" t="s">
        <v>47</v>
      </c>
      <c r="H12" s="303" t="s">
        <v>26</v>
      </c>
      <c r="I12" s="292">
        <v>0</v>
      </c>
      <c r="J12" s="303" t="s">
        <v>466</v>
      </c>
      <c r="K12" s="303" t="s">
        <v>603</v>
      </c>
    </row>
    <row r="13" spans="1:12" s="407" customFormat="1" x14ac:dyDescent="0.25">
      <c r="A13" s="514" t="s">
        <v>22</v>
      </c>
      <c r="B13" s="292"/>
      <c r="C13" s="292">
        <v>1</v>
      </c>
      <c r="D13" s="516" t="s">
        <v>457</v>
      </c>
      <c r="E13" s="514" t="s">
        <v>24</v>
      </c>
      <c r="F13" s="292">
        <v>1024</v>
      </c>
      <c r="G13" s="303" t="s">
        <v>47</v>
      </c>
      <c r="H13" s="303" t="s">
        <v>26</v>
      </c>
      <c r="I13" s="514">
        <v>0</v>
      </c>
      <c r="J13" s="516" t="s">
        <v>463</v>
      </c>
      <c r="K13" s="516" t="s">
        <v>604</v>
      </c>
    </row>
    <row r="14" spans="1:12" s="407" customFormat="1" x14ac:dyDescent="0.25">
      <c r="A14" s="514" t="s">
        <v>22</v>
      </c>
      <c r="B14" s="292">
        <v>3</v>
      </c>
      <c r="C14" s="292">
        <v>1</v>
      </c>
      <c r="D14" s="516" t="s">
        <v>851</v>
      </c>
      <c r="E14" s="514" t="s">
        <v>24</v>
      </c>
      <c r="F14" s="292">
        <v>1024</v>
      </c>
      <c r="G14" s="303" t="s">
        <v>47</v>
      </c>
      <c r="H14" s="303" t="s">
        <v>26</v>
      </c>
      <c r="I14" s="514">
        <v>0</v>
      </c>
      <c r="J14" s="516" t="s">
        <v>857</v>
      </c>
      <c r="K14" s="516" t="s">
        <v>858</v>
      </c>
    </row>
    <row r="15" spans="1:12" s="407" customFormat="1" x14ac:dyDescent="0.25">
      <c r="A15" s="514" t="s">
        <v>22</v>
      </c>
      <c r="B15" s="292">
        <v>2</v>
      </c>
      <c r="C15" s="292">
        <v>1</v>
      </c>
      <c r="D15" s="516" t="s">
        <v>856</v>
      </c>
      <c r="E15" s="514" t="s">
        <v>24</v>
      </c>
      <c r="F15" s="292">
        <v>1024</v>
      </c>
      <c r="G15" s="303" t="s">
        <v>47</v>
      </c>
      <c r="H15" s="303" t="s">
        <v>26</v>
      </c>
      <c r="I15" s="514">
        <v>0</v>
      </c>
      <c r="J15" s="516" t="s">
        <v>859</v>
      </c>
      <c r="K15" s="516" t="s">
        <v>860</v>
      </c>
    </row>
    <row r="16" spans="1:12" s="407" customFormat="1" x14ac:dyDescent="0.25">
      <c r="A16" s="514" t="s">
        <v>22</v>
      </c>
      <c r="B16" s="292">
        <v>1</v>
      </c>
      <c r="C16" s="292">
        <v>1</v>
      </c>
      <c r="D16" s="516" t="s">
        <v>844</v>
      </c>
      <c r="E16" s="514" t="s">
        <v>24</v>
      </c>
      <c r="F16" s="292">
        <v>1024</v>
      </c>
      <c r="G16" s="303" t="s">
        <v>47</v>
      </c>
      <c r="H16" s="303" t="s">
        <v>26</v>
      </c>
      <c r="I16" s="514">
        <v>0</v>
      </c>
      <c r="J16" s="516" t="s">
        <v>843</v>
      </c>
      <c r="K16" s="516" t="s">
        <v>847</v>
      </c>
    </row>
    <row r="17" spans="1:14" s="457" customFormat="1" x14ac:dyDescent="0.25">
      <c r="A17" s="206" t="s">
        <v>22</v>
      </c>
      <c r="B17" s="252">
        <v>1</v>
      </c>
      <c r="C17" s="252">
        <v>1</v>
      </c>
      <c r="D17" s="402" t="s">
        <v>440</v>
      </c>
      <c r="E17" s="206" t="s">
        <v>24</v>
      </c>
      <c r="F17" s="252">
        <v>1024</v>
      </c>
      <c r="G17" s="456" t="s">
        <v>47</v>
      </c>
      <c r="H17" s="456" t="s">
        <v>26</v>
      </c>
      <c r="I17" s="206">
        <v>0</v>
      </c>
      <c r="J17" s="402" t="s">
        <v>510</v>
      </c>
      <c r="K17" s="402" t="s">
        <v>732</v>
      </c>
    </row>
    <row r="18" spans="1:14" s="284" customFormat="1" x14ac:dyDescent="0.25">
      <c r="A18" s="202" t="s">
        <v>22</v>
      </c>
      <c r="B18" s="202">
        <v>1</v>
      </c>
      <c r="C18" s="202">
        <v>1</v>
      </c>
      <c r="D18" s="204" t="s">
        <v>39</v>
      </c>
      <c r="E18" s="202" t="s">
        <v>24</v>
      </c>
      <c r="F18" s="231">
        <v>1024</v>
      </c>
      <c r="G18" s="283" t="s">
        <v>47</v>
      </c>
      <c r="H18" s="283" t="s">
        <v>26</v>
      </c>
      <c r="I18" s="202">
        <v>0</v>
      </c>
      <c r="J18" s="204" t="s">
        <v>282</v>
      </c>
      <c r="K18" s="204" t="s">
        <v>606</v>
      </c>
    </row>
    <row r="19" spans="1:14" s="284" customFormat="1" x14ac:dyDescent="0.25">
      <c r="A19" s="202" t="s">
        <v>22</v>
      </c>
      <c r="B19" s="202">
        <v>1</v>
      </c>
      <c r="C19" s="202">
        <v>1</v>
      </c>
      <c r="D19" s="204" t="s">
        <v>40</v>
      </c>
      <c r="E19" s="202" t="s">
        <v>24</v>
      </c>
      <c r="F19" s="231">
        <v>1024</v>
      </c>
      <c r="G19" s="283" t="s">
        <v>47</v>
      </c>
      <c r="H19" s="283" t="s">
        <v>26</v>
      </c>
      <c r="I19" s="202">
        <v>0</v>
      </c>
      <c r="J19" s="204" t="s">
        <v>283</v>
      </c>
      <c r="K19" s="204" t="s">
        <v>607</v>
      </c>
    </row>
    <row r="20" spans="1:14" s="290" customFormat="1" ht="15" customHeight="1" x14ac:dyDescent="0.25">
      <c r="A20" s="500" t="s">
        <v>22</v>
      </c>
      <c r="B20" s="500">
        <v>1</v>
      </c>
      <c r="C20" s="188">
        <v>1</v>
      </c>
      <c r="D20" s="499" t="s">
        <v>484</v>
      </c>
      <c r="E20" s="188" t="s">
        <v>24</v>
      </c>
      <c r="F20" s="500">
        <v>1024</v>
      </c>
      <c r="G20" s="287" t="s">
        <v>47</v>
      </c>
      <c r="H20" s="287" t="s">
        <v>26</v>
      </c>
      <c r="I20" s="188">
        <v>0</v>
      </c>
      <c r="J20" s="499" t="s">
        <v>812</v>
      </c>
      <c r="K20" s="499" t="s">
        <v>815</v>
      </c>
    </row>
    <row r="21" spans="1:14" s="436" customFormat="1" x14ac:dyDescent="0.25">
      <c r="A21" s="188" t="s">
        <v>22</v>
      </c>
      <c r="B21" s="500">
        <v>1</v>
      </c>
      <c r="C21" s="188">
        <v>1</v>
      </c>
      <c r="D21" s="499" t="s">
        <v>485</v>
      </c>
      <c r="E21" s="188" t="s">
        <v>24</v>
      </c>
      <c r="F21" s="500">
        <v>1024</v>
      </c>
      <c r="G21" s="287" t="s">
        <v>47</v>
      </c>
      <c r="H21" s="287" t="s">
        <v>26</v>
      </c>
      <c r="I21" s="188">
        <v>0</v>
      </c>
      <c r="J21" s="499" t="s">
        <v>813</v>
      </c>
      <c r="K21" s="499" t="s">
        <v>816</v>
      </c>
      <c r="N21" s="290"/>
    </row>
    <row r="22" spans="1:14" s="290" customFormat="1" ht="15" customHeight="1" x14ac:dyDescent="0.25">
      <c r="A22" s="500" t="s">
        <v>22</v>
      </c>
      <c r="B22" s="500">
        <v>1</v>
      </c>
      <c r="C22" s="188">
        <v>1</v>
      </c>
      <c r="D22" s="499" t="s">
        <v>486</v>
      </c>
      <c r="E22" s="188" t="s">
        <v>24</v>
      </c>
      <c r="F22" s="500">
        <v>1024</v>
      </c>
      <c r="G22" s="287" t="s">
        <v>47</v>
      </c>
      <c r="H22" s="287" t="s">
        <v>26</v>
      </c>
      <c r="I22" s="188">
        <v>0</v>
      </c>
      <c r="J22" s="499" t="s">
        <v>814</v>
      </c>
      <c r="K22" s="499" t="s">
        <v>817</v>
      </c>
    </row>
    <row r="23" spans="1:14" s="280" customFormat="1" ht="15" customHeight="1" x14ac:dyDescent="0.25">
      <c r="A23" s="273" t="s">
        <v>22</v>
      </c>
      <c r="B23" s="273">
        <v>2</v>
      </c>
      <c r="C23" s="210">
        <v>1</v>
      </c>
      <c r="D23" s="260" t="s">
        <v>432</v>
      </c>
      <c r="E23" s="210" t="s">
        <v>24</v>
      </c>
      <c r="F23" s="273">
        <v>1024</v>
      </c>
      <c r="G23" s="279" t="s">
        <v>47</v>
      </c>
      <c r="H23" s="279" t="s">
        <v>26</v>
      </c>
      <c r="I23" s="210">
        <v>0</v>
      </c>
      <c r="J23" s="260" t="s">
        <v>511</v>
      </c>
      <c r="K23" s="260" t="s">
        <v>608</v>
      </c>
    </row>
    <row r="24" spans="1:14" s="280" customFormat="1" ht="15" customHeight="1" x14ac:dyDescent="0.25">
      <c r="A24" s="273" t="s">
        <v>22</v>
      </c>
      <c r="B24" s="273"/>
      <c r="C24" s="210">
        <v>1</v>
      </c>
      <c r="D24" s="260" t="s">
        <v>433</v>
      </c>
      <c r="E24" s="210" t="s">
        <v>24</v>
      </c>
      <c r="F24" s="273">
        <v>1024</v>
      </c>
      <c r="G24" s="279" t="s">
        <v>47</v>
      </c>
      <c r="H24" s="279" t="s">
        <v>26</v>
      </c>
      <c r="I24" s="210">
        <v>0</v>
      </c>
      <c r="J24" s="260" t="s">
        <v>512</v>
      </c>
      <c r="K24" s="260" t="s">
        <v>609</v>
      </c>
    </row>
    <row r="25" spans="1:14" s="280" customFormat="1" ht="15" customHeight="1" x14ac:dyDescent="0.25">
      <c r="A25" s="273" t="s">
        <v>22</v>
      </c>
      <c r="B25" s="273"/>
      <c r="C25" s="210">
        <v>1</v>
      </c>
      <c r="D25" s="260" t="s">
        <v>434</v>
      </c>
      <c r="E25" s="210" t="s">
        <v>24</v>
      </c>
      <c r="F25" s="273">
        <v>1024</v>
      </c>
      <c r="G25" s="279" t="s">
        <v>47</v>
      </c>
      <c r="H25" s="279" t="s">
        <v>26</v>
      </c>
      <c r="I25" s="210">
        <v>0</v>
      </c>
      <c r="J25" s="260" t="s">
        <v>513</v>
      </c>
      <c r="K25" s="260" t="s">
        <v>610</v>
      </c>
    </row>
    <row r="26" spans="1:14" s="276" customFormat="1" ht="15" customHeight="1" x14ac:dyDescent="0.25">
      <c r="A26" s="273" t="s">
        <v>22</v>
      </c>
      <c r="B26" s="273"/>
      <c r="C26" s="210"/>
      <c r="D26" s="260" t="s">
        <v>932</v>
      </c>
      <c r="E26" s="210" t="s">
        <v>24</v>
      </c>
      <c r="F26" s="273">
        <v>1024</v>
      </c>
      <c r="G26" s="279" t="s">
        <v>47</v>
      </c>
      <c r="H26" s="279" t="s">
        <v>26</v>
      </c>
      <c r="I26" s="210">
        <v>0</v>
      </c>
      <c r="J26" s="260" t="s">
        <v>933</v>
      </c>
      <c r="K26" s="260" t="s">
        <v>934</v>
      </c>
      <c r="L26" s="280"/>
    </row>
    <row r="27" spans="1:14" s="549" customFormat="1" ht="15" customHeight="1" x14ac:dyDescent="0.25">
      <c r="A27" s="273" t="s">
        <v>22</v>
      </c>
      <c r="B27" s="273"/>
      <c r="C27" s="210"/>
      <c r="D27" s="260" t="s">
        <v>895</v>
      </c>
      <c r="E27" s="210" t="s">
        <v>24</v>
      </c>
      <c r="F27" s="273">
        <v>1024</v>
      </c>
      <c r="G27" s="279" t="s">
        <v>47</v>
      </c>
      <c r="H27" s="279" t="s">
        <v>26</v>
      </c>
      <c r="I27" s="210">
        <v>0</v>
      </c>
      <c r="J27" s="260" t="s">
        <v>935</v>
      </c>
      <c r="K27" s="260" t="s">
        <v>936</v>
      </c>
      <c r="L27" s="280"/>
    </row>
    <row r="28" spans="1:14" s="292" customFormat="1" ht="15" customHeight="1" x14ac:dyDescent="0.25">
      <c r="A28" s="273" t="s">
        <v>22</v>
      </c>
      <c r="B28" s="273"/>
      <c r="C28" s="210"/>
      <c r="D28" s="260" t="s">
        <v>898</v>
      </c>
      <c r="E28" s="210" t="s">
        <v>24</v>
      </c>
      <c r="F28" s="273">
        <v>1024</v>
      </c>
      <c r="G28" s="279" t="s">
        <v>47</v>
      </c>
      <c r="H28" s="279" t="s">
        <v>26</v>
      </c>
      <c r="I28" s="210">
        <v>0</v>
      </c>
      <c r="J28" s="260" t="s">
        <v>937</v>
      </c>
      <c r="K28" s="260" t="s">
        <v>938</v>
      </c>
      <c r="L28" s="280"/>
    </row>
    <row r="29" spans="1:14" s="292" customFormat="1" ht="15" customHeight="1" x14ac:dyDescent="0.25">
      <c r="A29" s="276" t="s">
        <v>22</v>
      </c>
      <c r="B29" s="276">
        <v>1</v>
      </c>
      <c r="C29" s="275">
        <v>1</v>
      </c>
      <c r="D29" s="265" t="s">
        <v>467</v>
      </c>
      <c r="E29" s="275" t="s">
        <v>24</v>
      </c>
      <c r="F29" s="276">
        <v>1024</v>
      </c>
      <c r="G29" s="277" t="s">
        <v>47</v>
      </c>
      <c r="H29" s="277" t="s">
        <v>26</v>
      </c>
      <c r="I29" s="275">
        <v>0</v>
      </c>
      <c r="J29" s="265" t="s">
        <v>516</v>
      </c>
      <c r="K29" s="265" t="s">
        <v>611</v>
      </c>
      <c r="L29" s="276"/>
    </row>
    <row r="30" spans="1:14" s="292" customFormat="1" ht="15" customHeight="1" x14ac:dyDescent="0.25">
      <c r="A30" s="549" t="s">
        <v>22</v>
      </c>
      <c r="B30" s="549">
        <v>1</v>
      </c>
      <c r="C30" s="531">
        <v>1</v>
      </c>
      <c r="D30" s="550" t="s">
        <v>823</v>
      </c>
      <c r="E30" s="531" t="s">
        <v>24</v>
      </c>
      <c r="F30" s="549">
        <v>1024</v>
      </c>
      <c r="G30" s="551" t="s">
        <v>47</v>
      </c>
      <c r="H30" s="551" t="s">
        <v>26</v>
      </c>
      <c r="I30" s="531">
        <v>0</v>
      </c>
      <c r="J30" s="550" t="s">
        <v>825</v>
      </c>
      <c r="K30" s="550" t="s">
        <v>826</v>
      </c>
      <c r="L30" s="549"/>
    </row>
    <row r="31" spans="1:14" s="292" customFormat="1" ht="15" customHeight="1" x14ac:dyDescent="0.25">
      <c r="A31" s="292" t="s">
        <v>22</v>
      </c>
      <c r="B31" s="292">
        <v>1</v>
      </c>
      <c r="C31" s="514">
        <v>1</v>
      </c>
      <c r="D31" s="515" t="s">
        <v>413</v>
      </c>
      <c r="E31" s="514" t="s">
        <v>24</v>
      </c>
      <c r="F31" s="292">
        <v>1024</v>
      </c>
      <c r="G31" s="303" t="s">
        <v>47</v>
      </c>
      <c r="H31" s="303" t="s">
        <v>26</v>
      </c>
      <c r="I31" s="514">
        <v>0</v>
      </c>
      <c r="J31" s="515" t="s">
        <v>734</v>
      </c>
      <c r="K31" s="515" t="s">
        <v>734</v>
      </c>
    </row>
    <row r="32" spans="1:14" s="292" customFormat="1" ht="15" customHeight="1" x14ac:dyDescent="0.25">
      <c r="A32" s="292" t="s">
        <v>22</v>
      </c>
      <c r="B32" s="292">
        <v>1</v>
      </c>
      <c r="C32" s="514">
        <v>1</v>
      </c>
      <c r="D32" s="515" t="s">
        <v>442</v>
      </c>
      <c r="E32" s="514" t="s">
        <v>24</v>
      </c>
      <c r="F32" s="292">
        <v>1024</v>
      </c>
      <c r="G32" s="303" t="s">
        <v>47</v>
      </c>
      <c r="H32" s="303" t="s">
        <v>26</v>
      </c>
      <c r="I32" s="514">
        <v>0</v>
      </c>
      <c r="J32" s="515" t="s">
        <v>456</v>
      </c>
      <c r="K32" s="515" t="s">
        <v>612</v>
      </c>
    </row>
    <row r="33" spans="1:12" s="292" customFormat="1" ht="15" customHeight="1" x14ac:dyDescent="0.25">
      <c r="A33" s="292" t="s">
        <v>22</v>
      </c>
      <c r="B33" s="292">
        <v>1</v>
      </c>
      <c r="C33" s="514">
        <v>1</v>
      </c>
      <c r="D33" s="515" t="s">
        <v>560</v>
      </c>
      <c r="E33" s="514" t="s">
        <v>24</v>
      </c>
      <c r="F33" s="292">
        <v>1024</v>
      </c>
      <c r="G33" s="303" t="s">
        <v>47</v>
      </c>
      <c r="H33" s="303" t="s">
        <v>26</v>
      </c>
      <c r="I33" s="514">
        <v>0</v>
      </c>
      <c r="J33" s="515" t="s">
        <v>589</v>
      </c>
      <c r="K33" s="515" t="s">
        <v>613</v>
      </c>
    </row>
    <row r="34" spans="1:12" s="292" customFormat="1" ht="15" customHeight="1" x14ac:dyDescent="0.25">
      <c r="A34" s="292" t="s">
        <v>22</v>
      </c>
      <c r="B34" s="292">
        <v>1</v>
      </c>
      <c r="C34" s="514">
        <v>1</v>
      </c>
      <c r="D34" s="516" t="s">
        <v>482</v>
      </c>
      <c r="E34" s="514" t="s">
        <v>24</v>
      </c>
      <c r="F34" s="292">
        <v>1024</v>
      </c>
      <c r="G34" s="303" t="s">
        <v>47</v>
      </c>
      <c r="H34" s="303" t="s">
        <v>26</v>
      </c>
      <c r="I34" s="514">
        <v>0</v>
      </c>
      <c r="J34" s="516" t="s">
        <v>822</v>
      </c>
      <c r="K34" s="516" t="s">
        <v>822</v>
      </c>
    </row>
    <row r="35" spans="1:12" s="285" customFormat="1" ht="15" customHeight="1" x14ac:dyDescent="0.25">
      <c r="A35" s="292" t="s">
        <v>22</v>
      </c>
      <c r="B35" s="292">
        <v>1</v>
      </c>
      <c r="C35" s="514">
        <v>1</v>
      </c>
      <c r="D35" s="516" t="s">
        <v>646</v>
      </c>
      <c r="E35" s="514" t="s">
        <v>24</v>
      </c>
      <c r="F35" s="292">
        <v>1024</v>
      </c>
      <c r="G35" s="303" t="s">
        <v>47</v>
      </c>
      <c r="H35" s="303" t="s">
        <v>26</v>
      </c>
      <c r="I35" s="514">
        <v>0</v>
      </c>
      <c r="J35" s="492" t="s">
        <v>649</v>
      </c>
      <c r="K35" s="492" t="s">
        <v>650</v>
      </c>
      <c r="L35" s="292"/>
    </row>
    <row r="36" spans="1:12" s="285" customFormat="1" ht="15" customHeight="1" x14ac:dyDescent="0.25">
      <c r="A36" s="292" t="s">
        <v>22</v>
      </c>
      <c r="B36" s="292">
        <v>1</v>
      </c>
      <c r="C36" s="514">
        <v>1</v>
      </c>
      <c r="D36" s="516" t="s">
        <v>591</v>
      </c>
      <c r="E36" s="514" t="s">
        <v>24</v>
      </c>
      <c r="F36" s="292">
        <v>1024</v>
      </c>
      <c r="G36" s="303" t="s">
        <v>47</v>
      </c>
      <c r="H36" s="303" t="s">
        <v>26</v>
      </c>
      <c r="I36" s="514">
        <v>0</v>
      </c>
      <c r="J36" s="516" t="s">
        <v>593</v>
      </c>
      <c r="K36" s="516" t="s">
        <v>594</v>
      </c>
      <c r="L36" s="292"/>
    </row>
    <row r="37" spans="1:12" s="285" customFormat="1" ht="15" customHeight="1" x14ac:dyDescent="0.25">
      <c r="A37" s="292" t="s">
        <v>22</v>
      </c>
      <c r="B37" s="292">
        <v>1</v>
      </c>
      <c r="C37" s="514">
        <v>1</v>
      </c>
      <c r="D37" s="516" t="s">
        <v>651</v>
      </c>
      <c r="E37" s="514" t="s">
        <v>24</v>
      </c>
      <c r="F37" s="292">
        <v>1024</v>
      </c>
      <c r="G37" s="303" t="s">
        <v>47</v>
      </c>
      <c r="H37" s="303" t="s">
        <v>26</v>
      </c>
      <c r="I37" s="514">
        <v>0</v>
      </c>
      <c r="J37" s="516" t="s">
        <v>653</v>
      </c>
      <c r="K37" s="516" t="s">
        <v>720</v>
      </c>
      <c r="L37" s="292"/>
    </row>
    <row r="38" spans="1:12" s="285" customFormat="1" ht="15" customHeight="1" x14ac:dyDescent="0.25">
      <c r="A38" s="500" t="s">
        <v>22</v>
      </c>
      <c r="B38" s="500">
        <v>1</v>
      </c>
      <c r="C38" s="188">
        <v>1</v>
      </c>
      <c r="D38" s="498" t="s">
        <v>307</v>
      </c>
      <c r="E38" s="188" t="s">
        <v>24</v>
      </c>
      <c r="F38" s="500">
        <v>1024</v>
      </c>
      <c r="G38" s="287" t="s">
        <v>47</v>
      </c>
      <c r="H38" s="287" t="s">
        <v>26</v>
      </c>
      <c r="I38" s="188">
        <v>0</v>
      </c>
      <c r="J38" s="498" t="s">
        <v>333</v>
      </c>
      <c r="K38" s="498" t="s">
        <v>614</v>
      </c>
      <c r="L38" s="500"/>
    </row>
    <row r="39" spans="1:12" s="285" customFormat="1" ht="15" customHeight="1" x14ac:dyDescent="0.25">
      <c r="A39" s="500" t="s">
        <v>22</v>
      </c>
      <c r="B39" s="500">
        <v>1</v>
      </c>
      <c r="C39" s="188">
        <v>1</v>
      </c>
      <c r="D39" s="499" t="s">
        <v>308</v>
      </c>
      <c r="E39" s="188" t="s">
        <v>24</v>
      </c>
      <c r="F39" s="500">
        <v>1024</v>
      </c>
      <c r="G39" s="287" t="s">
        <v>47</v>
      </c>
      <c r="H39" s="287" t="s">
        <v>26</v>
      </c>
      <c r="I39" s="188">
        <v>0</v>
      </c>
      <c r="J39" s="499" t="s">
        <v>334</v>
      </c>
      <c r="K39" s="499" t="s">
        <v>615</v>
      </c>
      <c r="L39" s="500"/>
    </row>
    <row r="40" spans="1:12" s="285" customFormat="1" ht="15" customHeight="1" x14ac:dyDescent="0.25">
      <c r="A40" s="500" t="s">
        <v>22</v>
      </c>
      <c r="B40" s="500">
        <v>1</v>
      </c>
      <c r="C40" s="188">
        <v>1</v>
      </c>
      <c r="D40" s="499" t="s">
        <v>309</v>
      </c>
      <c r="E40" s="188" t="s">
        <v>24</v>
      </c>
      <c r="F40" s="500">
        <v>1024</v>
      </c>
      <c r="G40" s="287" t="s">
        <v>47</v>
      </c>
      <c r="H40" s="287" t="s">
        <v>26</v>
      </c>
      <c r="I40" s="188">
        <v>0</v>
      </c>
      <c r="J40" s="499" t="s">
        <v>335</v>
      </c>
      <c r="K40" s="499" t="s">
        <v>616</v>
      </c>
      <c r="L40" s="500"/>
    </row>
    <row r="41" spans="1:12" s="285" customFormat="1" ht="15" customHeight="1" x14ac:dyDescent="0.25">
      <c r="A41" s="500" t="s">
        <v>22</v>
      </c>
      <c r="B41" s="500">
        <v>1</v>
      </c>
      <c r="C41" s="188">
        <v>1</v>
      </c>
      <c r="D41" s="499" t="s">
        <v>310</v>
      </c>
      <c r="E41" s="188" t="s">
        <v>24</v>
      </c>
      <c r="F41" s="500">
        <v>1024</v>
      </c>
      <c r="G41" s="287" t="s">
        <v>47</v>
      </c>
      <c r="H41" s="287" t="s">
        <v>26</v>
      </c>
      <c r="I41" s="188">
        <v>0</v>
      </c>
      <c r="J41" s="499" t="s">
        <v>336</v>
      </c>
      <c r="K41" s="499" t="s">
        <v>617</v>
      </c>
      <c r="L41" s="500"/>
    </row>
    <row r="42" spans="1:12" s="500" customFormat="1" ht="15" customHeight="1" x14ac:dyDescent="0.25">
      <c r="A42" s="500" t="s">
        <v>22</v>
      </c>
      <c r="B42" s="500">
        <v>1</v>
      </c>
      <c r="C42" s="188">
        <v>1</v>
      </c>
      <c r="D42" s="498" t="s">
        <v>311</v>
      </c>
      <c r="E42" s="188" t="s">
        <v>24</v>
      </c>
      <c r="F42" s="500">
        <v>1024</v>
      </c>
      <c r="G42" s="287" t="s">
        <v>47</v>
      </c>
      <c r="H42" s="287" t="s">
        <v>26</v>
      </c>
      <c r="I42" s="188">
        <v>0</v>
      </c>
      <c r="J42" s="498" t="s">
        <v>337</v>
      </c>
      <c r="K42" s="498" t="s">
        <v>618</v>
      </c>
    </row>
    <row r="43" spans="1:12" s="541" customFormat="1" ht="15" customHeight="1" x14ac:dyDescent="0.25">
      <c r="A43" s="500" t="s">
        <v>22</v>
      </c>
      <c r="B43" s="500">
        <v>1</v>
      </c>
      <c r="C43" s="188">
        <v>1</v>
      </c>
      <c r="D43" s="498" t="s">
        <v>312</v>
      </c>
      <c r="E43" s="188" t="s">
        <v>24</v>
      </c>
      <c r="F43" s="500">
        <v>1024</v>
      </c>
      <c r="G43" s="287" t="s">
        <v>47</v>
      </c>
      <c r="H43" s="287" t="s">
        <v>26</v>
      </c>
      <c r="I43" s="188">
        <v>0</v>
      </c>
      <c r="J43" s="498" t="s">
        <v>338</v>
      </c>
      <c r="K43" s="498" t="s">
        <v>619</v>
      </c>
      <c r="L43" s="500"/>
    </row>
    <row r="44" spans="1:12" s="541" customFormat="1" ht="15" customHeight="1" x14ac:dyDescent="0.25">
      <c r="A44" s="500" t="s">
        <v>22</v>
      </c>
      <c r="B44" s="500">
        <v>1</v>
      </c>
      <c r="C44" s="188">
        <v>1</v>
      </c>
      <c r="D44" s="498" t="s">
        <v>471</v>
      </c>
      <c r="E44" s="188" t="s">
        <v>24</v>
      </c>
      <c r="F44" s="500">
        <v>1024</v>
      </c>
      <c r="G44" s="287" t="s">
        <v>47</v>
      </c>
      <c r="H44" s="287" t="s">
        <v>26</v>
      </c>
      <c r="I44" s="188">
        <v>0</v>
      </c>
      <c r="J44" s="498" t="s">
        <v>634</v>
      </c>
      <c r="K44" s="498" t="s">
        <v>634</v>
      </c>
      <c r="L44" s="500"/>
    </row>
    <row r="45" spans="1:12" s="331" customFormat="1" ht="15" customHeight="1" x14ac:dyDescent="0.25">
      <c r="A45" s="500" t="s">
        <v>22</v>
      </c>
      <c r="B45" s="500">
        <v>1</v>
      </c>
      <c r="C45" s="188">
        <v>1</v>
      </c>
      <c r="D45" s="498" t="s">
        <v>471</v>
      </c>
      <c r="E45" s="188" t="s">
        <v>24</v>
      </c>
      <c r="F45" s="500">
        <v>1024</v>
      </c>
      <c r="G45" s="287" t="s">
        <v>47</v>
      </c>
      <c r="H45" s="287" t="s">
        <v>26</v>
      </c>
      <c r="I45" s="188">
        <v>0</v>
      </c>
      <c r="J45" s="498" t="s">
        <v>821</v>
      </c>
      <c r="K45" s="498" t="s">
        <v>821</v>
      </c>
      <c r="L45" s="500"/>
    </row>
    <row r="46" spans="1:12" s="331" customFormat="1" ht="15" customHeight="1" x14ac:dyDescent="0.25">
      <c r="A46" s="541" t="s">
        <v>22</v>
      </c>
      <c r="B46" s="541">
        <v>1</v>
      </c>
      <c r="C46" s="545">
        <v>1</v>
      </c>
      <c r="D46" s="542" t="s">
        <v>783</v>
      </c>
      <c r="E46" s="545" t="s">
        <v>24</v>
      </c>
      <c r="F46" s="541">
        <v>1024</v>
      </c>
      <c r="G46" s="547" t="s">
        <v>47</v>
      </c>
      <c r="H46" s="547" t="s">
        <v>26</v>
      </c>
      <c r="I46" s="545">
        <v>0</v>
      </c>
      <c r="J46" s="542" t="s">
        <v>794</v>
      </c>
      <c r="K46" s="542" t="s">
        <v>795</v>
      </c>
      <c r="L46" s="541"/>
    </row>
    <row r="47" spans="1:12" s="331" customFormat="1" ht="15" customHeight="1" x14ac:dyDescent="0.25">
      <c r="A47" s="541" t="s">
        <v>22</v>
      </c>
      <c r="B47" s="541">
        <v>1</v>
      </c>
      <c r="C47" s="545">
        <v>1</v>
      </c>
      <c r="D47" s="542" t="s">
        <v>785</v>
      </c>
      <c r="E47" s="545" t="s">
        <v>24</v>
      </c>
      <c r="F47" s="541">
        <v>1024</v>
      </c>
      <c r="G47" s="547" t="s">
        <v>47</v>
      </c>
      <c r="H47" s="547" t="s">
        <v>26</v>
      </c>
      <c r="I47" s="545">
        <v>0</v>
      </c>
      <c r="J47" s="542" t="s">
        <v>796</v>
      </c>
      <c r="K47" s="542" t="s">
        <v>796</v>
      </c>
      <c r="L47" s="541"/>
    </row>
    <row r="48" spans="1:12" s="331" customFormat="1" ht="15" customHeight="1" x14ac:dyDescent="0.25">
      <c r="A48" s="331" t="s">
        <v>22</v>
      </c>
      <c r="B48" s="331">
        <v>13</v>
      </c>
      <c r="C48" s="330">
        <v>1</v>
      </c>
      <c r="D48" s="334" t="s">
        <v>472</v>
      </c>
      <c r="E48" s="330" t="s">
        <v>24</v>
      </c>
      <c r="F48" s="331">
        <v>1024</v>
      </c>
      <c r="G48" s="332" t="s">
        <v>47</v>
      </c>
      <c r="H48" s="332" t="s">
        <v>26</v>
      </c>
      <c r="I48" s="330">
        <v>0</v>
      </c>
      <c r="J48" s="334" t="s">
        <v>517</v>
      </c>
      <c r="K48" s="334" t="s">
        <v>518</v>
      </c>
    </row>
    <row r="49" spans="1:14" s="331" customFormat="1" ht="15" customHeight="1" x14ac:dyDescent="0.25">
      <c r="A49" s="331" t="s">
        <v>22</v>
      </c>
      <c r="B49" s="331">
        <v>14</v>
      </c>
      <c r="C49" s="330">
        <v>1</v>
      </c>
      <c r="D49" s="334" t="s">
        <v>340</v>
      </c>
      <c r="E49" s="330" t="s">
        <v>24</v>
      </c>
      <c r="F49" s="331">
        <v>1024</v>
      </c>
      <c r="G49" s="332" t="s">
        <v>47</v>
      </c>
      <c r="H49" s="332" t="s">
        <v>26</v>
      </c>
      <c r="I49" s="330">
        <v>0</v>
      </c>
      <c r="J49" s="334" t="s">
        <v>939</v>
      </c>
      <c r="K49" s="334" t="s">
        <v>940</v>
      </c>
    </row>
    <row r="50" spans="1:14" s="331" customFormat="1" ht="15" customHeight="1" x14ac:dyDescent="0.25">
      <c r="A50" s="331" t="s">
        <v>22</v>
      </c>
      <c r="B50" s="331">
        <v>1</v>
      </c>
      <c r="C50" s="330">
        <v>1</v>
      </c>
      <c r="D50" s="334" t="s">
        <v>625</v>
      </c>
      <c r="E50" s="330" t="s">
        <v>24</v>
      </c>
      <c r="F50" s="331">
        <v>1024</v>
      </c>
      <c r="G50" s="332" t="s">
        <v>47</v>
      </c>
      <c r="H50" s="332" t="s">
        <v>26</v>
      </c>
      <c r="I50" s="330">
        <v>0</v>
      </c>
      <c r="J50" s="334" t="s">
        <v>941</v>
      </c>
      <c r="K50" s="334" t="s">
        <v>942</v>
      </c>
    </row>
    <row r="51" spans="1:14" s="129" customFormat="1" ht="15" customHeight="1" x14ac:dyDescent="0.25">
      <c r="A51" s="331" t="s">
        <v>22</v>
      </c>
      <c r="B51" s="331">
        <v>1</v>
      </c>
      <c r="C51" s="330">
        <v>1</v>
      </c>
      <c r="D51" s="334" t="s">
        <v>756</v>
      </c>
      <c r="E51" s="330" t="s">
        <v>24</v>
      </c>
      <c r="F51" s="331">
        <v>1024</v>
      </c>
      <c r="G51" s="332" t="s">
        <v>47</v>
      </c>
      <c r="H51" s="332" t="s">
        <v>26</v>
      </c>
      <c r="I51" s="330">
        <v>0</v>
      </c>
      <c r="J51" s="334" t="s">
        <v>768</v>
      </c>
      <c r="K51" s="334" t="s">
        <v>769</v>
      </c>
      <c r="L51" s="331"/>
    </row>
    <row r="52" spans="1:14" s="129" customFormat="1" ht="16.5" customHeight="1" x14ac:dyDescent="0.25">
      <c r="A52" s="276" t="s">
        <v>22</v>
      </c>
      <c r="B52" s="276">
        <v>1</v>
      </c>
      <c r="C52" s="275">
        <v>1</v>
      </c>
      <c r="D52" s="265" t="s">
        <v>473</v>
      </c>
      <c r="E52" s="275" t="s">
        <v>24</v>
      </c>
      <c r="F52" s="276">
        <v>1024</v>
      </c>
      <c r="G52" s="277" t="s">
        <v>47</v>
      </c>
      <c r="H52" s="277" t="s">
        <v>26</v>
      </c>
      <c r="I52" s="275">
        <v>0</v>
      </c>
      <c r="J52" s="265" t="s">
        <v>519</v>
      </c>
      <c r="K52" s="265" t="s">
        <v>520</v>
      </c>
      <c r="L52" s="276"/>
    </row>
    <row r="53" spans="1:14" s="122" customFormat="1" x14ac:dyDescent="0.25">
      <c r="A53" s="129"/>
      <c r="B53" s="129"/>
      <c r="C53" s="129"/>
      <c r="D53" s="165"/>
      <c r="E53" s="131"/>
      <c r="F53" s="131"/>
      <c r="G53" s="132"/>
      <c r="H53" s="132"/>
      <c r="I53" s="131"/>
      <c r="K53" s="165"/>
      <c r="L53" s="114"/>
      <c r="M53" s="129"/>
      <c r="N53" s="129"/>
    </row>
    <row r="54" spans="1:14" s="129" customFormat="1" ht="15" customHeight="1" x14ac:dyDescent="0.25">
      <c r="A54" s="131"/>
      <c r="E54" s="131"/>
      <c r="F54" s="131"/>
      <c r="H54" s="132"/>
      <c r="I54" s="131"/>
      <c r="J54" s="227"/>
      <c r="K54" s="149"/>
      <c r="L54" s="122"/>
      <c r="M54" s="122"/>
    </row>
    <row r="55" spans="1:14" s="122" customFormat="1" x14ac:dyDescent="0.25">
      <c r="A55" s="129"/>
      <c r="B55" s="129"/>
      <c r="C55" s="129"/>
      <c r="D55" s="165"/>
      <c r="E55" s="131"/>
      <c r="F55" s="131"/>
      <c r="H55" s="132"/>
      <c r="I55" s="131"/>
      <c r="J55" s="165"/>
      <c r="K55" s="165"/>
      <c r="L55" s="114"/>
      <c r="M55" s="129"/>
    </row>
    <row r="56" spans="1:14" s="122" customFormat="1" x14ac:dyDescent="0.25">
      <c r="A56" s="129"/>
      <c r="B56" s="129"/>
      <c r="C56" s="129"/>
      <c r="D56" s="165"/>
      <c r="E56" s="131"/>
      <c r="F56" s="131"/>
      <c r="G56" s="132"/>
      <c r="H56" s="132"/>
      <c r="I56" s="131"/>
      <c r="J56" s="165"/>
      <c r="K56" s="165"/>
      <c r="L56" s="114"/>
      <c r="M56" s="129"/>
      <c r="N56" s="129"/>
    </row>
    <row r="57" spans="1:14" s="122" customFormat="1" x14ac:dyDescent="0.25">
      <c r="A57" s="129"/>
      <c r="B57" s="129"/>
      <c r="C57" s="129"/>
      <c r="D57" s="182"/>
      <c r="E57" s="131"/>
      <c r="F57" s="131"/>
      <c r="G57" s="132"/>
      <c r="H57" s="132"/>
      <c r="I57" s="131"/>
      <c r="J57" s="182"/>
      <c r="K57" s="182"/>
      <c r="L57" s="114"/>
      <c r="M57" s="129"/>
    </row>
    <row r="58" spans="1:14" s="129" customFormat="1" ht="15" customHeight="1" x14ac:dyDescent="0.25">
      <c r="D58" s="149"/>
      <c r="E58" s="131"/>
      <c r="F58" s="131"/>
      <c r="G58" s="132"/>
      <c r="H58" s="132"/>
      <c r="I58" s="131"/>
      <c r="J58" s="149"/>
      <c r="K58" s="149"/>
      <c r="L58" s="114"/>
      <c r="N58" s="122"/>
    </row>
    <row r="59" spans="1:14" s="129" customFormat="1" ht="15" customHeight="1" x14ac:dyDescent="0.25">
      <c r="D59" s="182"/>
      <c r="E59" s="131"/>
      <c r="F59" s="131"/>
      <c r="G59" s="132"/>
      <c r="H59" s="132"/>
      <c r="I59" s="131"/>
      <c r="J59" s="182"/>
      <c r="K59" s="182"/>
      <c r="L59" s="114"/>
      <c r="N59" s="122"/>
    </row>
    <row r="60" spans="1:14" s="129" customFormat="1" ht="15" customHeight="1" x14ac:dyDescent="0.25">
      <c r="D60" s="149"/>
      <c r="E60" s="131"/>
      <c r="F60" s="131"/>
      <c r="G60" s="132"/>
      <c r="H60" s="132"/>
      <c r="I60" s="131"/>
      <c r="J60" s="149"/>
      <c r="K60" s="149"/>
      <c r="L60" s="114"/>
    </row>
    <row r="61" spans="1:14" s="129" customFormat="1" ht="15" customHeight="1" x14ac:dyDescent="0.25">
      <c r="A61" s="131"/>
      <c r="D61" s="182"/>
      <c r="E61" s="131"/>
      <c r="F61" s="131"/>
      <c r="G61" s="132"/>
      <c r="H61" s="132"/>
      <c r="I61" s="131"/>
      <c r="J61" s="182"/>
      <c r="K61" s="182"/>
      <c r="L61" s="122"/>
      <c r="M61" s="122"/>
    </row>
    <row r="62" spans="1:14" s="129" customFormat="1" ht="15" customHeight="1" x14ac:dyDescent="0.25">
      <c r="D62" s="149"/>
      <c r="E62" s="131"/>
      <c r="F62" s="131"/>
      <c r="G62" s="132"/>
      <c r="H62" s="132"/>
      <c r="I62" s="131"/>
      <c r="J62" s="149"/>
      <c r="K62" s="149"/>
      <c r="L62" s="114"/>
    </row>
    <row r="63" spans="1:14" s="122" customFormat="1" ht="9" customHeight="1" x14ac:dyDescent="0.25">
      <c r="A63" s="131"/>
      <c r="B63" s="129"/>
      <c r="C63" s="129"/>
      <c r="D63" s="149"/>
      <c r="E63" s="131"/>
      <c r="F63" s="131"/>
      <c r="G63" s="132"/>
      <c r="H63" s="132"/>
      <c r="I63" s="131"/>
      <c r="J63" s="132"/>
      <c r="N63" s="129"/>
    </row>
    <row r="64" spans="1:14" s="122" customFormat="1" x14ac:dyDescent="0.25">
      <c r="A64" s="131"/>
      <c r="E64" s="131"/>
      <c r="F64" s="131"/>
      <c r="G64" s="132"/>
      <c r="H64" s="132"/>
      <c r="I64" s="131"/>
      <c r="N64" s="129"/>
    </row>
    <row r="65" spans="1:13" s="122" customFormat="1" x14ac:dyDescent="0.25">
      <c r="A65" s="131"/>
      <c r="B65" s="129"/>
      <c r="C65" s="129"/>
      <c r="D65" s="130"/>
      <c r="E65" s="131"/>
      <c r="F65" s="131"/>
      <c r="G65" s="132"/>
      <c r="H65" s="132"/>
      <c r="I65" s="131"/>
    </row>
    <row r="66" spans="1:13" s="122" customFormat="1" x14ac:dyDescent="0.25">
      <c r="A66" s="129"/>
      <c r="B66" s="129"/>
      <c r="C66" s="129"/>
      <c r="D66" s="167"/>
      <c r="E66" s="131"/>
      <c r="F66" s="131"/>
      <c r="G66" s="132"/>
      <c r="H66" s="132"/>
      <c r="I66" s="131"/>
      <c r="J66" s="132"/>
      <c r="K66" s="132"/>
      <c r="L66" s="114"/>
      <c r="M66" s="129"/>
    </row>
    <row r="67" spans="1:13" s="129" customFormat="1" ht="15" customHeight="1" x14ac:dyDescent="0.25">
      <c r="D67" s="182"/>
      <c r="E67" s="131"/>
      <c r="F67" s="131"/>
      <c r="G67" s="132"/>
      <c r="H67" s="132"/>
      <c r="I67" s="131"/>
      <c r="J67" s="182"/>
      <c r="K67" s="132"/>
      <c r="L67" s="114"/>
    </row>
    <row r="68" spans="1:13" s="129" customFormat="1" ht="15" customHeight="1" x14ac:dyDescent="0.25">
      <c r="D68" s="182"/>
      <c r="E68" s="131"/>
      <c r="F68" s="131"/>
      <c r="G68" s="132"/>
      <c r="H68" s="132"/>
      <c r="I68" s="131"/>
      <c r="J68" s="182"/>
      <c r="K68" s="132"/>
      <c r="L68" s="114"/>
    </row>
    <row r="69" spans="1:13" s="129" customFormat="1" ht="15" customHeight="1" x14ac:dyDescent="0.25">
      <c r="D69" s="132"/>
      <c r="E69" s="131"/>
      <c r="F69" s="131"/>
      <c r="G69" s="132"/>
      <c r="H69" s="132"/>
      <c r="I69" s="131"/>
      <c r="J69" s="132"/>
      <c r="K69" s="132"/>
      <c r="L69" s="114"/>
    </row>
    <row r="70" spans="1:13" s="129" customFormat="1" ht="15" customHeight="1" x14ac:dyDescent="0.25">
      <c r="D70" s="132"/>
      <c r="E70" s="131"/>
      <c r="F70" s="131"/>
      <c r="G70" s="132"/>
      <c r="H70" s="132"/>
      <c r="I70" s="131"/>
      <c r="J70" s="132"/>
      <c r="K70" s="132"/>
      <c r="L70" s="114"/>
    </row>
    <row r="71" spans="1:13" s="129" customFormat="1" ht="15" customHeight="1" x14ac:dyDescent="0.25">
      <c r="A71" s="131"/>
      <c r="D71" s="149"/>
      <c r="E71" s="131"/>
      <c r="F71" s="132"/>
      <c r="G71" s="132"/>
      <c r="H71" s="132"/>
      <c r="I71" s="132"/>
      <c r="J71" s="132"/>
      <c r="K71" s="122"/>
      <c r="L71" s="122"/>
      <c r="M71" s="122"/>
    </row>
    <row r="72" spans="1:13" s="129" customFormat="1" ht="15" customHeight="1" x14ac:dyDescent="0.25">
      <c r="A72" s="131"/>
      <c r="D72" s="149"/>
      <c r="E72" s="131"/>
      <c r="F72" s="131"/>
      <c r="G72" s="132"/>
      <c r="H72" s="132"/>
      <c r="I72" s="131"/>
      <c r="J72" s="149"/>
      <c r="K72" s="149"/>
      <c r="L72" s="122"/>
      <c r="M72" s="122"/>
    </row>
    <row r="73" spans="1:13" s="129" customFormat="1" ht="15" customHeight="1" x14ac:dyDescent="0.25">
      <c r="D73" s="165"/>
      <c r="E73" s="131"/>
      <c r="F73" s="131"/>
      <c r="G73" s="132"/>
      <c r="H73" s="132"/>
      <c r="I73" s="131"/>
      <c r="J73" s="165"/>
      <c r="K73" s="165"/>
      <c r="L73" s="114"/>
    </row>
    <row r="74" spans="1:13" s="129" customFormat="1" ht="15" customHeight="1" x14ac:dyDescent="0.25">
      <c r="D74" s="165"/>
      <c r="E74" s="131"/>
      <c r="F74" s="131"/>
      <c r="G74" s="132"/>
      <c r="H74" s="132"/>
      <c r="I74" s="131"/>
      <c r="J74" s="165"/>
      <c r="K74" s="165"/>
      <c r="L74" s="114"/>
    </row>
    <row r="75" spans="1:13" s="129" customFormat="1" ht="15" customHeight="1" x14ac:dyDescent="0.25">
      <c r="D75" s="165"/>
      <c r="E75" s="131"/>
      <c r="F75" s="131"/>
      <c r="G75" s="132"/>
      <c r="H75" s="132"/>
      <c r="I75" s="131"/>
      <c r="J75" s="165"/>
      <c r="K75" s="183"/>
      <c r="L75" s="114"/>
    </row>
    <row r="76" spans="1:13" s="129" customFormat="1" ht="15" customHeight="1" x14ac:dyDescent="0.25">
      <c r="D76" s="165"/>
      <c r="E76" s="131"/>
      <c r="F76" s="131"/>
      <c r="G76" s="132"/>
      <c r="H76" s="132"/>
      <c r="I76" s="131"/>
      <c r="J76" s="165"/>
      <c r="K76" s="183"/>
      <c r="L76" s="114"/>
    </row>
    <row r="77" spans="1:13" s="129" customFormat="1" ht="15" customHeight="1" x14ac:dyDescent="0.25">
      <c r="D77" s="165"/>
      <c r="E77" s="131"/>
      <c r="F77" s="131"/>
      <c r="G77" s="132"/>
      <c r="H77" s="132"/>
      <c r="I77" s="131"/>
      <c r="J77" s="165"/>
      <c r="K77" s="183"/>
      <c r="L77" s="114"/>
    </row>
    <row r="78" spans="1:13" s="129" customFormat="1" ht="15" customHeight="1" x14ac:dyDescent="0.25">
      <c r="D78" s="122"/>
      <c r="E78" s="131"/>
      <c r="F78" s="131"/>
      <c r="G78" s="132"/>
      <c r="H78" s="132"/>
      <c r="I78" s="131"/>
      <c r="J78" s="122"/>
      <c r="K78" s="122"/>
      <c r="L78" s="114"/>
    </row>
    <row r="79" spans="1:13" s="129" customFormat="1" ht="15" customHeight="1" x14ac:dyDescent="0.25">
      <c r="D79" s="145"/>
      <c r="E79" s="131"/>
      <c r="F79" s="132"/>
      <c r="G79" s="132"/>
      <c r="H79" s="132"/>
      <c r="I79" s="132"/>
      <c r="J79" s="132"/>
      <c r="K79" s="132"/>
      <c r="L79" s="114"/>
    </row>
    <row r="80" spans="1:13" s="122" customFormat="1" x14ac:dyDescent="0.25">
      <c r="A80" s="129"/>
      <c r="B80" s="129"/>
      <c r="C80" s="129"/>
      <c r="D80" s="177"/>
      <c r="E80" s="131"/>
      <c r="F80" s="132"/>
      <c r="G80" s="132"/>
      <c r="H80" s="132"/>
      <c r="I80" s="132"/>
      <c r="J80" s="177"/>
      <c r="K80" s="177"/>
      <c r="L80" s="114"/>
      <c r="M80" s="129"/>
    </row>
    <row r="81" spans="1:13" s="122" customFormat="1" x14ac:dyDescent="0.25">
      <c r="A81" s="129"/>
      <c r="B81" s="129"/>
      <c r="C81" s="129"/>
      <c r="D81" s="177"/>
      <c r="E81" s="131"/>
      <c r="F81" s="132"/>
      <c r="G81" s="132"/>
      <c r="H81" s="132"/>
      <c r="I81" s="132"/>
      <c r="J81" s="177"/>
      <c r="K81" s="177"/>
      <c r="L81" s="114"/>
      <c r="M81" s="129"/>
    </row>
    <row r="82" spans="1:13" s="122" customFormat="1" x14ac:dyDescent="0.25">
      <c r="A82" s="129"/>
      <c r="B82" s="129"/>
      <c r="C82" s="129"/>
      <c r="D82" s="177"/>
      <c r="E82" s="131"/>
      <c r="F82" s="132"/>
      <c r="G82" s="132"/>
      <c r="H82" s="132"/>
      <c r="I82" s="132"/>
      <c r="J82" s="177"/>
      <c r="K82" s="177"/>
      <c r="L82" s="114"/>
      <c r="M82" s="129"/>
    </row>
    <row r="83" spans="1:13" s="122" customFormat="1" x14ac:dyDescent="0.25">
      <c r="A83" s="129"/>
      <c r="B83" s="129"/>
      <c r="C83" s="129"/>
      <c r="D83" s="177"/>
      <c r="E83" s="131"/>
      <c r="F83" s="132"/>
      <c r="G83" s="132"/>
      <c r="H83" s="132"/>
      <c r="I83" s="132"/>
      <c r="J83" s="177"/>
      <c r="K83" s="177"/>
      <c r="L83" s="114"/>
      <c r="M83" s="129"/>
    </row>
    <row r="84" spans="1:13" s="122" customFormat="1" x14ac:dyDescent="0.25">
      <c r="A84" s="129"/>
      <c r="B84" s="129"/>
      <c r="C84" s="129"/>
      <c r="D84" s="145"/>
      <c r="E84" s="131"/>
      <c r="F84" s="132"/>
      <c r="G84" s="132"/>
      <c r="H84" s="132"/>
      <c r="I84" s="132"/>
      <c r="J84" s="132"/>
      <c r="K84" s="132"/>
      <c r="L84" s="114"/>
      <c r="M84" s="129"/>
    </row>
    <row r="85" spans="1:13" s="122" customFormat="1" x14ac:dyDescent="0.25">
      <c r="A85" s="129"/>
      <c r="B85" s="129"/>
      <c r="C85" s="129"/>
      <c r="D85" s="145"/>
      <c r="E85" s="131"/>
      <c r="F85" s="132"/>
      <c r="G85" s="132"/>
      <c r="H85" s="132"/>
      <c r="I85" s="132"/>
      <c r="J85" s="132"/>
      <c r="K85" s="132"/>
      <c r="L85" s="114"/>
      <c r="M85" s="129"/>
    </row>
    <row r="86" spans="1:13" s="122" customFormat="1" x14ac:dyDescent="0.25">
      <c r="A86" s="131"/>
      <c r="B86" s="129"/>
      <c r="C86" s="129"/>
      <c r="E86" s="131"/>
      <c r="F86" s="132"/>
      <c r="G86" s="132"/>
      <c r="H86" s="132"/>
      <c r="I86" s="132"/>
      <c r="J86" s="132"/>
      <c r="K86" s="132"/>
    </row>
    <row r="87" spans="1:13" s="122" customFormat="1" x14ac:dyDescent="0.25">
      <c r="A87" s="131"/>
      <c r="E87" s="131"/>
      <c r="J87" s="131"/>
    </row>
    <row r="88" spans="1:13" s="122" customFormat="1" x14ac:dyDescent="0.25">
      <c r="A88" s="131"/>
      <c r="B88" s="129"/>
      <c r="C88" s="129"/>
      <c r="E88" s="131"/>
      <c r="F88" s="132"/>
      <c r="G88" s="132"/>
      <c r="H88" s="132"/>
      <c r="I88" s="132"/>
      <c r="J88" s="132"/>
      <c r="K88" s="132"/>
    </row>
    <row r="89" spans="1:13" s="122" customFormat="1" x14ac:dyDescent="0.25">
      <c r="A89" s="131"/>
      <c r="E89" s="131"/>
      <c r="J89" s="131"/>
    </row>
    <row r="90" spans="1:13" s="122" customFormat="1" x14ac:dyDescent="0.25">
      <c r="A90" s="131"/>
      <c r="B90" s="129"/>
      <c r="C90" s="129"/>
      <c r="E90" s="131"/>
      <c r="F90" s="131"/>
      <c r="G90" s="132"/>
      <c r="H90" s="132"/>
      <c r="I90" s="131"/>
      <c r="J90" s="132"/>
      <c r="K90" s="132"/>
    </row>
    <row r="91" spans="1:13" s="122" customFormat="1" x14ac:dyDescent="0.25">
      <c r="A91" s="131"/>
      <c r="E91" s="131"/>
      <c r="J91" s="131"/>
    </row>
    <row r="92" spans="1:13" s="122" customFormat="1" x14ac:dyDescent="0.25">
      <c r="A92" s="131"/>
      <c r="E92" s="131"/>
      <c r="J92" s="131"/>
    </row>
    <row r="93" spans="1:13" s="122" customFormat="1" x14ac:dyDescent="0.25">
      <c r="A93" s="131"/>
      <c r="B93" s="131"/>
      <c r="C93" s="131"/>
      <c r="D93" s="145"/>
      <c r="E93" s="131"/>
      <c r="F93" s="132"/>
      <c r="G93" s="132"/>
      <c r="H93" s="132"/>
      <c r="I93" s="132"/>
      <c r="J93" s="131"/>
      <c r="K93" s="132"/>
    </row>
    <row r="94" spans="1:13" s="122" customFormat="1" x14ac:dyDescent="0.25">
      <c r="A94" s="131"/>
      <c r="B94" s="131"/>
      <c r="C94" s="131"/>
      <c r="D94" s="145"/>
      <c r="E94" s="131"/>
      <c r="F94" s="132"/>
      <c r="G94" s="132"/>
      <c r="H94" s="132"/>
      <c r="I94" s="132"/>
      <c r="J94" s="132"/>
      <c r="K94" s="132"/>
    </row>
    <row r="95" spans="1:13" s="122" customFormat="1" x14ac:dyDescent="0.25">
      <c r="A95" s="131"/>
      <c r="E95" s="131"/>
      <c r="J95" s="132"/>
    </row>
    <row r="96" spans="1:13" s="122" customFormat="1" x14ac:dyDescent="0.25">
      <c r="A96" s="131"/>
      <c r="E96" s="131"/>
      <c r="J96" s="131"/>
    </row>
    <row r="97" spans="1:10" s="122" customFormat="1" x14ac:dyDescent="0.25">
      <c r="A97" s="131"/>
      <c r="E97" s="131"/>
      <c r="J97" s="131"/>
    </row>
    <row r="98" spans="1:10" s="122" customFormat="1" x14ac:dyDescent="0.25">
      <c r="A98" s="131"/>
      <c r="E98" s="131"/>
      <c r="J98" s="131"/>
    </row>
    <row r="99" spans="1:10" s="122" customFormat="1" x14ac:dyDescent="0.25">
      <c r="A99" s="131"/>
      <c r="E99" s="131"/>
      <c r="J99" s="131"/>
    </row>
    <row r="100" spans="1:10" s="122" customFormat="1" x14ac:dyDescent="0.25">
      <c r="A100" s="131"/>
      <c r="E100" s="131"/>
      <c r="J100" s="131"/>
    </row>
    <row r="101" spans="1:10" s="122" customFormat="1" x14ac:dyDescent="0.25">
      <c r="A101" s="131"/>
      <c r="E101" s="131"/>
      <c r="J101" s="131"/>
    </row>
    <row r="102" spans="1:10" s="122" customFormat="1" x14ac:dyDescent="0.25">
      <c r="A102" s="131"/>
      <c r="E102" s="131"/>
      <c r="J102" s="131"/>
    </row>
    <row r="103" spans="1:10" s="122" customFormat="1" x14ac:dyDescent="0.25">
      <c r="A103" s="131"/>
      <c r="E103" s="131"/>
      <c r="J103" s="131"/>
    </row>
    <row r="104" spans="1:10" s="122" customFormat="1" x14ac:dyDescent="0.25">
      <c r="A104" s="131"/>
      <c r="E104" s="131"/>
      <c r="J104" s="131"/>
    </row>
    <row r="105" spans="1:10" s="122" customFormat="1" x14ac:dyDescent="0.25">
      <c r="A105" s="131"/>
      <c r="E105" s="131"/>
      <c r="J105" s="131"/>
    </row>
    <row r="106" spans="1:10" s="122" customFormat="1" x14ac:dyDescent="0.25">
      <c r="A106" s="131"/>
      <c r="E106" s="131"/>
      <c r="J106" s="131"/>
    </row>
    <row r="107" spans="1:10" s="122" customFormat="1" x14ac:dyDescent="0.25">
      <c r="A107" s="131"/>
      <c r="E107" s="131"/>
      <c r="J107" s="131"/>
    </row>
    <row r="108" spans="1:10" s="122" customFormat="1" x14ac:dyDescent="0.25">
      <c r="A108" s="131"/>
      <c r="E108" s="131"/>
      <c r="J108" s="131"/>
    </row>
    <row r="109" spans="1:10" s="122" customFormat="1" x14ac:dyDescent="0.25">
      <c r="A109" s="131"/>
      <c r="E109" s="131"/>
      <c r="J109" s="131"/>
    </row>
    <row r="110" spans="1:10" s="122" customFormat="1" x14ac:dyDescent="0.25">
      <c r="A110" s="131"/>
      <c r="E110" s="131"/>
      <c r="J110" s="131"/>
    </row>
    <row r="111" spans="1:10" s="122" customFormat="1" x14ac:dyDescent="0.25">
      <c r="A111" s="131"/>
      <c r="E111" s="131"/>
      <c r="J111" s="131"/>
    </row>
    <row r="112" spans="1:10" s="122" customFormat="1" x14ac:dyDescent="0.25">
      <c r="A112" s="131"/>
      <c r="E112" s="131"/>
      <c r="J112" s="131"/>
    </row>
    <row r="113" spans="1:10" s="122" customFormat="1" x14ac:dyDescent="0.25">
      <c r="A113" s="131"/>
      <c r="E113" s="131"/>
      <c r="J113" s="131"/>
    </row>
    <row r="114" spans="1:10" s="122" customFormat="1" x14ac:dyDescent="0.25">
      <c r="A114" s="131"/>
      <c r="E114" s="131"/>
      <c r="J114" s="131"/>
    </row>
    <row r="115" spans="1:10" s="122" customFormat="1" x14ac:dyDescent="0.25">
      <c r="A115" s="131"/>
      <c r="E115" s="131"/>
      <c r="J115" s="131"/>
    </row>
    <row r="116" spans="1:10" s="122" customFormat="1" x14ac:dyDescent="0.25">
      <c r="A116" s="131"/>
      <c r="E116" s="131"/>
      <c r="J116" s="131"/>
    </row>
    <row r="117" spans="1:10" s="122" customFormat="1" x14ac:dyDescent="0.25">
      <c r="A117" s="131"/>
      <c r="E117" s="131"/>
      <c r="J117" s="131"/>
    </row>
    <row r="118" spans="1:10" s="122" customFormat="1" x14ac:dyDescent="0.25">
      <c r="A118" s="131"/>
      <c r="E118" s="131"/>
      <c r="J118" s="131"/>
    </row>
    <row r="119" spans="1:10" s="122" customFormat="1" x14ac:dyDescent="0.25">
      <c r="A119" s="131"/>
      <c r="E119" s="131"/>
      <c r="J119" s="131"/>
    </row>
    <row r="120" spans="1:10" s="122" customFormat="1" x14ac:dyDescent="0.25">
      <c r="A120" s="131"/>
      <c r="E120" s="131"/>
      <c r="J120" s="131"/>
    </row>
    <row r="121" spans="1:10" s="122" customFormat="1" x14ac:dyDescent="0.25">
      <c r="A121" s="131"/>
      <c r="E121" s="131"/>
      <c r="J121" s="131"/>
    </row>
    <row r="122" spans="1:10" s="122" customFormat="1" x14ac:dyDescent="0.25">
      <c r="A122" s="131"/>
      <c r="E122" s="131"/>
      <c r="J122" s="131"/>
    </row>
    <row r="123" spans="1:10" s="122" customFormat="1" x14ac:dyDescent="0.25">
      <c r="A123" s="131"/>
      <c r="E123" s="131"/>
      <c r="J123" s="131"/>
    </row>
    <row r="124" spans="1:10" s="122" customFormat="1" x14ac:dyDescent="0.25">
      <c r="A124" s="131"/>
      <c r="E124" s="131"/>
      <c r="J124" s="131"/>
    </row>
    <row r="125" spans="1:10" s="122" customFormat="1" x14ac:dyDescent="0.25">
      <c r="A125" s="131"/>
      <c r="E125" s="131"/>
      <c r="J125" s="131"/>
    </row>
    <row r="126" spans="1:10" s="122" customFormat="1" x14ac:dyDescent="0.25">
      <c r="A126" s="131"/>
      <c r="E126" s="131"/>
      <c r="J126" s="131"/>
    </row>
    <row r="127" spans="1:10" s="122" customFormat="1" x14ac:dyDescent="0.25">
      <c r="A127" s="131"/>
      <c r="E127" s="131"/>
      <c r="J127" s="131"/>
    </row>
    <row r="128" spans="1:10" s="122" customFormat="1" x14ac:dyDescent="0.25">
      <c r="A128" s="131"/>
      <c r="E128" s="131"/>
      <c r="J128" s="131"/>
    </row>
    <row r="129" spans="1:10" s="122" customFormat="1" x14ac:dyDescent="0.25">
      <c r="A129" s="131"/>
      <c r="E129" s="131"/>
      <c r="J129" s="131"/>
    </row>
    <row r="130" spans="1:10" s="122" customFormat="1" x14ac:dyDescent="0.25">
      <c r="A130" s="131"/>
      <c r="E130" s="131"/>
      <c r="J130" s="131"/>
    </row>
    <row r="131" spans="1:10" s="122" customFormat="1" x14ac:dyDescent="0.25">
      <c r="A131" s="131"/>
      <c r="E131" s="131"/>
      <c r="J131" s="131"/>
    </row>
    <row r="132" spans="1:10" s="122" customFormat="1" x14ac:dyDescent="0.25">
      <c r="A132" s="131"/>
      <c r="E132" s="131"/>
      <c r="J132" s="131"/>
    </row>
    <row r="133" spans="1:10" s="122" customFormat="1" x14ac:dyDescent="0.25">
      <c r="A133" s="131"/>
      <c r="E133" s="131"/>
      <c r="J133" s="131"/>
    </row>
    <row r="134" spans="1:10" s="122" customFormat="1" x14ac:dyDescent="0.25">
      <c r="A134" s="131"/>
      <c r="E134" s="131"/>
      <c r="J134" s="131"/>
    </row>
    <row r="135" spans="1:10" s="122" customFormat="1" x14ac:dyDescent="0.25">
      <c r="A135" s="131"/>
      <c r="E135" s="131"/>
      <c r="J135" s="131"/>
    </row>
    <row r="136" spans="1:10" s="122" customFormat="1" x14ac:dyDescent="0.25">
      <c r="A136" s="131"/>
      <c r="E136" s="131"/>
      <c r="J136" s="131"/>
    </row>
    <row r="137" spans="1:10" s="122" customFormat="1" x14ac:dyDescent="0.25">
      <c r="A137" s="131"/>
      <c r="E137" s="131"/>
      <c r="J137" s="131"/>
    </row>
    <row r="138" spans="1:10" s="122" customFormat="1" x14ac:dyDescent="0.25">
      <c r="A138" s="131"/>
      <c r="E138" s="131"/>
      <c r="J138" s="131"/>
    </row>
    <row r="139" spans="1:10" s="122" customFormat="1" x14ac:dyDescent="0.25">
      <c r="A139" s="131"/>
      <c r="E139" s="131"/>
      <c r="J139" s="131"/>
    </row>
    <row r="140" spans="1:10" s="122" customFormat="1" x14ac:dyDescent="0.25">
      <c r="A140" s="131"/>
      <c r="E140" s="131"/>
      <c r="J140" s="131"/>
    </row>
    <row r="141" spans="1:10" s="122" customFormat="1" x14ac:dyDescent="0.25">
      <c r="A141" s="131"/>
      <c r="E141" s="131"/>
      <c r="J141" s="131"/>
    </row>
    <row r="142" spans="1:10" s="122" customFormat="1" x14ac:dyDescent="0.25">
      <c r="A142" s="131"/>
      <c r="E142" s="131"/>
      <c r="J142" s="131"/>
    </row>
    <row r="143" spans="1:10" s="122" customFormat="1" x14ac:dyDescent="0.25">
      <c r="A143" s="131"/>
      <c r="E143" s="131"/>
      <c r="J143" s="131"/>
    </row>
    <row r="144" spans="1:10" s="122" customFormat="1" x14ac:dyDescent="0.25">
      <c r="A144" s="131"/>
      <c r="E144" s="131"/>
      <c r="J144" s="131"/>
    </row>
    <row r="145" spans="1:10" s="122" customFormat="1" x14ac:dyDescent="0.25">
      <c r="A145" s="131"/>
      <c r="E145" s="131"/>
      <c r="J145" s="131"/>
    </row>
    <row r="146" spans="1:10" s="122" customFormat="1" x14ac:dyDescent="0.25">
      <c r="A146" s="131"/>
      <c r="E146" s="131"/>
      <c r="J146" s="131"/>
    </row>
    <row r="147" spans="1:10" s="122" customFormat="1" x14ac:dyDescent="0.25">
      <c r="A147" s="131"/>
      <c r="E147" s="131"/>
      <c r="J147" s="131"/>
    </row>
    <row r="148" spans="1:10" s="122" customFormat="1" x14ac:dyDescent="0.25">
      <c r="A148" s="131"/>
      <c r="E148" s="131"/>
      <c r="J148" s="131"/>
    </row>
    <row r="149" spans="1:10" s="122" customFormat="1" x14ac:dyDescent="0.25">
      <c r="A149" s="131"/>
      <c r="E149" s="131"/>
      <c r="J149" s="131"/>
    </row>
    <row r="150" spans="1:10" s="122" customFormat="1" x14ac:dyDescent="0.25">
      <c r="A150" s="131"/>
      <c r="E150" s="131"/>
      <c r="J150" s="131"/>
    </row>
    <row r="151" spans="1:10" s="122" customFormat="1" x14ac:dyDescent="0.25">
      <c r="A151" s="131"/>
      <c r="E151" s="131"/>
      <c r="J151" s="131"/>
    </row>
    <row r="152" spans="1:10" s="122" customFormat="1" x14ac:dyDescent="0.25">
      <c r="A152" s="131"/>
      <c r="E152" s="131"/>
      <c r="J152" s="131"/>
    </row>
  </sheetData>
  <pageMargins left="0.7" right="0.7" top="0.75" bottom="0.75" header="0.3" footer="0.3"/>
  <pageSetup paperSize="9" orientation="portrait" verticalDpi="75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IV52"/>
  <sheetViews>
    <sheetView zoomScale="85" zoomScaleNormal="85" workbookViewId="0">
      <pane ySplit="4" topLeftCell="A5" activePane="bottomLeft" state="frozen"/>
      <selection pane="bottomLeft" activeCell="H27" sqref="H27"/>
    </sheetView>
  </sheetViews>
  <sheetFormatPr defaultRowHeight="15" x14ac:dyDescent="0.25"/>
  <cols>
    <col min="1" max="1" width="8.28515625" customWidth="1"/>
    <col min="2" max="3" width="7.28515625" customWidth="1"/>
    <col min="4" max="4" width="15.28515625" customWidth="1"/>
    <col min="5" max="5" width="16.85546875" customWidth="1"/>
    <col min="7" max="7" width="22.5703125" customWidth="1"/>
    <col min="8" max="8" width="11.85546875" customWidth="1"/>
    <col min="9" max="9" width="14" customWidth="1"/>
    <col min="10" max="10" width="92.5703125" customWidth="1"/>
  </cols>
  <sheetData>
    <row r="1" spans="1:256" ht="14.45" x14ac:dyDescent="0.3">
      <c r="A1" s="6"/>
      <c r="J1" s="1"/>
    </row>
    <row r="2" spans="1:256" ht="14.45" x14ac:dyDescent="0.3">
      <c r="A2" s="6"/>
      <c r="B2" s="75" t="s">
        <v>21</v>
      </c>
      <c r="C2" s="75" t="s">
        <v>119</v>
      </c>
      <c r="J2" s="1"/>
    </row>
    <row r="3" spans="1:256" ht="77.25" x14ac:dyDescent="0.25">
      <c r="A3" s="6"/>
      <c r="B3" s="77" t="s">
        <v>117</v>
      </c>
      <c r="C3" s="76" t="s">
        <v>118</v>
      </c>
      <c r="J3" s="1"/>
    </row>
    <row r="4" spans="1:256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2" t="s">
        <v>13</v>
      </c>
    </row>
    <row r="5" spans="1:256" s="102" customFormat="1" x14ac:dyDescent="0.25">
      <c r="A5" s="102" t="s">
        <v>22</v>
      </c>
      <c r="B5" s="103">
        <v>1</v>
      </c>
      <c r="C5" s="103">
        <v>1</v>
      </c>
      <c r="D5" s="102" t="s">
        <v>250</v>
      </c>
      <c r="E5" s="102" t="s">
        <v>24</v>
      </c>
      <c r="F5" s="103">
        <v>1024</v>
      </c>
      <c r="G5" s="102" t="s">
        <v>25</v>
      </c>
      <c r="H5" s="103" t="s">
        <v>26</v>
      </c>
      <c r="I5" s="103" t="s">
        <v>18</v>
      </c>
      <c r="J5" s="102" t="s">
        <v>49</v>
      </c>
    </row>
    <row r="6" spans="1:256" s="271" customFormat="1" x14ac:dyDescent="0.25">
      <c r="A6" s="271" t="s">
        <v>22</v>
      </c>
      <c r="B6" s="272">
        <v>1</v>
      </c>
      <c r="C6" s="272">
        <v>1</v>
      </c>
      <c r="D6" s="274" t="s">
        <v>250</v>
      </c>
      <c r="E6" s="271" t="s">
        <v>24</v>
      </c>
      <c r="F6" s="272">
        <v>1024</v>
      </c>
      <c r="G6" s="271" t="s">
        <v>25</v>
      </c>
      <c r="H6" s="272" t="s">
        <v>26</v>
      </c>
      <c r="I6" s="272" t="s">
        <v>18</v>
      </c>
      <c r="J6" s="270" t="s">
        <v>745</v>
      </c>
    </row>
    <row r="7" spans="1:256" s="271" customFormat="1" x14ac:dyDescent="0.25">
      <c r="A7" s="271" t="s">
        <v>22</v>
      </c>
      <c r="B7" s="272">
        <v>1</v>
      </c>
      <c r="C7" s="272">
        <v>1</v>
      </c>
      <c r="D7" s="274" t="s">
        <v>250</v>
      </c>
      <c r="E7" s="271" t="s">
        <v>24</v>
      </c>
      <c r="F7" s="272">
        <v>1024</v>
      </c>
      <c r="G7" s="271" t="s">
        <v>25</v>
      </c>
      <c r="H7" s="272" t="s">
        <v>26</v>
      </c>
      <c r="I7" s="272" t="s">
        <v>18</v>
      </c>
      <c r="J7" s="271" t="s">
        <v>746</v>
      </c>
    </row>
    <row r="8" spans="1:256" s="327" customFormat="1" x14ac:dyDescent="0.25">
      <c r="A8" s="327" t="s">
        <v>22</v>
      </c>
      <c r="B8" s="328">
        <v>2</v>
      </c>
      <c r="C8" s="328">
        <v>1</v>
      </c>
      <c r="D8" s="327" t="s">
        <v>250</v>
      </c>
      <c r="E8" s="327" t="s">
        <v>24</v>
      </c>
      <c r="F8" s="328">
        <v>1024</v>
      </c>
      <c r="G8" s="327" t="s">
        <v>25</v>
      </c>
      <c r="H8" s="328" t="s">
        <v>26</v>
      </c>
      <c r="I8" s="328" t="s">
        <v>18</v>
      </c>
      <c r="J8" s="327" t="s">
        <v>743</v>
      </c>
    </row>
    <row r="9" spans="1:256" s="327" customFormat="1" x14ac:dyDescent="0.25">
      <c r="A9" s="327" t="s">
        <v>22</v>
      </c>
      <c r="B9" s="328">
        <v>2</v>
      </c>
      <c r="C9" s="328">
        <v>1</v>
      </c>
      <c r="D9" s="327" t="s">
        <v>250</v>
      </c>
      <c r="E9" s="327" t="s">
        <v>24</v>
      </c>
      <c r="F9" s="328">
        <v>1024</v>
      </c>
      <c r="G9" s="327" t="s">
        <v>25</v>
      </c>
      <c r="H9" s="328" t="s">
        <v>26</v>
      </c>
      <c r="I9" s="328" t="s">
        <v>18</v>
      </c>
      <c r="J9" s="327" t="s">
        <v>864</v>
      </c>
    </row>
    <row r="10" spans="1:256" s="340" customFormat="1" ht="14.45" customHeight="1" x14ac:dyDescent="0.25">
      <c r="A10" s="340" t="s">
        <v>22</v>
      </c>
      <c r="B10" s="275">
        <v>1</v>
      </c>
      <c r="C10" s="275">
        <v>1</v>
      </c>
      <c r="D10" s="340" t="s">
        <v>250</v>
      </c>
      <c r="E10" s="340" t="s">
        <v>24</v>
      </c>
      <c r="F10" s="275">
        <v>1024</v>
      </c>
      <c r="G10" s="340" t="s">
        <v>25</v>
      </c>
      <c r="H10" s="275" t="s">
        <v>26</v>
      </c>
      <c r="I10" s="275" t="s">
        <v>18</v>
      </c>
      <c r="J10" s="340" t="s">
        <v>744</v>
      </c>
    </row>
    <row r="11" spans="1:256" s="497" customFormat="1" ht="14.45" customHeight="1" x14ac:dyDescent="0.25">
      <c r="A11" s="516" t="s">
        <v>22</v>
      </c>
      <c r="B11" s="514">
        <v>1</v>
      </c>
      <c r="C11" s="514">
        <v>1</v>
      </c>
      <c r="D11" s="516" t="s">
        <v>250</v>
      </c>
      <c r="E11" s="516" t="s">
        <v>24</v>
      </c>
      <c r="F11" s="514">
        <v>1024</v>
      </c>
      <c r="G11" s="516" t="s">
        <v>25</v>
      </c>
      <c r="H11" s="514" t="s">
        <v>26</v>
      </c>
      <c r="I11" s="514" t="s">
        <v>18</v>
      </c>
      <c r="J11" s="515" t="str">
        <f>"FUFan1Speed;FUFan1Speed;"&amp;Limits!D38&amp;"|"&amp;Limits!D39&amp;"|"&amp;Limits!D40&amp;"|"&amp;Limits!D41&amp;";7|5|4|3|1"</f>
        <v>FUFan1Speed;FUFan1Speed;FANRPMCMax|FANRPMWMax|FANRPMWMin|FANRPMCMin;7|5|4|3|1</v>
      </c>
      <c r="K11" s="516"/>
      <c r="L11" s="516"/>
      <c r="M11" s="516"/>
      <c r="N11" s="516"/>
      <c r="O11" s="516"/>
      <c r="P11" s="516"/>
      <c r="Q11" s="516"/>
      <c r="R11" s="516"/>
      <c r="S11" s="516"/>
      <c r="T11" s="516"/>
      <c r="U11" s="516"/>
      <c r="V11" s="516"/>
      <c r="W11" s="516"/>
      <c r="X11" s="516"/>
      <c r="Y11" s="516"/>
      <c r="Z11" s="516"/>
      <c r="AA11" s="516"/>
      <c r="AB11" s="516"/>
      <c r="AC11" s="516"/>
      <c r="AD11" s="516"/>
      <c r="AE11" s="516"/>
      <c r="AF11" s="516"/>
      <c r="AG11" s="516"/>
      <c r="AH11" s="516"/>
      <c r="AI11" s="516"/>
      <c r="AJ11" s="516"/>
      <c r="AK11" s="516"/>
      <c r="AL11" s="516"/>
      <c r="AM11" s="516"/>
      <c r="AN11" s="516"/>
      <c r="AO11" s="516"/>
      <c r="AP11" s="516"/>
      <c r="AQ11" s="516"/>
      <c r="AR11" s="516"/>
      <c r="AS11" s="516"/>
      <c r="AT11" s="516"/>
      <c r="AU11" s="516"/>
      <c r="AV11" s="516"/>
      <c r="AW11" s="516"/>
      <c r="AX11" s="516"/>
      <c r="AY11" s="516"/>
      <c r="AZ11" s="516"/>
      <c r="BA11" s="516"/>
      <c r="BB11" s="516"/>
      <c r="BC11" s="516"/>
      <c r="BD11" s="516"/>
      <c r="BE11" s="516"/>
      <c r="BF11" s="516"/>
      <c r="BG11" s="516"/>
      <c r="BH11" s="516"/>
      <c r="BI11" s="516"/>
      <c r="BJ11" s="516"/>
      <c r="BK11" s="516"/>
      <c r="BL11" s="516"/>
      <c r="BM11" s="516"/>
      <c r="BN11" s="516"/>
      <c r="BO11" s="516"/>
      <c r="BP11" s="516"/>
      <c r="BQ11" s="516"/>
      <c r="BR11" s="516"/>
      <c r="BS11" s="516"/>
      <c r="BT11" s="516"/>
      <c r="BU11" s="516"/>
      <c r="BV11" s="516"/>
      <c r="BW11" s="516"/>
      <c r="BX11" s="516"/>
      <c r="BY11" s="516"/>
      <c r="BZ11" s="516"/>
      <c r="CA11" s="516"/>
      <c r="CB11" s="516"/>
      <c r="CC11" s="516"/>
      <c r="CD11" s="516"/>
      <c r="CE11" s="516"/>
      <c r="CF11" s="516"/>
      <c r="CG11" s="516"/>
      <c r="CH11" s="516"/>
      <c r="CI11" s="516"/>
      <c r="CJ11" s="516"/>
      <c r="CK11" s="516"/>
      <c r="CL11" s="516"/>
      <c r="CM11" s="516"/>
      <c r="CN11" s="516"/>
      <c r="CO11" s="516"/>
      <c r="CP11" s="516"/>
      <c r="CQ11" s="516"/>
      <c r="CR11" s="516"/>
      <c r="CS11" s="516"/>
      <c r="CT11" s="516"/>
      <c r="CU11" s="516"/>
      <c r="CV11" s="516"/>
      <c r="CW11" s="516"/>
      <c r="CX11" s="516"/>
      <c r="CY11" s="516"/>
      <c r="CZ11" s="516"/>
      <c r="DA11" s="516"/>
      <c r="DB11" s="516"/>
      <c r="DC11" s="516"/>
      <c r="DD11" s="516"/>
      <c r="DE11" s="516"/>
      <c r="DF11" s="516"/>
      <c r="DG11" s="516"/>
      <c r="DH11" s="516"/>
      <c r="DI11" s="516"/>
      <c r="DJ11" s="516"/>
      <c r="DK11" s="516"/>
      <c r="DL11" s="516"/>
      <c r="DM11" s="516"/>
      <c r="DN11" s="516"/>
      <c r="DO11" s="516"/>
      <c r="DP11" s="516"/>
      <c r="DQ11" s="516"/>
      <c r="DR11" s="516"/>
      <c r="DS11" s="516"/>
      <c r="DT11" s="516"/>
      <c r="DU11" s="516"/>
      <c r="DV11" s="516"/>
      <c r="DW11" s="516"/>
      <c r="DX11" s="516"/>
      <c r="DY11" s="516"/>
      <c r="DZ11" s="516"/>
      <c r="EA11" s="516"/>
      <c r="EB11" s="516"/>
      <c r="EC11" s="516"/>
      <c r="ED11" s="516"/>
      <c r="EE11" s="516"/>
      <c r="EF11" s="516"/>
      <c r="EG11" s="516"/>
      <c r="EH11" s="516"/>
      <c r="EI11" s="516"/>
      <c r="EJ11" s="516"/>
      <c r="EK11" s="516"/>
      <c r="EL11" s="516"/>
      <c r="EM11" s="516"/>
      <c r="EN11" s="516"/>
      <c r="EO11" s="516"/>
      <c r="EP11" s="516"/>
      <c r="EQ11" s="516"/>
      <c r="ER11" s="516"/>
      <c r="ES11" s="516"/>
      <c r="ET11" s="516"/>
      <c r="EU11" s="516"/>
      <c r="EV11" s="516"/>
      <c r="EW11" s="516"/>
      <c r="EX11" s="516"/>
      <c r="EY11" s="516"/>
      <c r="EZ11" s="516"/>
      <c r="FA11" s="516"/>
      <c r="FB11" s="516"/>
      <c r="FC11" s="516"/>
      <c r="FD11" s="516"/>
      <c r="FE11" s="516"/>
      <c r="FF11" s="516"/>
      <c r="FG11" s="516"/>
      <c r="FH11" s="516"/>
      <c r="FI11" s="516"/>
      <c r="FJ11" s="516"/>
      <c r="FK11" s="516"/>
      <c r="FL11" s="516"/>
      <c r="FM11" s="516"/>
      <c r="FN11" s="516"/>
      <c r="FO11" s="516"/>
      <c r="FP11" s="516"/>
      <c r="FQ11" s="516"/>
      <c r="FR11" s="516"/>
      <c r="FS11" s="516"/>
      <c r="FT11" s="516"/>
      <c r="FU11" s="516"/>
      <c r="FV11" s="516"/>
      <c r="FW11" s="516"/>
      <c r="FX11" s="516"/>
      <c r="FY11" s="516"/>
      <c r="FZ11" s="516"/>
      <c r="GA11" s="516"/>
      <c r="GB11" s="516"/>
      <c r="GC11" s="516"/>
      <c r="GD11" s="516"/>
      <c r="GE11" s="516"/>
      <c r="GF11" s="516"/>
      <c r="GG11" s="516"/>
      <c r="GH11" s="516"/>
      <c r="GI11" s="516"/>
      <c r="GJ11" s="516"/>
      <c r="GK11" s="516"/>
      <c r="GL11" s="516"/>
      <c r="GM11" s="516"/>
      <c r="GN11" s="516"/>
      <c r="GO11" s="516"/>
      <c r="GP11" s="516"/>
      <c r="GQ11" s="516"/>
      <c r="GR11" s="516"/>
      <c r="GS11" s="516"/>
      <c r="GT11" s="516"/>
      <c r="GU11" s="516"/>
      <c r="GV11" s="516"/>
      <c r="GW11" s="516"/>
      <c r="GX11" s="516"/>
      <c r="GY11" s="516"/>
      <c r="GZ11" s="516"/>
      <c r="HA11" s="516"/>
      <c r="HB11" s="516"/>
      <c r="HC11" s="516"/>
      <c r="HD11" s="516"/>
      <c r="HE11" s="516"/>
      <c r="HF11" s="516"/>
      <c r="HG11" s="516"/>
      <c r="HH11" s="516"/>
      <c r="HI11" s="516"/>
      <c r="HJ11" s="516"/>
      <c r="HK11" s="516"/>
      <c r="HL11" s="516"/>
      <c r="HM11" s="516"/>
      <c r="HN11" s="516"/>
      <c r="HO11" s="516"/>
      <c r="HP11" s="516"/>
      <c r="HQ11" s="516"/>
      <c r="HR11" s="516"/>
      <c r="HS11" s="516"/>
      <c r="HT11" s="516"/>
      <c r="HU11" s="516"/>
      <c r="HV11" s="516"/>
      <c r="HW11" s="516"/>
      <c r="HX11" s="516"/>
      <c r="HY11" s="516"/>
      <c r="HZ11" s="516"/>
      <c r="IA11" s="516"/>
      <c r="IB11" s="516"/>
      <c r="IC11" s="516"/>
      <c r="ID11" s="516"/>
      <c r="IE11" s="516"/>
      <c r="IF11" s="516"/>
      <c r="IG11" s="516"/>
      <c r="IH11" s="516"/>
      <c r="II11" s="516"/>
      <c r="IJ11" s="516"/>
      <c r="IK11" s="516"/>
      <c r="IL11" s="516"/>
      <c r="IM11" s="516"/>
      <c r="IN11" s="516"/>
      <c r="IO11" s="516"/>
      <c r="IP11" s="516"/>
      <c r="IQ11" s="516"/>
      <c r="IR11" s="516"/>
      <c r="IS11" s="516"/>
      <c r="IT11" s="516"/>
      <c r="IU11" s="516"/>
      <c r="IV11" s="516"/>
    </row>
    <row r="12" spans="1:256" s="497" customFormat="1" ht="14.45" customHeight="1" x14ac:dyDescent="0.25">
      <c r="A12" s="516" t="s">
        <v>22</v>
      </c>
      <c r="B12" s="514">
        <v>1</v>
      </c>
      <c r="C12" s="514">
        <v>1</v>
      </c>
      <c r="D12" s="516" t="s">
        <v>250</v>
      </c>
      <c r="E12" s="516" t="s">
        <v>24</v>
      </c>
      <c r="F12" s="514">
        <v>1024</v>
      </c>
      <c r="G12" s="516" t="s">
        <v>25</v>
      </c>
      <c r="H12" s="514" t="s">
        <v>26</v>
      </c>
      <c r="I12" s="514" t="s">
        <v>18</v>
      </c>
      <c r="J12" s="515" t="str">
        <f>"FUFan2Speed;FUFan2Speed;"&amp;Limits!D38&amp;"|"&amp;Limits!D39&amp;"|"&amp;Limits!D40&amp;"|"&amp;Limits!D41&amp;";7|5|4|3|1"</f>
        <v>FUFan2Speed;FUFan2Speed;FANRPMCMax|FANRPMWMax|FANRPMWMin|FANRPMCMin;7|5|4|3|1</v>
      </c>
      <c r="K12" s="516"/>
      <c r="L12" s="516"/>
      <c r="M12" s="516"/>
      <c r="N12" s="516"/>
      <c r="O12" s="516"/>
      <c r="P12" s="516"/>
      <c r="Q12" s="516"/>
      <c r="R12" s="516"/>
      <c r="S12" s="516"/>
      <c r="T12" s="516"/>
      <c r="U12" s="516"/>
      <c r="V12" s="516"/>
      <c r="W12" s="516"/>
      <c r="X12" s="516"/>
      <c r="Y12" s="516"/>
      <c r="Z12" s="516"/>
      <c r="AA12" s="516"/>
      <c r="AB12" s="516"/>
      <c r="AC12" s="516"/>
      <c r="AD12" s="516"/>
      <c r="AE12" s="516"/>
      <c r="AF12" s="516"/>
      <c r="AG12" s="516"/>
      <c r="AH12" s="516"/>
      <c r="AI12" s="516"/>
      <c r="AJ12" s="516"/>
      <c r="AK12" s="516"/>
      <c r="AL12" s="516"/>
      <c r="AM12" s="516"/>
      <c r="AN12" s="516"/>
      <c r="AO12" s="516"/>
      <c r="AP12" s="516"/>
      <c r="AQ12" s="516"/>
      <c r="AR12" s="516"/>
      <c r="AS12" s="516"/>
      <c r="AT12" s="516"/>
      <c r="AU12" s="516"/>
      <c r="AV12" s="516"/>
      <c r="AW12" s="516"/>
      <c r="AX12" s="516"/>
      <c r="AY12" s="516"/>
      <c r="AZ12" s="516"/>
      <c r="BA12" s="516"/>
      <c r="BB12" s="516"/>
      <c r="BC12" s="516"/>
      <c r="BD12" s="516"/>
      <c r="BE12" s="516"/>
      <c r="BF12" s="516"/>
      <c r="BG12" s="516"/>
      <c r="BH12" s="516"/>
      <c r="BI12" s="516"/>
      <c r="BJ12" s="516"/>
      <c r="BK12" s="516"/>
      <c r="BL12" s="516"/>
      <c r="BM12" s="516"/>
      <c r="BN12" s="516"/>
      <c r="BO12" s="516"/>
      <c r="BP12" s="516"/>
      <c r="BQ12" s="516"/>
      <c r="BR12" s="516"/>
      <c r="BS12" s="516"/>
      <c r="BT12" s="516"/>
      <c r="BU12" s="516"/>
      <c r="BV12" s="516"/>
      <c r="BW12" s="516"/>
      <c r="BX12" s="516"/>
      <c r="BY12" s="516"/>
      <c r="BZ12" s="516"/>
      <c r="CA12" s="516"/>
      <c r="CB12" s="516"/>
      <c r="CC12" s="516"/>
      <c r="CD12" s="516"/>
      <c r="CE12" s="516"/>
      <c r="CF12" s="516"/>
      <c r="CG12" s="516"/>
      <c r="CH12" s="516"/>
      <c r="CI12" s="516"/>
      <c r="CJ12" s="516"/>
      <c r="CK12" s="516"/>
      <c r="CL12" s="516"/>
      <c r="CM12" s="516"/>
      <c r="CN12" s="516"/>
      <c r="CO12" s="516"/>
      <c r="CP12" s="516"/>
      <c r="CQ12" s="516"/>
      <c r="CR12" s="516"/>
      <c r="CS12" s="516"/>
      <c r="CT12" s="516"/>
      <c r="CU12" s="516"/>
      <c r="CV12" s="516"/>
      <c r="CW12" s="516"/>
      <c r="CX12" s="516"/>
      <c r="CY12" s="516"/>
      <c r="CZ12" s="516"/>
      <c r="DA12" s="516"/>
      <c r="DB12" s="516"/>
      <c r="DC12" s="516"/>
      <c r="DD12" s="516"/>
      <c r="DE12" s="516"/>
      <c r="DF12" s="516"/>
      <c r="DG12" s="516"/>
      <c r="DH12" s="516"/>
      <c r="DI12" s="516"/>
      <c r="DJ12" s="516"/>
      <c r="DK12" s="516"/>
      <c r="DL12" s="516"/>
      <c r="DM12" s="516"/>
      <c r="DN12" s="516"/>
      <c r="DO12" s="516"/>
      <c r="DP12" s="516"/>
      <c r="DQ12" s="516"/>
      <c r="DR12" s="516"/>
      <c r="DS12" s="516"/>
      <c r="DT12" s="516"/>
      <c r="DU12" s="516"/>
      <c r="DV12" s="516"/>
      <c r="DW12" s="516"/>
      <c r="DX12" s="516"/>
      <c r="DY12" s="516"/>
      <c r="DZ12" s="516"/>
      <c r="EA12" s="516"/>
      <c r="EB12" s="516"/>
      <c r="EC12" s="516"/>
      <c r="ED12" s="516"/>
      <c r="EE12" s="516"/>
      <c r="EF12" s="516"/>
      <c r="EG12" s="516"/>
      <c r="EH12" s="516"/>
      <c r="EI12" s="516"/>
      <c r="EJ12" s="516"/>
      <c r="EK12" s="516"/>
      <c r="EL12" s="516"/>
      <c r="EM12" s="516"/>
      <c r="EN12" s="516"/>
      <c r="EO12" s="516"/>
      <c r="EP12" s="516"/>
      <c r="EQ12" s="516"/>
      <c r="ER12" s="516"/>
      <c r="ES12" s="516"/>
      <c r="ET12" s="516"/>
      <c r="EU12" s="516"/>
      <c r="EV12" s="516"/>
      <c r="EW12" s="516"/>
      <c r="EX12" s="516"/>
      <c r="EY12" s="516"/>
      <c r="EZ12" s="516"/>
      <c r="FA12" s="516"/>
      <c r="FB12" s="516"/>
      <c r="FC12" s="516"/>
      <c r="FD12" s="516"/>
      <c r="FE12" s="516"/>
      <c r="FF12" s="516"/>
      <c r="FG12" s="516"/>
      <c r="FH12" s="516"/>
      <c r="FI12" s="516"/>
      <c r="FJ12" s="516"/>
      <c r="FK12" s="516"/>
      <c r="FL12" s="516"/>
      <c r="FM12" s="516"/>
      <c r="FN12" s="516"/>
      <c r="FO12" s="516"/>
      <c r="FP12" s="516"/>
      <c r="FQ12" s="516"/>
      <c r="FR12" s="516"/>
      <c r="FS12" s="516"/>
      <c r="FT12" s="516"/>
      <c r="FU12" s="516"/>
      <c r="FV12" s="516"/>
      <c r="FW12" s="516"/>
      <c r="FX12" s="516"/>
      <c r="FY12" s="516"/>
      <c r="FZ12" s="516"/>
      <c r="GA12" s="516"/>
      <c r="GB12" s="516"/>
      <c r="GC12" s="516"/>
      <c r="GD12" s="516"/>
      <c r="GE12" s="516"/>
      <c r="GF12" s="516"/>
      <c r="GG12" s="516"/>
      <c r="GH12" s="516"/>
      <c r="GI12" s="516"/>
      <c r="GJ12" s="516"/>
      <c r="GK12" s="516"/>
      <c r="GL12" s="516"/>
      <c r="GM12" s="516"/>
      <c r="GN12" s="516"/>
      <c r="GO12" s="516"/>
      <c r="GP12" s="516"/>
      <c r="GQ12" s="516"/>
      <c r="GR12" s="516"/>
      <c r="GS12" s="516"/>
      <c r="GT12" s="516"/>
      <c r="GU12" s="516"/>
      <c r="GV12" s="516"/>
      <c r="GW12" s="516"/>
      <c r="GX12" s="516"/>
      <c r="GY12" s="516"/>
      <c r="GZ12" s="516"/>
      <c r="HA12" s="516"/>
      <c r="HB12" s="516"/>
      <c r="HC12" s="516"/>
      <c r="HD12" s="516"/>
      <c r="HE12" s="516"/>
      <c r="HF12" s="516"/>
      <c r="HG12" s="516"/>
      <c r="HH12" s="516"/>
      <c r="HI12" s="516"/>
      <c r="HJ12" s="516"/>
      <c r="HK12" s="516"/>
      <c r="HL12" s="516"/>
      <c r="HM12" s="516"/>
      <c r="HN12" s="516"/>
      <c r="HO12" s="516"/>
      <c r="HP12" s="516"/>
      <c r="HQ12" s="516"/>
      <c r="HR12" s="516"/>
      <c r="HS12" s="516"/>
      <c r="HT12" s="516"/>
      <c r="HU12" s="516"/>
      <c r="HV12" s="516"/>
      <c r="HW12" s="516"/>
      <c r="HX12" s="516"/>
      <c r="HY12" s="516"/>
      <c r="HZ12" s="516"/>
      <c r="IA12" s="516"/>
      <c r="IB12" s="516"/>
      <c r="IC12" s="516"/>
      <c r="ID12" s="516"/>
      <c r="IE12" s="516"/>
      <c r="IF12" s="516"/>
      <c r="IG12" s="516"/>
      <c r="IH12" s="516"/>
      <c r="II12" s="516"/>
      <c r="IJ12" s="516"/>
      <c r="IK12" s="516"/>
      <c r="IL12" s="516"/>
      <c r="IM12" s="516"/>
      <c r="IN12" s="516"/>
      <c r="IO12" s="516"/>
      <c r="IP12" s="516"/>
      <c r="IQ12" s="516"/>
      <c r="IR12" s="516"/>
      <c r="IS12" s="516"/>
      <c r="IT12" s="516"/>
      <c r="IU12" s="516"/>
      <c r="IV12" s="516"/>
    </row>
    <row r="13" spans="1:256" s="497" customFormat="1" ht="14.45" customHeight="1" x14ac:dyDescent="0.25">
      <c r="A13" s="516" t="s">
        <v>22</v>
      </c>
      <c r="B13" s="514">
        <v>1</v>
      </c>
      <c r="C13" s="514">
        <v>1</v>
      </c>
      <c r="D13" s="516" t="s">
        <v>250</v>
      </c>
      <c r="E13" s="516" t="s">
        <v>24</v>
      </c>
      <c r="F13" s="514">
        <v>1024</v>
      </c>
      <c r="G13" s="516" t="s">
        <v>25</v>
      </c>
      <c r="H13" s="514" t="s">
        <v>26</v>
      </c>
      <c r="I13" s="514" t="s">
        <v>18</v>
      </c>
      <c r="J13" s="515" t="str">
        <f>"FUFan3Speed;FUFan3Speed;"&amp;Limits!D38&amp;"|"&amp;Limits!D39&amp;"|"&amp;Limits!D40&amp;"|"&amp;Limits!D41&amp;";7|5|4|3|1"</f>
        <v>FUFan3Speed;FUFan3Speed;FANRPMCMax|FANRPMWMax|FANRPMWMin|FANRPMCMin;7|5|4|3|1</v>
      </c>
      <c r="K13" s="516"/>
      <c r="L13" s="516"/>
      <c r="M13" s="516"/>
      <c r="N13" s="516"/>
      <c r="O13" s="516"/>
      <c r="P13" s="516"/>
      <c r="Q13" s="516"/>
      <c r="R13" s="516"/>
      <c r="S13" s="516"/>
      <c r="T13" s="516"/>
      <c r="U13" s="516"/>
      <c r="V13" s="516"/>
      <c r="W13" s="516"/>
      <c r="X13" s="516"/>
      <c r="Y13" s="516"/>
      <c r="Z13" s="516"/>
      <c r="AA13" s="516"/>
      <c r="AB13" s="516"/>
      <c r="AC13" s="516"/>
      <c r="AD13" s="516"/>
      <c r="AE13" s="516"/>
      <c r="AF13" s="516"/>
      <c r="AG13" s="516"/>
      <c r="AH13" s="516"/>
      <c r="AI13" s="516"/>
      <c r="AJ13" s="516"/>
      <c r="AK13" s="516"/>
      <c r="AL13" s="516"/>
      <c r="AM13" s="516"/>
      <c r="AN13" s="516"/>
      <c r="AO13" s="516"/>
      <c r="AP13" s="516"/>
      <c r="AQ13" s="516"/>
      <c r="AR13" s="516"/>
      <c r="AS13" s="516"/>
      <c r="AT13" s="516"/>
      <c r="AU13" s="516"/>
      <c r="AV13" s="516"/>
      <c r="AW13" s="516"/>
      <c r="AX13" s="516"/>
      <c r="AY13" s="516"/>
      <c r="AZ13" s="516"/>
      <c r="BA13" s="516"/>
      <c r="BB13" s="516"/>
      <c r="BC13" s="516"/>
      <c r="BD13" s="516"/>
      <c r="BE13" s="516"/>
      <c r="BF13" s="516"/>
      <c r="BG13" s="516"/>
      <c r="BH13" s="516"/>
      <c r="BI13" s="516"/>
      <c r="BJ13" s="516"/>
      <c r="BK13" s="516"/>
      <c r="BL13" s="516"/>
      <c r="BM13" s="516"/>
      <c r="BN13" s="516"/>
      <c r="BO13" s="516"/>
      <c r="BP13" s="516"/>
      <c r="BQ13" s="516"/>
      <c r="BR13" s="516"/>
      <c r="BS13" s="516"/>
      <c r="BT13" s="516"/>
      <c r="BU13" s="516"/>
      <c r="BV13" s="516"/>
      <c r="BW13" s="516"/>
      <c r="BX13" s="516"/>
      <c r="BY13" s="516"/>
      <c r="BZ13" s="516"/>
      <c r="CA13" s="516"/>
      <c r="CB13" s="516"/>
      <c r="CC13" s="516"/>
      <c r="CD13" s="516"/>
      <c r="CE13" s="516"/>
      <c r="CF13" s="516"/>
      <c r="CG13" s="516"/>
      <c r="CH13" s="516"/>
      <c r="CI13" s="516"/>
      <c r="CJ13" s="516"/>
      <c r="CK13" s="516"/>
      <c r="CL13" s="516"/>
      <c r="CM13" s="516"/>
      <c r="CN13" s="516"/>
      <c r="CO13" s="516"/>
      <c r="CP13" s="516"/>
      <c r="CQ13" s="516"/>
      <c r="CR13" s="516"/>
      <c r="CS13" s="516"/>
      <c r="CT13" s="516"/>
      <c r="CU13" s="516"/>
      <c r="CV13" s="516"/>
      <c r="CW13" s="516"/>
      <c r="CX13" s="516"/>
      <c r="CY13" s="516"/>
      <c r="CZ13" s="516"/>
      <c r="DA13" s="516"/>
      <c r="DB13" s="516"/>
      <c r="DC13" s="516"/>
      <c r="DD13" s="516"/>
      <c r="DE13" s="516"/>
      <c r="DF13" s="516"/>
      <c r="DG13" s="516"/>
      <c r="DH13" s="516"/>
      <c r="DI13" s="516"/>
      <c r="DJ13" s="516"/>
      <c r="DK13" s="516"/>
      <c r="DL13" s="516"/>
      <c r="DM13" s="516"/>
      <c r="DN13" s="516"/>
      <c r="DO13" s="516"/>
      <c r="DP13" s="516"/>
      <c r="DQ13" s="516"/>
      <c r="DR13" s="516"/>
      <c r="DS13" s="516"/>
      <c r="DT13" s="516"/>
      <c r="DU13" s="516"/>
      <c r="DV13" s="516"/>
      <c r="DW13" s="516"/>
      <c r="DX13" s="516"/>
      <c r="DY13" s="516"/>
      <c r="DZ13" s="516"/>
      <c r="EA13" s="516"/>
      <c r="EB13" s="516"/>
      <c r="EC13" s="516"/>
      <c r="ED13" s="516"/>
      <c r="EE13" s="516"/>
      <c r="EF13" s="516"/>
      <c r="EG13" s="516"/>
      <c r="EH13" s="516"/>
      <c r="EI13" s="516"/>
      <c r="EJ13" s="516"/>
      <c r="EK13" s="516"/>
      <c r="EL13" s="516"/>
      <c r="EM13" s="516"/>
      <c r="EN13" s="516"/>
      <c r="EO13" s="516"/>
      <c r="EP13" s="516"/>
      <c r="EQ13" s="516"/>
      <c r="ER13" s="516"/>
      <c r="ES13" s="516"/>
      <c r="ET13" s="516"/>
      <c r="EU13" s="516"/>
      <c r="EV13" s="516"/>
      <c r="EW13" s="516"/>
      <c r="EX13" s="516"/>
      <c r="EY13" s="516"/>
      <c r="EZ13" s="516"/>
      <c r="FA13" s="516"/>
      <c r="FB13" s="516"/>
      <c r="FC13" s="516"/>
      <c r="FD13" s="516"/>
      <c r="FE13" s="516"/>
      <c r="FF13" s="516"/>
      <c r="FG13" s="516"/>
      <c r="FH13" s="516"/>
      <c r="FI13" s="516"/>
      <c r="FJ13" s="516"/>
      <c r="FK13" s="516"/>
      <c r="FL13" s="516"/>
      <c r="FM13" s="516"/>
      <c r="FN13" s="516"/>
      <c r="FO13" s="516"/>
      <c r="FP13" s="516"/>
      <c r="FQ13" s="516"/>
      <c r="FR13" s="516"/>
      <c r="FS13" s="516"/>
      <c r="FT13" s="516"/>
      <c r="FU13" s="516"/>
      <c r="FV13" s="516"/>
      <c r="FW13" s="516"/>
      <c r="FX13" s="516"/>
      <c r="FY13" s="516"/>
      <c r="FZ13" s="516"/>
      <c r="GA13" s="516"/>
      <c r="GB13" s="516"/>
      <c r="GC13" s="516"/>
      <c r="GD13" s="516"/>
      <c r="GE13" s="516"/>
      <c r="GF13" s="516"/>
      <c r="GG13" s="516"/>
      <c r="GH13" s="516"/>
      <c r="GI13" s="516"/>
      <c r="GJ13" s="516"/>
      <c r="GK13" s="516"/>
      <c r="GL13" s="516"/>
      <c r="GM13" s="516"/>
      <c r="GN13" s="516"/>
      <c r="GO13" s="516"/>
      <c r="GP13" s="516"/>
      <c r="GQ13" s="516"/>
      <c r="GR13" s="516"/>
      <c r="GS13" s="516"/>
      <c r="GT13" s="516"/>
      <c r="GU13" s="516"/>
      <c r="GV13" s="516"/>
      <c r="GW13" s="516"/>
      <c r="GX13" s="516"/>
      <c r="GY13" s="516"/>
      <c r="GZ13" s="516"/>
      <c r="HA13" s="516"/>
      <c r="HB13" s="516"/>
      <c r="HC13" s="516"/>
      <c r="HD13" s="516"/>
      <c r="HE13" s="516"/>
      <c r="HF13" s="516"/>
      <c r="HG13" s="516"/>
      <c r="HH13" s="516"/>
      <c r="HI13" s="516"/>
      <c r="HJ13" s="516"/>
      <c r="HK13" s="516"/>
      <c r="HL13" s="516"/>
      <c r="HM13" s="516"/>
      <c r="HN13" s="516"/>
      <c r="HO13" s="516"/>
      <c r="HP13" s="516"/>
      <c r="HQ13" s="516"/>
      <c r="HR13" s="516"/>
      <c r="HS13" s="516"/>
      <c r="HT13" s="516"/>
      <c r="HU13" s="516"/>
      <c r="HV13" s="516"/>
      <c r="HW13" s="516"/>
      <c r="HX13" s="516"/>
      <c r="HY13" s="516"/>
      <c r="HZ13" s="516"/>
      <c r="IA13" s="516"/>
      <c r="IB13" s="516"/>
      <c r="IC13" s="516"/>
      <c r="ID13" s="516"/>
      <c r="IE13" s="516"/>
      <c r="IF13" s="516"/>
      <c r="IG13" s="516"/>
      <c r="IH13" s="516"/>
      <c r="II13" s="516"/>
      <c r="IJ13" s="516"/>
      <c r="IK13" s="516"/>
      <c r="IL13" s="516"/>
      <c r="IM13" s="516"/>
      <c r="IN13" s="516"/>
      <c r="IO13" s="516"/>
      <c r="IP13" s="516"/>
      <c r="IQ13" s="516"/>
      <c r="IR13" s="516"/>
      <c r="IS13" s="516"/>
      <c r="IT13" s="516"/>
      <c r="IU13" s="516"/>
      <c r="IV13" s="516"/>
    </row>
    <row r="14" spans="1:256" s="497" customFormat="1" ht="14.45" customHeight="1" x14ac:dyDescent="0.25">
      <c r="A14" s="516" t="s">
        <v>22</v>
      </c>
      <c r="B14" s="514">
        <v>1</v>
      </c>
      <c r="C14" s="514">
        <v>1</v>
      </c>
      <c r="D14" s="516" t="s">
        <v>250</v>
      </c>
      <c r="E14" s="516" t="s">
        <v>24</v>
      </c>
      <c r="F14" s="514">
        <v>1024</v>
      </c>
      <c r="G14" s="516" t="s">
        <v>25</v>
      </c>
      <c r="H14" s="514" t="s">
        <v>26</v>
      </c>
      <c r="I14" s="514" t="s">
        <v>18</v>
      </c>
      <c r="J14" s="515" t="str">
        <f>"FUFan4Speed;FUFan4Speed;"&amp;Limits!D38&amp;"|"&amp;Limits!D39&amp;"|"&amp;Limits!D40&amp;"|"&amp;Limits!D41&amp;";7|5|4|3|1"</f>
        <v>FUFan4Speed;FUFan4Speed;FANRPMCMax|FANRPMWMax|FANRPMWMin|FANRPMCMin;7|5|4|3|1</v>
      </c>
      <c r="K14" s="516"/>
      <c r="L14" s="516"/>
      <c r="M14" s="516"/>
      <c r="N14" s="516"/>
      <c r="O14" s="516"/>
      <c r="P14" s="516"/>
      <c r="Q14" s="516"/>
      <c r="R14" s="516"/>
      <c r="S14" s="516"/>
      <c r="T14" s="516"/>
      <c r="U14" s="516"/>
      <c r="V14" s="516"/>
      <c r="W14" s="516"/>
      <c r="X14" s="516"/>
      <c r="Y14" s="516"/>
      <c r="Z14" s="516"/>
      <c r="AA14" s="516"/>
      <c r="AB14" s="516"/>
      <c r="AC14" s="516"/>
      <c r="AD14" s="516"/>
      <c r="AE14" s="516"/>
      <c r="AF14" s="516"/>
      <c r="AG14" s="516"/>
      <c r="AH14" s="516"/>
      <c r="AI14" s="516"/>
      <c r="AJ14" s="516"/>
      <c r="AK14" s="516"/>
      <c r="AL14" s="516"/>
      <c r="AM14" s="516"/>
      <c r="AN14" s="516"/>
      <c r="AO14" s="516"/>
      <c r="AP14" s="516"/>
      <c r="AQ14" s="516"/>
      <c r="AR14" s="516"/>
      <c r="AS14" s="516"/>
      <c r="AT14" s="516"/>
      <c r="AU14" s="516"/>
      <c r="AV14" s="516"/>
      <c r="AW14" s="516"/>
      <c r="AX14" s="516"/>
      <c r="AY14" s="516"/>
      <c r="AZ14" s="516"/>
      <c r="BA14" s="516"/>
      <c r="BB14" s="516"/>
      <c r="BC14" s="516"/>
      <c r="BD14" s="516"/>
      <c r="BE14" s="516"/>
      <c r="BF14" s="516"/>
      <c r="BG14" s="516"/>
      <c r="BH14" s="516"/>
      <c r="BI14" s="516"/>
      <c r="BJ14" s="516"/>
      <c r="BK14" s="516"/>
      <c r="BL14" s="516"/>
      <c r="BM14" s="516"/>
      <c r="BN14" s="516"/>
      <c r="BO14" s="516"/>
      <c r="BP14" s="516"/>
      <c r="BQ14" s="516"/>
      <c r="BR14" s="516"/>
      <c r="BS14" s="516"/>
      <c r="BT14" s="516"/>
      <c r="BU14" s="516"/>
      <c r="BV14" s="516"/>
      <c r="BW14" s="516"/>
      <c r="BX14" s="516"/>
      <c r="BY14" s="516"/>
      <c r="BZ14" s="516"/>
      <c r="CA14" s="516"/>
      <c r="CB14" s="516"/>
      <c r="CC14" s="516"/>
      <c r="CD14" s="516"/>
      <c r="CE14" s="516"/>
      <c r="CF14" s="516"/>
      <c r="CG14" s="516"/>
      <c r="CH14" s="516"/>
      <c r="CI14" s="516"/>
      <c r="CJ14" s="516"/>
      <c r="CK14" s="516"/>
      <c r="CL14" s="516"/>
      <c r="CM14" s="516"/>
      <c r="CN14" s="516"/>
      <c r="CO14" s="516"/>
      <c r="CP14" s="516"/>
      <c r="CQ14" s="516"/>
      <c r="CR14" s="516"/>
      <c r="CS14" s="516"/>
      <c r="CT14" s="516"/>
      <c r="CU14" s="516"/>
      <c r="CV14" s="516"/>
      <c r="CW14" s="516"/>
      <c r="CX14" s="516"/>
      <c r="CY14" s="516"/>
      <c r="CZ14" s="516"/>
      <c r="DA14" s="516"/>
      <c r="DB14" s="516"/>
      <c r="DC14" s="516"/>
      <c r="DD14" s="516"/>
      <c r="DE14" s="516"/>
      <c r="DF14" s="516"/>
      <c r="DG14" s="516"/>
      <c r="DH14" s="516"/>
      <c r="DI14" s="516"/>
      <c r="DJ14" s="516"/>
      <c r="DK14" s="516"/>
      <c r="DL14" s="516"/>
      <c r="DM14" s="516"/>
      <c r="DN14" s="516"/>
      <c r="DO14" s="516"/>
      <c r="DP14" s="516"/>
      <c r="DQ14" s="516"/>
      <c r="DR14" s="516"/>
      <c r="DS14" s="516"/>
      <c r="DT14" s="516"/>
      <c r="DU14" s="516"/>
      <c r="DV14" s="516"/>
      <c r="DW14" s="516"/>
      <c r="DX14" s="516"/>
      <c r="DY14" s="516"/>
      <c r="DZ14" s="516"/>
      <c r="EA14" s="516"/>
      <c r="EB14" s="516"/>
      <c r="EC14" s="516"/>
      <c r="ED14" s="516"/>
      <c r="EE14" s="516"/>
      <c r="EF14" s="516"/>
      <c r="EG14" s="516"/>
      <c r="EH14" s="516"/>
      <c r="EI14" s="516"/>
      <c r="EJ14" s="516"/>
      <c r="EK14" s="516"/>
      <c r="EL14" s="516"/>
      <c r="EM14" s="516"/>
      <c r="EN14" s="516"/>
      <c r="EO14" s="516"/>
      <c r="EP14" s="516"/>
      <c r="EQ14" s="516"/>
      <c r="ER14" s="516"/>
      <c r="ES14" s="516"/>
      <c r="ET14" s="516"/>
      <c r="EU14" s="516"/>
      <c r="EV14" s="516"/>
      <c r="EW14" s="516"/>
      <c r="EX14" s="516"/>
      <c r="EY14" s="516"/>
      <c r="EZ14" s="516"/>
      <c r="FA14" s="516"/>
      <c r="FB14" s="516"/>
      <c r="FC14" s="516"/>
      <c r="FD14" s="516"/>
      <c r="FE14" s="516"/>
      <c r="FF14" s="516"/>
      <c r="FG14" s="516"/>
      <c r="FH14" s="516"/>
      <c r="FI14" s="516"/>
      <c r="FJ14" s="516"/>
      <c r="FK14" s="516"/>
      <c r="FL14" s="516"/>
      <c r="FM14" s="516"/>
      <c r="FN14" s="516"/>
      <c r="FO14" s="516"/>
      <c r="FP14" s="516"/>
      <c r="FQ14" s="516"/>
      <c r="FR14" s="516"/>
      <c r="FS14" s="516"/>
      <c r="FT14" s="516"/>
      <c r="FU14" s="516"/>
      <c r="FV14" s="516"/>
      <c r="FW14" s="516"/>
      <c r="FX14" s="516"/>
      <c r="FY14" s="516"/>
      <c r="FZ14" s="516"/>
      <c r="GA14" s="516"/>
      <c r="GB14" s="516"/>
      <c r="GC14" s="516"/>
      <c r="GD14" s="516"/>
      <c r="GE14" s="516"/>
      <c r="GF14" s="516"/>
      <c r="GG14" s="516"/>
      <c r="GH14" s="516"/>
      <c r="GI14" s="516"/>
      <c r="GJ14" s="516"/>
      <c r="GK14" s="516"/>
      <c r="GL14" s="516"/>
      <c r="GM14" s="516"/>
      <c r="GN14" s="516"/>
      <c r="GO14" s="516"/>
      <c r="GP14" s="516"/>
      <c r="GQ14" s="516"/>
      <c r="GR14" s="516"/>
      <c r="GS14" s="516"/>
      <c r="GT14" s="516"/>
      <c r="GU14" s="516"/>
      <c r="GV14" s="516"/>
      <c r="GW14" s="516"/>
      <c r="GX14" s="516"/>
      <c r="GY14" s="516"/>
      <c r="GZ14" s="516"/>
      <c r="HA14" s="516"/>
      <c r="HB14" s="516"/>
      <c r="HC14" s="516"/>
      <c r="HD14" s="516"/>
      <c r="HE14" s="516"/>
      <c r="HF14" s="516"/>
      <c r="HG14" s="516"/>
      <c r="HH14" s="516"/>
      <c r="HI14" s="516"/>
      <c r="HJ14" s="516"/>
      <c r="HK14" s="516"/>
      <c r="HL14" s="516"/>
      <c r="HM14" s="516"/>
      <c r="HN14" s="516"/>
      <c r="HO14" s="516"/>
      <c r="HP14" s="516"/>
      <c r="HQ14" s="516"/>
      <c r="HR14" s="516"/>
      <c r="HS14" s="516"/>
      <c r="HT14" s="516"/>
      <c r="HU14" s="516"/>
      <c r="HV14" s="516"/>
      <c r="HW14" s="516"/>
      <c r="HX14" s="516"/>
      <c r="HY14" s="516"/>
      <c r="HZ14" s="516"/>
      <c r="IA14" s="516"/>
      <c r="IB14" s="516"/>
      <c r="IC14" s="516"/>
      <c r="ID14" s="516"/>
      <c r="IE14" s="516"/>
      <c r="IF14" s="516"/>
      <c r="IG14" s="516"/>
      <c r="IH14" s="516"/>
      <c r="II14" s="516"/>
      <c r="IJ14" s="516"/>
      <c r="IK14" s="516"/>
      <c r="IL14" s="516"/>
      <c r="IM14" s="516"/>
      <c r="IN14" s="516"/>
      <c r="IO14" s="516"/>
      <c r="IP14" s="516"/>
      <c r="IQ14" s="516"/>
      <c r="IR14" s="516"/>
      <c r="IS14" s="516"/>
      <c r="IT14" s="516"/>
      <c r="IU14" s="516"/>
      <c r="IV14" s="516"/>
    </row>
    <row r="15" spans="1:256" s="497" customFormat="1" ht="14.45" customHeight="1" x14ac:dyDescent="0.25">
      <c r="A15" s="516" t="s">
        <v>22</v>
      </c>
      <c r="B15" s="514">
        <v>1</v>
      </c>
      <c r="C15" s="514">
        <v>1</v>
      </c>
      <c r="D15" s="516" t="s">
        <v>250</v>
      </c>
      <c r="E15" s="516" t="s">
        <v>24</v>
      </c>
      <c r="F15" s="514">
        <v>1024</v>
      </c>
      <c r="G15" s="516" t="s">
        <v>25</v>
      </c>
      <c r="H15" s="514" t="s">
        <v>26</v>
      </c>
      <c r="I15" s="514" t="s">
        <v>18</v>
      </c>
      <c r="J15" s="515" t="str">
        <f>"FUFan5Speed;FUFan5Speed;"&amp;Limits!D38&amp;"|"&amp;Limits!D39&amp;"|"&amp;Limits!D40&amp;"|"&amp;Limits!D41&amp;";7|5|4|3|1"</f>
        <v>FUFan5Speed;FUFan5Speed;FANRPMCMax|FANRPMWMax|FANRPMWMin|FANRPMCMin;7|5|4|3|1</v>
      </c>
      <c r="K15" s="516"/>
      <c r="L15" s="516"/>
      <c r="M15" s="516"/>
      <c r="N15" s="516"/>
      <c r="O15" s="516"/>
      <c r="P15" s="516"/>
      <c r="Q15" s="516"/>
      <c r="R15" s="516"/>
      <c r="S15" s="516"/>
      <c r="T15" s="516"/>
      <c r="U15" s="516"/>
      <c r="V15" s="516"/>
      <c r="W15" s="516"/>
      <c r="X15" s="516"/>
      <c r="Y15" s="516"/>
      <c r="Z15" s="516"/>
      <c r="AA15" s="516"/>
      <c r="AB15" s="516"/>
      <c r="AC15" s="516"/>
      <c r="AD15" s="516"/>
      <c r="AE15" s="516"/>
      <c r="AF15" s="516"/>
      <c r="AG15" s="516"/>
      <c r="AH15" s="516"/>
      <c r="AI15" s="516"/>
      <c r="AJ15" s="516"/>
      <c r="AK15" s="516"/>
      <c r="AL15" s="516"/>
      <c r="AM15" s="516"/>
      <c r="AN15" s="516"/>
      <c r="AO15" s="516"/>
      <c r="AP15" s="516"/>
      <c r="AQ15" s="516"/>
      <c r="AR15" s="516"/>
      <c r="AS15" s="516"/>
      <c r="AT15" s="516"/>
      <c r="AU15" s="516"/>
      <c r="AV15" s="516"/>
      <c r="AW15" s="516"/>
      <c r="AX15" s="516"/>
      <c r="AY15" s="516"/>
      <c r="AZ15" s="516"/>
      <c r="BA15" s="516"/>
      <c r="BB15" s="516"/>
      <c r="BC15" s="516"/>
      <c r="BD15" s="516"/>
      <c r="BE15" s="516"/>
      <c r="BF15" s="516"/>
      <c r="BG15" s="516"/>
      <c r="BH15" s="516"/>
      <c r="BI15" s="516"/>
      <c r="BJ15" s="516"/>
      <c r="BK15" s="516"/>
      <c r="BL15" s="516"/>
      <c r="BM15" s="516"/>
      <c r="BN15" s="516"/>
      <c r="BO15" s="516"/>
      <c r="BP15" s="516"/>
      <c r="BQ15" s="516"/>
      <c r="BR15" s="516"/>
      <c r="BS15" s="516"/>
      <c r="BT15" s="516"/>
      <c r="BU15" s="516"/>
      <c r="BV15" s="516"/>
      <c r="BW15" s="516"/>
      <c r="BX15" s="516"/>
      <c r="BY15" s="516"/>
      <c r="BZ15" s="516"/>
      <c r="CA15" s="516"/>
      <c r="CB15" s="516"/>
      <c r="CC15" s="516"/>
      <c r="CD15" s="516"/>
      <c r="CE15" s="516"/>
      <c r="CF15" s="516"/>
      <c r="CG15" s="516"/>
      <c r="CH15" s="516"/>
      <c r="CI15" s="516"/>
      <c r="CJ15" s="516"/>
      <c r="CK15" s="516"/>
      <c r="CL15" s="516"/>
      <c r="CM15" s="516"/>
      <c r="CN15" s="516"/>
      <c r="CO15" s="516"/>
      <c r="CP15" s="516"/>
      <c r="CQ15" s="516"/>
      <c r="CR15" s="516"/>
      <c r="CS15" s="516"/>
      <c r="CT15" s="516"/>
      <c r="CU15" s="516"/>
      <c r="CV15" s="516"/>
      <c r="CW15" s="516"/>
      <c r="CX15" s="516"/>
      <c r="CY15" s="516"/>
      <c r="CZ15" s="516"/>
      <c r="DA15" s="516"/>
      <c r="DB15" s="516"/>
      <c r="DC15" s="516"/>
      <c r="DD15" s="516"/>
      <c r="DE15" s="516"/>
      <c r="DF15" s="516"/>
      <c r="DG15" s="516"/>
      <c r="DH15" s="516"/>
      <c r="DI15" s="516"/>
      <c r="DJ15" s="516"/>
      <c r="DK15" s="516"/>
      <c r="DL15" s="516"/>
      <c r="DM15" s="516"/>
      <c r="DN15" s="516"/>
      <c r="DO15" s="516"/>
      <c r="DP15" s="516"/>
      <c r="DQ15" s="516"/>
      <c r="DR15" s="516"/>
      <c r="DS15" s="516"/>
      <c r="DT15" s="516"/>
      <c r="DU15" s="516"/>
      <c r="DV15" s="516"/>
      <c r="DW15" s="516"/>
      <c r="DX15" s="516"/>
      <c r="DY15" s="516"/>
      <c r="DZ15" s="516"/>
      <c r="EA15" s="516"/>
      <c r="EB15" s="516"/>
      <c r="EC15" s="516"/>
      <c r="ED15" s="516"/>
      <c r="EE15" s="516"/>
      <c r="EF15" s="516"/>
      <c r="EG15" s="516"/>
      <c r="EH15" s="516"/>
      <c r="EI15" s="516"/>
      <c r="EJ15" s="516"/>
      <c r="EK15" s="516"/>
      <c r="EL15" s="516"/>
      <c r="EM15" s="516"/>
      <c r="EN15" s="516"/>
      <c r="EO15" s="516"/>
      <c r="EP15" s="516"/>
      <c r="EQ15" s="516"/>
      <c r="ER15" s="516"/>
      <c r="ES15" s="516"/>
      <c r="ET15" s="516"/>
      <c r="EU15" s="516"/>
      <c r="EV15" s="516"/>
      <c r="EW15" s="516"/>
      <c r="EX15" s="516"/>
      <c r="EY15" s="516"/>
      <c r="EZ15" s="516"/>
      <c r="FA15" s="516"/>
      <c r="FB15" s="516"/>
      <c r="FC15" s="516"/>
      <c r="FD15" s="516"/>
      <c r="FE15" s="516"/>
      <c r="FF15" s="516"/>
      <c r="FG15" s="516"/>
      <c r="FH15" s="516"/>
      <c r="FI15" s="516"/>
      <c r="FJ15" s="516"/>
      <c r="FK15" s="516"/>
      <c r="FL15" s="516"/>
      <c r="FM15" s="516"/>
      <c r="FN15" s="516"/>
      <c r="FO15" s="516"/>
      <c r="FP15" s="516"/>
      <c r="FQ15" s="516"/>
      <c r="FR15" s="516"/>
      <c r="FS15" s="516"/>
      <c r="FT15" s="516"/>
      <c r="FU15" s="516"/>
      <c r="FV15" s="516"/>
      <c r="FW15" s="516"/>
      <c r="FX15" s="516"/>
      <c r="FY15" s="516"/>
      <c r="FZ15" s="516"/>
      <c r="GA15" s="516"/>
      <c r="GB15" s="516"/>
      <c r="GC15" s="516"/>
      <c r="GD15" s="516"/>
      <c r="GE15" s="516"/>
      <c r="GF15" s="516"/>
      <c r="GG15" s="516"/>
      <c r="GH15" s="516"/>
      <c r="GI15" s="516"/>
      <c r="GJ15" s="516"/>
      <c r="GK15" s="516"/>
      <c r="GL15" s="516"/>
      <c r="GM15" s="516"/>
      <c r="GN15" s="516"/>
      <c r="GO15" s="516"/>
      <c r="GP15" s="516"/>
      <c r="GQ15" s="516"/>
      <c r="GR15" s="516"/>
      <c r="GS15" s="516"/>
      <c r="GT15" s="516"/>
      <c r="GU15" s="516"/>
      <c r="GV15" s="516"/>
      <c r="GW15" s="516"/>
      <c r="GX15" s="516"/>
      <c r="GY15" s="516"/>
      <c r="GZ15" s="516"/>
      <c r="HA15" s="516"/>
      <c r="HB15" s="516"/>
      <c r="HC15" s="516"/>
      <c r="HD15" s="516"/>
      <c r="HE15" s="516"/>
      <c r="HF15" s="516"/>
      <c r="HG15" s="516"/>
      <c r="HH15" s="516"/>
      <c r="HI15" s="516"/>
      <c r="HJ15" s="516"/>
      <c r="HK15" s="516"/>
      <c r="HL15" s="516"/>
      <c r="HM15" s="516"/>
      <c r="HN15" s="516"/>
      <c r="HO15" s="516"/>
      <c r="HP15" s="516"/>
      <c r="HQ15" s="516"/>
      <c r="HR15" s="516"/>
      <c r="HS15" s="516"/>
      <c r="HT15" s="516"/>
      <c r="HU15" s="516"/>
      <c r="HV15" s="516"/>
      <c r="HW15" s="516"/>
      <c r="HX15" s="516"/>
      <c r="HY15" s="516"/>
      <c r="HZ15" s="516"/>
      <c r="IA15" s="516"/>
      <c r="IB15" s="516"/>
      <c r="IC15" s="516"/>
      <c r="ID15" s="516"/>
      <c r="IE15" s="516"/>
      <c r="IF15" s="516"/>
      <c r="IG15" s="516"/>
      <c r="IH15" s="516"/>
      <c r="II15" s="516"/>
      <c r="IJ15" s="516"/>
      <c r="IK15" s="516"/>
      <c r="IL15" s="516"/>
      <c r="IM15" s="516"/>
      <c r="IN15" s="516"/>
      <c r="IO15" s="516"/>
      <c r="IP15" s="516"/>
      <c r="IQ15" s="516"/>
      <c r="IR15" s="516"/>
      <c r="IS15" s="516"/>
      <c r="IT15" s="516"/>
      <c r="IU15" s="516"/>
      <c r="IV15" s="516"/>
    </row>
    <row r="16" spans="1:256" s="475" customFormat="1" ht="14.45" customHeight="1" x14ac:dyDescent="0.25">
      <c r="A16" s="516" t="s">
        <v>22</v>
      </c>
      <c r="B16" s="514">
        <v>1</v>
      </c>
      <c r="C16" s="514">
        <v>1</v>
      </c>
      <c r="D16" s="516" t="s">
        <v>250</v>
      </c>
      <c r="E16" s="516" t="s">
        <v>24</v>
      </c>
      <c r="F16" s="514">
        <v>1024</v>
      </c>
      <c r="G16" s="516" t="s">
        <v>25</v>
      </c>
      <c r="H16" s="514" t="s">
        <v>26</v>
      </c>
      <c r="I16" s="514" t="s">
        <v>18</v>
      </c>
      <c r="J16" s="515" t="str">
        <f>"FUFan6Speed;FUFan6Speed;"&amp;Limits!D38&amp;"|"&amp;Limits!D39&amp;"|"&amp;Limits!D40&amp;"|"&amp;Limits!D41&amp;";7|5|4|3|1"</f>
        <v>FUFan6Speed;FUFan6Speed;FANRPMCMax|FANRPMWMax|FANRPMWMin|FANRPMCMin;7|5|4|3|1</v>
      </c>
      <c r="K16" s="516"/>
      <c r="L16" s="516"/>
      <c r="M16" s="516"/>
      <c r="N16" s="516"/>
      <c r="O16" s="516"/>
      <c r="P16" s="516"/>
      <c r="Q16" s="516"/>
      <c r="R16" s="516"/>
      <c r="S16" s="516"/>
      <c r="T16" s="516"/>
      <c r="U16" s="516"/>
      <c r="V16" s="516"/>
      <c r="W16" s="516"/>
      <c r="X16" s="516"/>
      <c r="Y16" s="516"/>
      <c r="Z16" s="516"/>
      <c r="AA16" s="516"/>
      <c r="AB16" s="516"/>
      <c r="AC16" s="516"/>
      <c r="AD16" s="516"/>
      <c r="AE16" s="516"/>
      <c r="AF16" s="516"/>
      <c r="AG16" s="516"/>
      <c r="AH16" s="516"/>
      <c r="AI16" s="516"/>
      <c r="AJ16" s="516"/>
      <c r="AK16" s="516"/>
      <c r="AL16" s="516"/>
      <c r="AM16" s="516"/>
      <c r="AN16" s="516"/>
      <c r="AO16" s="516"/>
      <c r="AP16" s="516"/>
      <c r="AQ16" s="516"/>
      <c r="AR16" s="516"/>
      <c r="AS16" s="516"/>
      <c r="AT16" s="516"/>
      <c r="AU16" s="516"/>
      <c r="AV16" s="516"/>
      <c r="AW16" s="516"/>
      <c r="AX16" s="516"/>
      <c r="AY16" s="516"/>
      <c r="AZ16" s="516"/>
      <c r="BA16" s="516"/>
      <c r="BB16" s="516"/>
      <c r="BC16" s="516"/>
      <c r="BD16" s="516"/>
      <c r="BE16" s="516"/>
      <c r="BF16" s="516"/>
      <c r="BG16" s="516"/>
      <c r="BH16" s="516"/>
      <c r="BI16" s="516"/>
      <c r="BJ16" s="516"/>
      <c r="BK16" s="516"/>
      <c r="BL16" s="516"/>
      <c r="BM16" s="516"/>
      <c r="BN16" s="516"/>
      <c r="BO16" s="516"/>
      <c r="BP16" s="516"/>
      <c r="BQ16" s="516"/>
      <c r="BR16" s="516"/>
      <c r="BS16" s="516"/>
      <c r="BT16" s="516"/>
      <c r="BU16" s="516"/>
      <c r="BV16" s="516"/>
      <c r="BW16" s="516"/>
      <c r="BX16" s="516"/>
      <c r="BY16" s="516"/>
      <c r="BZ16" s="516"/>
      <c r="CA16" s="516"/>
      <c r="CB16" s="516"/>
      <c r="CC16" s="516"/>
      <c r="CD16" s="516"/>
      <c r="CE16" s="516"/>
      <c r="CF16" s="516"/>
      <c r="CG16" s="516"/>
      <c r="CH16" s="516"/>
      <c r="CI16" s="516"/>
      <c r="CJ16" s="516"/>
      <c r="CK16" s="516"/>
      <c r="CL16" s="516"/>
      <c r="CM16" s="516"/>
      <c r="CN16" s="516"/>
      <c r="CO16" s="516"/>
      <c r="CP16" s="516"/>
      <c r="CQ16" s="516"/>
      <c r="CR16" s="516"/>
      <c r="CS16" s="516"/>
      <c r="CT16" s="516"/>
      <c r="CU16" s="516"/>
      <c r="CV16" s="516"/>
      <c r="CW16" s="516"/>
      <c r="CX16" s="516"/>
      <c r="CY16" s="516"/>
      <c r="CZ16" s="516"/>
      <c r="DA16" s="516"/>
      <c r="DB16" s="516"/>
      <c r="DC16" s="516"/>
      <c r="DD16" s="516"/>
      <c r="DE16" s="516"/>
      <c r="DF16" s="516"/>
      <c r="DG16" s="516"/>
      <c r="DH16" s="516"/>
      <c r="DI16" s="516"/>
      <c r="DJ16" s="516"/>
      <c r="DK16" s="516"/>
      <c r="DL16" s="516"/>
      <c r="DM16" s="516"/>
      <c r="DN16" s="516"/>
      <c r="DO16" s="516"/>
      <c r="DP16" s="516"/>
      <c r="DQ16" s="516"/>
      <c r="DR16" s="516"/>
      <c r="DS16" s="516"/>
      <c r="DT16" s="516"/>
      <c r="DU16" s="516"/>
      <c r="DV16" s="516"/>
      <c r="DW16" s="516"/>
      <c r="DX16" s="516"/>
      <c r="DY16" s="516"/>
      <c r="DZ16" s="516"/>
      <c r="EA16" s="516"/>
      <c r="EB16" s="516"/>
      <c r="EC16" s="516"/>
      <c r="ED16" s="516"/>
      <c r="EE16" s="516"/>
      <c r="EF16" s="516"/>
      <c r="EG16" s="516"/>
      <c r="EH16" s="516"/>
      <c r="EI16" s="516"/>
      <c r="EJ16" s="516"/>
      <c r="EK16" s="516"/>
      <c r="EL16" s="516"/>
      <c r="EM16" s="516"/>
      <c r="EN16" s="516"/>
      <c r="EO16" s="516"/>
      <c r="EP16" s="516"/>
      <c r="EQ16" s="516"/>
      <c r="ER16" s="516"/>
      <c r="ES16" s="516"/>
      <c r="ET16" s="516"/>
      <c r="EU16" s="516"/>
      <c r="EV16" s="516"/>
      <c r="EW16" s="516"/>
      <c r="EX16" s="516"/>
      <c r="EY16" s="516"/>
      <c r="EZ16" s="516"/>
      <c r="FA16" s="516"/>
      <c r="FB16" s="516"/>
      <c r="FC16" s="516"/>
      <c r="FD16" s="516"/>
      <c r="FE16" s="516"/>
      <c r="FF16" s="516"/>
      <c r="FG16" s="516"/>
      <c r="FH16" s="516"/>
      <c r="FI16" s="516"/>
      <c r="FJ16" s="516"/>
      <c r="FK16" s="516"/>
      <c r="FL16" s="516"/>
      <c r="FM16" s="516"/>
      <c r="FN16" s="516"/>
      <c r="FO16" s="516"/>
      <c r="FP16" s="516"/>
      <c r="FQ16" s="516"/>
      <c r="FR16" s="516"/>
      <c r="FS16" s="516"/>
      <c r="FT16" s="516"/>
      <c r="FU16" s="516"/>
      <c r="FV16" s="516"/>
      <c r="FW16" s="516"/>
      <c r="FX16" s="516"/>
      <c r="FY16" s="516"/>
      <c r="FZ16" s="516"/>
      <c r="GA16" s="516"/>
      <c r="GB16" s="516"/>
      <c r="GC16" s="516"/>
      <c r="GD16" s="516"/>
      <c r="GE16" s="516"/>
      <c r="GF16" s="516"/>
      <c r="GG16" s="516"/>
      <c r="GH16" s="516"/>
      <c r="GI16" s="516"/>
      <c r="GJ16" s="516"/>
      <c r="GK16" s="516"/>
      <c r="GL16" s="516"/>
      <c r="GM16" s="516"/>
      <c r="GN16" s="516"/>
      <c r="GO16" s="516"/>
      <c r="GP16" s="516"/>
      <c r="GQ16" s="516"/>
      <c r="GR16" s="516"/>
      <c r="GS16" s="516"/>
      <c r="GT16" s="516"/>
      <c r="GU16" s="516"/>
      <c r="GV16" s="516"/>
      <c r="GW16" s="516"/>
      <c r="GX16" s="516"/>
      <c r="GY16" s="516"/>
      <c r="GZ16" s="516"/>
      <c r="HA16" s="516"/>
      <c r="HB16" s="516"/>
      <c r="HC16" s="516"/>
      <c r="HD16" s="516"/>
      <c r="HE16" s="516"/>
      <c r="HF16" s="516"/>
      <c r="HG16" s="516"/>
      <c r="HH16" s="516"/>
      <c r="HI16" s="516"/>
      <c r="HJ16" s="516"/>
      <c r="HK16" s="516"/>
      <c r="HL16" s="516"/>
      <c r="HM16" s="516"/>
      <c r="HN16" s="516"/>
      <c r="HO16" s="516"/>
      <c r="HP16" s="516"/>
      <c r="HQ16" s="516"/>
      <c r="HR16" s="516"/>
      <c r="HS16" s="516"/>
      <c r="HT16" s="516"/>
      <c r="HU16" s="516"/>
      <c r="HV16" s="516"/>
      <c r="HW16" s="516"/>
      <c r="HX16" s="516"/>
      <c r="HY16" s="516"/>
      <c r="HZ16" s="516"/>
      <c r="IA16" s="516"/>
      <c r="IB16" s="516"/>
      <c r="IC16" s="516"/>
      <c r="ID16" s="516"/>
      <c r="IE16" s="516"/>
      <c r="IF16" s="516"/>
      <c r="IG16" s="516"/>
      <c r="IH16" s="516"/>
      <c r="II16" s="516"/>
      <c r="IJ16" s="516"/>
      <c r="IK16" s="516"/>
      <c r="IL16" s="516"/>
      <c r="IM16" s="516"/>
      <c r="IN16" s="516"/>
      <c r="IO16" s="516"/>
      <c r="IP16" s="516"/>
      <c r="IQ16" s="516"/>
      <c r="IR16" s="516"/>
      <c r="IS16" s="516"/>
      <c r="IT16" s="516"/>
      <c r="IU16" s="516"/>
      <c r="IV16" s="516"/>
    </row>
    <row r="17" spans="1:256" ht="3" customHeight="1" x14ac:dyDescent="0.3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42"/>
      <c r="BE17" s="42"/>
      <c r="BF17" s="42"/>
      <c r="BG17" s="42"/>
      <c r="BH17" s="42"/>
      <c r="BI17" s="42"/>
      <c r="BJ17" s="42"/>
      <c r="BK17" s="42"/>
      <c r="BL17" s="42"/>
      <c r="BM17" s="42"/>
      <c r="BN17" s="42"/>
      <c r="BO17" s="42"/>
      <c r="BP17" s="42"/>
      <c r="BQ17" s="42"/>
      <c r="BR17" s="42"/>
      <c r="BS17" s="42"/>
      <c r="BT17" s="42"/>
      <c r="BU17" s="42"/>
      <c r="BV17" s="42"/>
      <c r="BW17" s="42"/>
      <c r="BX17" s="42"/>
      <c r="BY17" s="42"/>
      <c r="BZ17" s="42"/>
      <c r="CA17" s="42"/>
      <c r="CB17" s="42"/>
      <c r="CC17" s="42"/>
      <c r="CD17" s="42"/>
      <c r="CE17" s="42"/>
      <c r="CF17" s="42"/>
      <c r="CG17" s="42"/>
      <c r="CH17" s="42"/>
      <c r="CI17" s="42"/>
      <c r="CJ17" s="42"/>
      <c r="CK17" s="42"/>
      <c r="CL17" s="42"/>
      <c r="CM17" s="42"/>
      <c r="CN17" s="42"/>
      <c r="CO17" s="42"/>
      <c r="CP17" s="42"/>
      <c r="CQ17" s="42"/>
      <c r="CR17" s="42"/>
      <c r="CS17" s="42"/>
      <c r="CT17" s="42"/>
      <c r="CU17" s="42"/>
      <c r="CV17" s="42"/>
      <c r="CW17" s="42"/>
      <c r="CX17" s="42"/>
      <c r="CY17" s="42"/>
      <c r="CZ17" s="42"/>
      <c r="DA17" s="42"/>
      <c r="DB17" s="42"/>
      <c r="DC17" s="42"/>
      <c r="DD17" s="42"/>
      <c r="DE17" s="42"/>
      <c r="DF17" s="42"/>
      <c r="DG17" s="42"/>
      <c r="DH17" s="42"/>
      <c r="DI17" s="42"/>
      <c r="DJ17" s="42"/>
      <c r="DK17" s="42"/>
      <c r="DL17" s="42"/>
      <c r="DM17" s="42"/>
      <c r="DN17" s="42"/>
      <c r="DO17" s="42"/>
      <c r="DP17" s="42"/>
      <c r="DQ17" s="42"/>
      <c r="DR17" s="42"/>
      <c r="DS17" s="42"/>
      <c r="DT17" s="42"/>
      <c r="DU17" s="42"/>
      <c r="DV17" s="42"/>
      <c r="DW17" s="42"/>
      <c r="DX17" s="42"/>
      <c r="DY17" s="42"/>
      <c r="DZ17" s="42"/>
      <c r="EA17" s="42"/>
      <c r="EB17" s="42"/>
      <c r="EC17" s="42"/>
      <c r="ED17" s="42"/>
      <c r="EE17" s="42"/>
      <c r="EF17" s="42"/>
      <c r="EG17" s="42"/>
      <c r="EH17" s="42"/>
      <c r="EI17" s="42"/>
      <c r="EJ17" s="42"/>
      <c r="EK17" s="42"/>
      <c r="EL17" s="42"/>
      <c r="EM17" s="42"/>
      <c r="EN17" s="42"/>
      <c r="EO17" s="42"/>
      <c r="EP17" s="42"/>
      <c r="EQ17" s="42"/>
      <c r="ER17" s="42"/>
      <c r="ES17" s="42"/>
      <c r="ET17" s="42"/>
      <c r="EU17" s="42"/>
      <c r="EV17" s="42"/>
      <c r="EW17" s="42"/>
      <c r="EX17" s="42"/>
      <c r="EY17" s="42"/>
      <c r="EZ17" s="42"/>
      <c r="FA17" s="42"/>
      <c r="FB17" s="42"/>
      <c r="FC17" s="42"/>
      <c r="FD17" s="42"/>
      <c r="FE17" s="42"/>
      <c r="FF17" s="42"/>
      <c r="FG17" s="42"/>
      <c r="FH17" s="42"/>
      <c r="FI17" s="42"/>
      <c r="FJ17" s="42"/>
      <c r="FK17" s="42"/>
      <c r="FL17" s="42"/>
      <c r="FM17" s="42"/>
      <c r="FN17" s="42"/>
      <c r="FO17" s="42"/>
      <c r="FP17" s="42"/>
      <c r="FQ17" s="42"/>
      <c r="FR17" s="42"/>
      <c r="FS17" s="42"/>
      <c r="FT17" s="42"/>
      <c r="FU17" s="42"/>
      <c r="FV17" s="42"/>
      <c r="FW17" s="42"/>
      <c r="FX17" s="42"/>
      <c r="FY17" s="42"/>
      <c r="FZ17" s="42"/>
      <c r="GA17" s="42"/>
      <c r="GB17" s="42"/>
      <c r="GC17" s="42"/>
      <c r="GD17" s="42"/>
      <c r="GE17" s="42"/>
      <c r="GF17" s="42"/>
      <c r="GG17" s="42"/>
      <c r="GH17" s="42"/>
      <c r="GI17" s="42"/>
      <c r="GJ17" s="42"/>
      <c r="GK17" s="42"/>
      <c r="GL17" s="42"/>
      <c r="GM17" s="42"/>
      <c r="GN17" s="42"/>
      <c r="GO17" s="42"/>
      <c r="GP17" s="42"/>
      <c r="GQ17" s="42"/>
      <c r="GR17" s="42"/>
      <c r="GS17" s="42"/>
      <c r="GT17" s="42"/>
      <c r="GU17" s="42"/>
      <c r="GV17" s="42"/>
      <c r="GW17" s="42"/>
      <c r="GX17" s="42"/>
      <c r="GY17" s="42"/>
      <c r="GZ17" s="42"/>
      <c r="HA17" s="42"/>
      <c r="HB17" s="42"/>
      <c r="HC17" s="42"/>
      <c r="HD17" s="42"/>
      <c r="HE17" s="42"/>
      <c r="HF17" s="42"/>
      <c r="HG17" s="42"/>
      <c r="HH17" s="42"/>
      <c r="HI17" s="42"/>
      <c r="HJ17" s="42"/>
      <c r="HK17" s="42"/>
      <c r="HL17" s="42"/>
      <c r="HM17" s="42"/>
      <c r="HN17" s="42"/>
      <c r="HO17" s="42"/>
      <c r="HP17" s="42"/>
      <c r="HQ17" s="42"/>
      <c r="HR17" s="42"/>
      <c r="HS17" s="42"/>
      <c r="HT17" s="42"/>
      <c r="HU17" s="42"/>
      <c r="HV17" s="42"/>
      <c r="HW17" s="42"/>
      <c r="HX17" s="42"/>
      <c r="HY17" s="42"/>
      <c r="HZ17" s="42"/>
      <c r="IA17" s="42"/>
      <c r="IB17" s="42"/>
      <c r="IC17" s="42"/>
      <c r="ID17" s="42"/>
      <c r="IE17" s="42"/>
      <c r="IF17" s="42"/>
      <c r="IG17" s="42"/>
      <c r="IH17" s="42"/>
      <c r="II17" s="42"/>
      <c r="IJ17" s="42"/>
      <c r="IK17" s="42"/>
      <c r="IL17" s="42"/>
      <c r="IM17" s="42"/>
      <c r="IN17" s="42"/>
      <c r="IO17" s="42"/>
      <c r="IP17" s="42"/>
      <c r="IQ17" s="42"/>
      <c r="IR17" s="42"/>
      <c r="IS17" s="42"/>
      <c r="IT17" s="42"/>
      <c r="IU17" s="42"/>
      <c r="IV17" s="42"/>
    </row>
    <row r="20" spans="1:256" s="18" customFormat="1" ht="14.45" x14ac:dyDescent="0.3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</row>
    <row r="21" spans="1:256" s="18" customFormat="1" ht="14.45" x14ac:dyDescent="0.3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</row>
    <row r="22" spans="1:256" s="18" customFormat="1" ht="14.45" x14ac:dyDescent="0.3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</row>
    <row r="23" spans="1:256" s="18" customFormat="1" ht="14.45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</row>
    <row r="26" spans="1:256" s="18" customFormat="1" x14ac:dyDescent="0.25">
      <c r="A26"/>
      <c r="B26" s="41"/>
      <c r="C26" s="75"/>
      <c r="D26"/>
      <c r="E26"/>
      <c r="F26" s="41"/>
      <c r="G26"/>
      <c r="H26" s="41"/>
      <c r="I26" s="19"/>
    </row>
    <row r="27" spans="1:256" s="18" customFormat="1" x14ac:dyDescent="0.25">
      <c r="B27" s="19"/>
      <c r="C27" s="19"/>
      <c r="F27" s="19"/>
      <c r="H27" s="19"/>
      <c r="I27" s="19"/>
    </row>
    <row r="28" spans="1:256" s="18" customFormat="1" x14ac:dyDescent="0.25">
      <c r="A28"/>
      <c r="B28" s="41"/>
      <c r="C28" s="75"/>
      <c r="D28"/>
      <c r="E28"/>
      <c r="F28" s="41"/>
      <c r="G28"/>
      <c r="H28" s="41"/>
      <c r="I28" s="19"/>
    </row>
    <row r="29" spans="1:256" s="18" customFormat="1" ht="15" customHeight="1" x14ac:dyDescent="0.25">
      <c r="B29" s="19"/>
      <c r="C29" s="19"/>
      <c r="F29" s="19"/>
      <c r="H29" s="19"/>
      <c r="I29" s="19"/>
    </row>
    <row r="30" spans="1:256" x14ac:dyDescent="0.25">
      <c r="A30" s="18"/>
      <c r="B30" s="19"/>
      <c r="C30" s="19"/>
      <c r="D30" s="18"/>
      <c r="E30" s="18"/>
      <c r="F30" s="19"/>
      <c r="G30" s="18"/>
      <c r="H30" s="19"/>
      <c r="I30" s="19"/>
    </row>
    <row r="31" spans="1:256" s="18" customFormat="1" x14ac:dyDescent="0.25">
      <c r="B31" s="19"/>
      <c r="C31" s="19"/>
      <c r="F31" s="19"/>
      <c r="H31" s="19"/>
      <c r="I31" s="19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</row>
    <row r="32" spans="1:256" x14ac:dyDescent="0.25">
      <c r="A32" s="18"/>
      <c r="B32" s="19"/>
      <c r="C32" s="19"/>
      <c r="D32" s="18"/>
      <c r="E32" s="18"/>
      <c r="F32" s="19"/>
      <c r="G32" s="18"/>
      <c r="H32" s="19"/>
      <c r="I32" s="19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18"/>
      <c r="BS32" s="18"/>
      <c r="BT32" s="18"/>
      <c r="BU32" s="18"/>
      <c r="BV32" s="18"/>
      <c r="BW32" s="18"/>
      <c r="BX32" s="18"/>
      <c r="BY32" s="18"/>
      <c r="BZ32" s="18"/>
      <c r="CA32" s="18"/>
      <c r="CB32" s="18"/>
      <c r="CC32" s="18"/>
      <c r="CD32" s="18"/>
      <c r="CE32" s="18"/>
      <c r="CF32" s="18"/>
      <c r="CG32" s="18"/>
      <c r="CH32" s="18"/>
      <c r="CI32" s="18"/>
      <c r="CJ32" s="18"/>
      <c r="CK32" s="18"/>
      <c r="CL32" s="18"/>
      <c r="CM32" s="18"/>
      <c r="CN32" s="18"/>
      <c r="CO32" s="18"/>
      <c r="CP32" s="18"/>
      <c r="CQ32" s="18"/>
      <c r="CR32" s="18"/>
      <c r="CS32" s="18"/>
      <c r="CT32" s="18"/>
      <c r="CU32" s="18"/>
      <c r="CV32" s="18"/>
      <c r="CW32" s="18"/>
      <c r="CX32" s="18"/>
      <c r="CY32" s="18"/>
      <c r="CZ32" s="18"/>
      <c r="DA32" s="18"/>
      <c r="DB32" s="18"/>
      <c r="DC32" s="18"/>
      <c r="DD32" s="18"/>
      <c r="DE32" s="18"/>
      <c r="DF32" s="18"/>
      <c r="DG32" s="18"/>
      <c r="DH32" s="18"/>
      <c r="DI32" s="18"/>
      <c r="DJ32" s="18"/>
      <c r="DK32" s="18"/>
      <c r="DL32" s="18"/>
      <c r="DM32" s="18"/>
      <c r="DN32" s="18"/>
      <c r="DO32" s="18"/>
      <c r="DP32" s="18"/>
      <c r="DQ32" s="18"/>
      <c r="DR32" s="18"/>
      <c r="DS32" s="18"/>
      <c r="DT32" s="18"/>
      <c r="DU32" s="18"/>
      <c r="DV32" s="18"/>
      <c r="DW32" s="18"/>
      <c r="DX32" s="18"/>
      <c r="DY32" s="18"/>
      <c r="DZ32" s="18"/>
      <c r="EA32" s="18"/>
      <c r="EB32" s="18"/>
      <c r="EC32" s="18"/>
      <c r="ED32" s="18"/>
      <c r="EE32" s="18"/>
      <c r="EF32" s="18"/>
      <c r="EG32" s="18"/>
      <c r="EH32" s="18"/>
      <c r="EI32" s="18"/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8"/>
      <c r="FF32" s="18"/>
      <c r="FG32" s="18"/>
      <c r="FH32" s="18"/>
      <c r="FI32" s="18"/>
      <c r="FJ32" s="18"/>
      <c r="FK32" s="18"/>
      <c r="FL32" s="18"/>
      <c r="FM32" s="18"/>
      <c r="FN32" s="18"/>
      <c r="FO32" s="18"/>
      <c r="FP32" s="18"/>
      <c r="FQ32" s="18"/>
      <c r="FR32" s="18"/>
      <c r="FS32" s="18"/>
      <c r="FT32" s="18"/>
      <c r="FU32" s="18"/>
      <c r="FV32" s="18"/>
      <c r="FW32" s="18"/>
      <c r="FX32" s="18"/>
      <c r="FY32" s="18"/>
      <c r="FZ32" s="18"/>
      <c r="GA32" s="18"/>
      <c r="GB32" s="18"/>
      <c r="GC32" s="18"/>
      <c r="GD32" s="18"/>
      <c r="GE32" s="18"/>
      <c r="GF32" s="18"/>
      <c r="GG32" s="18"/>
      <c r="GH32" s="18"/>
      <c r="GI32" s="18"/>
      <c r="GJ32" s="18"/>
      <c r="GK32" s="18"/>
      <c r="GL32" s="18"/>
      <c r="GM32" s="18"/>
      <c r="GN32" s="18"/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8"/>
      <c r="HU32" s="18"/>
      <c r="HV32" s="18"/>
      <c r="HW32" s="18"/>
      <c r="HX32" s="18"/>
      <c r="HY32" s="18"/>
      <c r="HZ32" s="18"/>
      <c r="IA32" s="18"/>
      <c r="IB32" s="18"/>
      <c r="IC32" s="18"/>
      <c r="ID32" s="18"/>
      <c r="IE32" s="18"/>
      <c r="IF32" s="18"/>
      <c r="IG32" s="18"/>
      <c r="IH32" s="18"/>
      <c r="II32" s="18"/>
      <c r="IJ32" s="18"/>
      <c r="IK32" s="18"/>
      <c r="IL32" s="18"/>
      <c r="IM32" s="18"/>
      <c r="IN32" s="18"/>
      <c r="IO32" s="18"/>
      <c r="IP32" s="18"/>
      <c r="IQ32" s="18"/>
      <c r="IR32" s="18"/>
      <c r="IS32" s="18"/>
      <c r="IT32" s="18"/>
      <c r="IU32" s="18"/>
      <c r="IV32" s="18"/>
    </row>
    <row r="33" spans="1:256" x14ac:dyDescent="0.25">
      <c r="B33" s="40"/>
      <c r="C33" s="75"/>
      <c r="D33" s="18"/>
      <c r="E33" s="18"/>
      <c r="F33" s="19"/>
      <c r="G33" s="18"/>
      <c r="H33" s="19"/>
      <c r="I33" s="40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  <c r="AV33" s="18"/>
      <c r="AW33" s="18"/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18"/>
      <c r="BS33" s="18"/>
      <c r="BT33" s="18"/>
      <c r="BU33" s="18"/>
      <c r="BV33" s="18"/>
      <c r="BW33" s="18"/>
      <c r="BX33" s="18"/>
      <c r="BY33" s="18"/>
      <c r="BZ33" s="18"/>
      <c r="CA33" s="18"/>
      <c r="CB33" s="18"/>
      <c r="CC33" s="18"/>
      <c r="CD33" s="18"/>
      <c r="CE33" s="18"/>
      <c r="CF33" s="18"/>
      <c r="CG33" s="18"/>
      <c r="CH33" s="18"/>
      <c r="CI33" s="18"/>
      <c r="CJ33" s="18"/>
      <c r="CK33" s="18"/>
      <c r="CL33" s="18"/>
      <c r="CM33" s="18"/>
      <c r="CN33" s="18"/>
      <c r="CO33" s="18"/>
      <c r="CP33" s="18"/>
      <c r="CQ33" s="18"/>
      <c r="CR33" s="18"/>
      <c r="CS33" s="18"/>
      <c r="CT33" s="18"/>
      <c r="CU33" s="18"/>
      <c r="CV33" s="18"/>
      <c r="CW33" s="18"/>
      <c r="CX33" s="18"/>
      <c r="CY33" s="18"/>
      <c r="CZ33" s="18"/>
      <c r="DA33" s="18"/>
      <c r="DB33" s="18"/>
      <c r="DC33" s="18"/>
      <c r="DD33" s="18"/>
      <c r="DE33" s="18"/>
      <c r="DF33" s="18"/>
      <c r="DG33" s="18"/>
      <c r="DH33" s="18"/>
      <c r="DI33" s="18"/>
      <c r="DJ33" s="18"/>
      <c r="DK33" s="18"/>
      <c r="DL33" s="18"/>
      <c r="DM33" s="18"/>
      <c r="DN33" s="18"/>
      <c r="DO33" s="18"/>
      <c r="DP33" s="18"/>
      <c r="DQ33" s="18"/>
      <c r="DR33" s="18"/>
      <c r="DS33" s="18"/>
      <c r="DT33" s="18"/>
      <c r="DU33" s="18"/>
      <c r="DV33" s="18"/>
      <c r="DW33" s="18"/>
      <c r="DX33" s="18"/>
      <c r="DY33" s="18"/>
      <c r="DZ33" s="18"/>
      <c r="EA33" s="18"/>
      <c r="EB33" s="18"/>
      <c r="EC33" s="18"/>
      <c r="ED33" s="18"/>
      <c r="EE33" s="18"/>
      <c r="EF33" s="18"/>
      <c r="EG33" s="18"/>
      <c r="EH33" s="18"/>
      <c r="EI33" s="18"/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8"/>
      <c r="FF33" s="18"/>
      <c r="FG33" s="18"/>
      <c r="FH33" s="18"/>
      <c r="FI33" s="18"/>
      <c r="FJ33" s="18"/>
      <c r="FK33" s="18"/>
      <c r="FL33" s="18"/>
      <c r="FM33" s="18"/>
      <c r="FN33" s="18"/>
      <c r="FO33" s="18"/>
      <c r="FP33" s="18"/>
      <c r="FQ33" s="18"/>
      <c r="FR33" s="18"/>
      <c r="FS33" s="18"/>
      <c r="FT33" s="18"/>
      <c r="FU33" s="18"/>
      <c r="FV33" s="18"/>
      <c r="FW33" s="18"/>
      <c r="FX33" s="18"/>
      <c r="FY33" s="18"/>
      <c r="FZ33" s="18"/>
      <c r="GA33" s="18"/>
      <c r="GB33" s="18"/>
      <c r="GC33" s="18"/>
      <c r="GD33" s="18"/>
      <c r="GE33" s="18"/>
      <c r="GF33" s="18"/>
      <c r="GG33" s="18"/>
      <c r="GH33" s="18"/>
      <c r="GI33" s="18"/>
      <c r="GJ33" s="18"/>
      <c r="GK33" s="18"/>
      <c r="GL33" s="18"/>
      <c r="GM33" s="18"/>
      <c r="GN33" s="18"/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8"/>
      <c r="HU33" s="18"/>
      <c r="HV33" s="18"/>
      <c r="HW33" s="18"/>
      <c r="HX33" s="18"/>
      <c r="HY33" s="18"/>
      <c r="HZ33" s="18"/>
      <c r="IA33" s="18"/>
      <c r="IB33" s="18"/>
      <c r="IC33" s="18"/>
      <c r="ID33" s="18"/>
      <c r="IE33" s="18"/>
      <c r="IF33" s="18"/>
      <c r="IG33" s="18"/>
      <c r="IH33" s="18"/>
      <c r="II33" s="18"/>
      <c r="IJ33" s="18"/>
      <c r="IK33" s="18"/>
      <c r="IL33" s="18"/>
      <c r="IM33" s="18"/>
      <c r="IN33" s="18"/>
      <c r="IO33" s="18"/>
      <c r="IP33" s="18"/>
      <c r="IQ33" s="18"/>
      <c r="IR33" s="18"/>
      <c r="IS33" s="18"/>
      <c r="IT33" s="18"/>
      <c r="IU33" s="18"/>
      <c r="IV33" s="18"/>
    </row>
    <row r="34" spans="1:256" x14ac:dyDescent="0.25">
      <c r="B34" s="19"/>
      <c r="C34" s="19"/>
      <c r="D34" s="18"/>
      <c r="E34" s="18"/>
      <c r="F34" s="19"/>
      <c r="G34" s="18"/>
      <c r="H34" s="19"/>
      <c r="I34" s="19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18"/>
      <c r="BS34" s="18"/>
      <c r="BT34" s="18"/>
      <c r="BU34" s="18"/>
      <c r="BV34" s="18"/>
      <c r="BW34" s="18"/>
      <c r="BX34" s="18"/>
      <c r="BY34" s="18"/>
      <c r="BZ34" s="18"/>
      <c r="CA34" s="18"/>
      <c r="CB34" s="18"/>
      <c r="CC34" s="18"/>
      <c r="CD34" s="18"/>
      <c r="CE34" s="18"/>
      <c r="CF34" s="18"/>
      <c r="CG34" s="18"/>
      <c r="CH34" s="18"/>
      <c r="CI34" s="18"/>
      <c r="CJ34" s="18"/>
      <c r="CK34" s="18"/>
      <c r="CL34" s="18"/>
      <c r="CM34" s="18"/>
      <c r="CN34" s="18"/>
      <c r="CO34" s="18"/>
      <c r="CP34" s="18"/>
      <c r="CQ34" s="18"/>
      <c r="CR34" s="18"/>
      <c r="CS34" s="18"/>
      <c r="CT34" s="18"/>
      <c r="CU34" s="18"/>
      <c r="CV34" s="18"/>
      <c r="CW34" s="18"/>
      <c r="CX34" s="18"/>
      <c r="CY34" s="18"/>
      <c r="CZ34" s="18"/>
      <c r="DA34" s="18"/>
      <c r="DB34" s="18"/>
      <c r="DC34" s="18"/>
      <c r="DD34" s="18"/>
      <c r="DE34" s="18"/>
      <c r="DF34" s="18"/>
      <c r="DG34" s="18"/>
      <c r="DH34" s="18"/>
      <c r="DI34" s="18"/>
      <c r="DJ34" s="18"/>
      <c r="DK34" s="18"/>
      <c r="DL34" s="18"/>
      <c r="DM34" s="18"/>
      <c r="DN34" s="18"/>
      <c r="DO34" s="18"/>
      <c r="DP34" s="18"/>
      <c r="DQ34" s="18"/>
      <c r="DR34" s="18"/>
      <c r="DS34" s="18"/>
      <c r="DT34" s="18"/>
      <c r="DU34" s="18"/>
      <c r="DV34" s="18"/>
      <c r="DW34" s="18"/>
      <c r="DX34" s="18"/>
      <c r="DY34" s="18"/>
      <c r="DZ34" s="18"/>
      <c r="EA34" s="18"/>
      <c r="EB34" s="18"/>
      <c r="EC34" s="18"/>
      <c r="ED34" s="18"/>
      <c r="EE34" s="18"/>
      <c r="EF34" s="18"/>
      <c r="EG34" s="18"/>
      <c r="EH34" s="18"/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8"/>
      <c r="FF34" s="18"/>
      <c r="FG34" s="18"/>
      <c r="FH34" s="18"/>
      <c r="FI34" s="18"/>
      <c r="FJ34" s="18"/>
      <c r="FK34" s="18"/>
      <c r="FL34" s="18"/>
      <c r="FM34" s="18"/>
      <c r="FN34" s="18"/>
      <c r="FO34" s="18"/>
      <c r="FP34" s="18"/>
      <c r="FQ34" s="18"/>
      <c r="FR34" s="18"/>
      <c r="FS34" s="18"/>
      <c r="FT34" s="18"/>
      <c r="FU34" s="18"/>
      <c r="FV34" s="18"/>
      <c r="FW34" s="18"/>
      <c r="FX34" s="18"/>
      <c r="FY34" s="18"/>
      <c r="FZ34" s="18"/>
      <c r="GA34" s="18"/>
      <c r="GB34" s="18"/>
      <c r="GC34" s="18"/>
      <c r="GD34" s="18"/>
      <c r="GE34" s="18"/>
      <c r="GF34" s="18"/>
      <c r="GG34" s="18"/>
      <c r="GH34" s="18"/>
      <c r="GI34" s="18"/>
      <c r="GJ34" s="18"/>
      <c r="GK34" s="18"/>
      <c r="GL34" s="18"/>
      <c r="GM34" s="18"/>
      <c r="GN34" s="18"/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8"/>
      <c r="HU34" s="18"/>
      <c r="HV34" s="18"/>
      <c r="HW34" s="18"/>
      <c r="HX34" s="18"/>
      <c r="HY34" s="18"/>
      <c r="HZ34" s="18"/>
      <c r="IA34" s="18"/>
      <c r="IB34" s="18"/>
      <c r="IC34" s="18"/>
      <c r="ID34" s="18"/>
      <c r="IE34" s="18"/>
      <c r="IF34" s="18"/>
      <c r="IG34" s="18"/>
      <c r="IH34" s="18"/>
      <c r="II34" s="18"/>
      <c r="IJ34" s="18"/>
      <c r="IK34" s="18"/>
      <c r="IL34" s="18"/>
      <c r="IM34" s="18"/>
      <c r="IN34" s="18"/>
      <c r="IO34" s="18"/>
      <c r="IP34" s="18"/>
      <c r="IQ34" s="18"/>
      <c r="IR34" s="18"/>
      <c r="IS34" s="18"/>
      <c r="IT34" s="18"/>
      <c r="IU34" s="18"/>
      <c r="IV34" s="18"/>
    </row>
    <row r="35" spans="1:256" x14ac:dyDescent="0.25">
      <c r="A35" s="18"/>
      <c r="B35" s="19"/>
      <c r="C35" s="19"/>
      <c r="D35" s="18"/>
      <c r="E35" s="18"/>
      <c r="F35" s="19"/>
      <c r="G35" s="18"/>
      <c r="H35" s="19"/>
      <c r="I35" s="19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18"/>
      <c r="CZ35" s="18"/>
      <c r="DA35" s="18"/>
      <c r="DB35" s="18"/>
      <c r="DC35" s="18"/>
      <c r="DD35" s="18"/>
      <c r="DE35" s="18"/>
      <c r="DF35" s="18"/>
      <c r="DG35" s="18"/>
      <c r="DH35" s="18"/>
      <c r="DI35" s="18"/>
      <c r="DJ35" s="18"/>
      <c r="DK35" s="18"/>
      <c r="DL35" s="18"/>
      <c r="DM35" s="18"/>
      <c r="DN35" s="18"/>
      <c r="DO35" s="18"/>
      <c r="DP35" s="18"/>
      <c r="DQ35" s="18"/>
      <c r="DR35" s="18"/>
      <c r="DS35" s="18"/>
      <c r="DT35" s="18"/>
      <c r="DU35" s="18"/>
      <c r="DV35" s="18"/>
      <c r="DW35" s="18"/>
      <c r="DX35" s="18"/>
      <c r="DY35" s="18"/>
      <c r="DZ35" s="18"/>
      <c r="EA35" s="18"/>
      <c r="EB35" s="18"/>
      <c r="EC35" s="18"/>
      <c r="ED35" s="18"/>
      <c r="EE35" s="18"/>
      <c r="EF35" s="18"/>
      <c r="EG35" s="18"/>
      <c r="EH35" s="18"/>
      <c r="EI35" s="18"/>
      <c r="EJ35" s="18"/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8"/>
      <c r="FG35" s="18"/>
      <c r="FH35" s="18"/>
      <c r="FI35" s="18"/>
      <c r="FJ35" s="18"/>
      <c r="FK35" s="18"/>
      <c r="FL35" s="18"/>
      <c r="FM35" s="18"/>
      <c r="FN35" s="18"/>
      <c r="FO35" s="18"/>
      <c r="FP35" s="18"/>
      <c r="FQ35" s="18"/>
      <c r="FR35" s="18"/>
      <c r="FS35" s="18"/>
      <c r="FT35" s="18"/>
      <c r="FU35" s="18"/>
      <c r="FV35" s="18"/>
      <c r="FW35" s="18"/>
      <c r="FX35" s="18"/>
      <c r="FY35" s="18"/>
      <c r="FZ35" s="18"/>
      <c r="GA35" s="18"/>
      <c r="GB35" s="18"/>
      <c r="GC35" s="18"/>
      <c r="GD35" s="18"/>
      <c r="GE35" s="18"/>
      <c r="GF35" s="18"/>
      <c r="GG35" s="18"/>
      <c r="GH35" s="18"/>
      <c r="GI35" s="18"/>
      <c r="GJ35" s="18"/>
      <c r="GK35" s="18"/>
      <c r="GL35" s="18"/>
      <c r="GM35" s="18"/>
      <c r="GN35" s="18"/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8"/>
      <c r="HP35" s="18"/>
      <c r="HQ35" s="18"/>
      <c r="HR35" s="18"/>
      <c r="HS35" s="18"/>
      <c r="HT35" s="18"/>
      <c r="HU35" s="18"/>
      <c r="HV35" s="18"/>
      <c r="HW35" s="18"/>
      <c r="HX35" s="18"/>
      <c r="HY35" s="18"/>
      <c r="HZ35" s="18"/>
      <c r="IA35" s="18"/>
      <c r="IB35" s="18"/>
      <c r="IC35" s="18"/>
      <c r="ID35" s="18"/>
      <c r="IE35" s="18"/>
      <c r="IF35" s="18"/>
      <c r="IG35" s="18"/>
      <c r="IH35" s="18"/>
      <c r="II35" s="18"/>
      <c r="IJ35" s="18"/>
      <c r="IK35" s="18"/>
      <c r="IL35" s="18"/>
      <c r="IM35" s="18"/>
      <c r="IN35" s="18"/>
      <c r="IO35" s="18"/>
      <c r="IP35" s="18"/>
      <c r="IQ35" s="18"/>
      <c r="IR35" s="18"/>
      <c r="IS35" s="18"/>
      <c r="IT35" s="18"/>
      <c r="IU35" s="18"/>
      <c r="IV35" s="18"/>
    </row>
    <row r="36" spans="1:256" x14ac:dyDescent="0.25">
      <c r="A36" s="18"/>
      <c r="B36" s="19"/>
      <c r="C36" s="19"/>
      <c r="D36" s="18"/>
      <c r="E36" s="18"/>
      <c r="F36" s="19"/>
      <c r="G36" s="18"/>
      <c r="H36" s="19"/>
      <c r="I36" s="19"/>
    </row>
    <row r="37" spans="1:256" x14ac:dyDescent="0.25">
      <c r="A37" s="18"/>
      <c r="B37" s="19"/>
      <c r="C37" s="19"/>
      <c r="D37" s="18"/>
      <c r="E37" s="18"/>
      <c r="F37" s="19"/>
      <c r="G37" s="18"/>
      <c r="H37" s="19"/>
      <c r="I37" s="19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/>
      <c r="CL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  <c r="DG37" s="18"/>
      <c r="DH37" s="18"/>
      <c r="DI37" s="18"/>
      <c r="DJ37" s="18"/>
      <c r="DK37" s="18"/>
      <c r="DL37" s="18"/>
      <c r="DM37" s="18"/>
      <c r="DN37" s="18"/>
      <c r="DO37" s="18"/>
      <c r="DP37" s="18"/>
      <c r="DQ37" s="18"/>
      <c r="DR37" s="18"/>
      <c r="DS37" s="18"/>
      <c r="DT37" s="18"/>
      <c r="DU37" s="18"/>
      <c r="DV37" s="18"/>
      <c r="DW37" s="18"/>
      <c r="DX37" s="18"/>
      <c r="DY37" s="18"/>
      <c r="DZ37" s="18"/>
      <c r="EA37" s="18"/>
      <c r="EB37" s="18"/>
      <c r="EC37" s="18"/>
      <c r="ED37" s="18"/>
      <c r="EE37" s="18"/>
      <c r="EF37" s="18"/>
      <c r="EG37" s="18"/>
      <c r="EH37" s="18"/>
      <c r="EI37" s="18"/>
      <c r="EJ37" s="18"/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8"/>
      <c r="FF37" s="18"/>
      <c r="FG37" s="18"/>
      <c r="FH37" s="18"/>
      <c r="FI37" s="18"/>
      <c r="FJ37" s="18"/>
      <c r="FK37" s="18"/>
      <c r="FL37" s="18"/>
      <c r="FM37" s="18"/>
      <c r="FN37" s="18"/>
      <c r="FO37" s="18"/>
      <c r="FP37" s="18"/>
      <c r="FQ37" s="18"/>
      <c r="FR37" s="18"/>
      <c r="FS37" s="18"/>
      <c r="FT37" s="18"/>
      <c r="FU37" s="18"/>
      <c r="FV37" s="18"/>
      <c r="FW37" s="18"/>
      <c r="FX37" s="18"/>
      <c r="FY37" s="18"/>
      <c r="FZ37" s="18"/>
      <c r="GA37" s="18"/>
      <c r="GB37" s="18"/>
      <c r="GC37" s="18"/>
      <c r="GD37" s="18"/>
      <c r="GE37" s="18"/>
      <c r="GF37" s="18"/>
      <c r="GG37" s="18"/>
      <c r="GH37" s="18"/>
      <c r="GI37" s="18"/>
      <c r="GJ37" s="18"/>
      <c r="GK37" s="18"/>
      <c r="GL37" s="18"/>
      <c r="GM37" s="18"/>
      <c r="GN37" s="18"/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8"/>
      <c r="HG37" s="18"/>
      <c r="HH37" s="18"/>
      <c r="HI37" s="18"/>
      <c r="HJ37" s="18"/>
      <c r="HK37" s="18"/>
      <c r="HL37" s="18"/>
      <c r="HM37" s="18"/>
      <c r="HN37" s="18"/>
      <c r="HO37" s="18"/>
      <c r="HP37" s="18"/>
      <c r="HQ37" s="18"/>
      <c r="HR37" s="18"/>
      <c r="HS37" s="18"/>
      <c r="HT37" s="18"/>
      <c r="HU37" s="18"/>
      <c r="HV37" s="18"/>
      <c r="HW37" s="18"/>
      <c r="HX37" s="18"/>
      <c r="HY37" s="18"/>
      <c r="HZ37" s="18"/>
      <c r="IA37" s="18"/>
      <c r="IB37" s="18"/>
      <c r="IC37" s="18"/>
      <c r="ID37" s="18"/>
      <c r="IE37" s="18"/>
      <c r="IF37" s="18"/>
      <c r="IG37" s="18"/>
      <c r="IH37" s="18"/>
      <c r="II37" s="18"/>
      <c r="IJ37" s="18"/>
      <c r="IK37" s="18"/>
      <c r="IL37" s="18"/>
      <c r="IM37" s="18"/>
      <c r="IN37" s="18"/>
      <c r="IO37" s="18"/>
      <c r="IP37" s="18"/>
      <c r="IQ37" s="18"/>
      <c r="IR37" s="18"/>
      <c r="IS37" s="18"/>
      <c r="IT37" s="18"/>
      <c r="IU37" s="18"/>
      <c r="IV37" s="18"/>
    </row>
    <row r="38" spans="1:256" x14ac:dyDescent="0.25">
      <c r="A38" s="34"/>
      <c r="B38" s="19"/>
      <c r="C38" s="19"/>
      <c r="D38" s="18"/>
      <c r="E38" s="18"/>
      <c r="F38" s="19"/>
      <c r="G38" s="18"/>
      <c r="H38" s="19"/>
      <c r="I38" s="19"/>
    </row>
    <row r="39" spans="1:256" x14ac:dyDescent="0.25">
      <c r="B39" s="19"/>
      <c r="C39" s="19"/>
      <c r="D39" s="18"/>
      <c r="E39" s="18"/>
      <c r="F39" s="19"/>
      <c r="G39" s="18"/>
      <c r="H39" s="19"/>
      <c r="I39" s="19"/>
    </row>
    <row r="40" spans="1:256" x14ac:dyDescent="0.25">
      <c r="A40" s="18"/>
      <c r="B40" s="19"/>
      <c r="C40" s="19"/>
      <c r="D40" s="18"/>
      <c r="E40" s="18"/>
      <c r="F40" s="19"/>
      <c r="G40" s="18"/>
      <c r="H40" s="19"/>
      <c r="I40" s="19"/>
    </row>
    <row r="42" spans="1:256" x14ac:dyDescent="0.25">
      <c r="B42" s="19"/>
      <c r="C42" s="19"/>
      <c r="D42" s="18"/>
      <c r="E42" s="18"/>
      <c r="F42" s="19"/>
      <c r="G42" s="18"/>
      <c r="H42" s="19"/>
      <c r="I42" s="19"/>
    </row>
    <row r="43" spans="1:256" s="18" customFormat="1" ht="15" customHeight="1" x14ac:dyDescent="0.25">
      <c r="A43"/>
      <c r="B43" s="19"/>
      <c r="C43" s="19"/>
      <c r="F43" s="19"/>
      <c r="H43" s="19"/>
      <c r="I43" s="19"/>
      <c r="J43" s="34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</row>
    <row r="44" spans="1:256" x14ac:dyDescent="0.25">
      <c r="B44" s="19"/>
      <c r="C44" s="19"/>
      <c r="D44" s="18"/>
      <c r="E44" s="18"/>
      <c r="F44" s="19"/>
      <c r="G44" s="18"/>
      <c r="H44" s="19"/>
      <c r="I44" s="19"/>
    </row>
    <row r="45" spans="1:256" x14ac:dyDescent="0.25">
      <c r="B45" s="19"/>
      <c r="C45" s="19"/>
      <c r="D45" s="18"/>
      <c r="E45" s="18"/>
      <c r="F45" s="19"/>
      <c r="G45" s="18"/>
      <c r="H45" s="19"/>
      <c r="I45" s="19"/>
    </row>
    <row r="47" spans="1:256" x14ac:dyDescent="0.25">
      <c r="H47" s="18"/>
    </row>
    <row r="49" spans="1:256" x14ac:dyDescent="0.25"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18"/>
      <c r="AM49" s="18"/>
      <c r="AN49" s="18"/>
      <c r="AO49" s="18"/>
      <c r="AP49" s="18"/>
      <c r="AQ49" s="18"/>
      <c r="AR49" s="18"/>
      <c r="AS49" s="18"/>
      <c r="AT49" s="18"/>
      <c r="AU49" s="18"/>
      <c r="AV49" s="18"/>
      <c r="AW49" s="18"/>
      <c r="AX49" s="18"/>
      <c r="AY49" s="18"/>
      <c r="AZ49" s="18"/>
      <c r="BA49" s="18"/>
      <c r="BB49" s="18"/>
      <c r="BC49" s="18"/>
      <c r="BD49" s="18"/>
      <c r="BE49" s="18"/>
      <c r="BF49" s="18"/>
      <c r="BG49" s="18"/>
      <c r="BH49" s="18"/>
      <c r="BI49" s="18"/>
      <c r="BJ49" s="18"/>
      <c r="BK49" s="18"/>
      <c r="BL49" s="18"/>
      <c r="BM49" s="18"/>
      <c r="BN49" s="18"/>
      <c r="BO49" s="18"/>
      <c r="BP49" s="18"/>
      <c r="BQ49" s="18"/>
      <c r="BR49" s="18"/>
      <c r="BS49" s="18"/>
      <c r="BT49" s="18"/>
      <c r="BU49" s="18"/>
      <c r="BV49" s="18"/>
      <c r="BW49" s="18"/>
      <c r="BX49" s="18"/>
      <c r="BY49" s="18"/>
      <c r="BZ49" s="18"/>
      <c r="CA49" s="18"/>
      <c r="CB49" s="18"/>
      <c r="CC49" s="18"/>
      <c r="CD49" s="18"/>
      <c r="CE49" s="18"/>
      <c r="CF49" s="18"/>
      <c r="CG49" s="18"/>
      <c r="CH49" s="18"/>
      <c r="CI49" s="18"/>
      <c r="CJ49" s="18"/>
      <c r="CK49" s="18"/>
      <c r="CL49" s="18"/>
      <c r="CM49" s="18"/>
      <c r="CN49" s="18"/>
      <c r="CO49" s="18"/>
      <c r="CP49" s="18"/>
      <c r="CQ49" s="18"/>
      <c r="CR49" s="18"/>
      <c r="CS49" s="18"/>
      <c r="CT49" s="18"/>
      <c r="CU49" s="18"/>
      <c r="CV49" s="18"/>
      <c r="CW49" s="18"/>
      <c r="CX49" s="18"/>
      <c r="CY49" s="18"/>
      <c r="CZ49" s="18"/>
      <c r="DA49" s="18"/>
      <c r="DB49" s="18"/>
      <c r="DC49" s="18"/>
      <c r="DD49" s="18"/>
      <c r="DE49" s="18"/>
      <c r="DF49" s="18"/>
      <c r="DG49" s="18"/>
      <c r="DH49" s="18"/>
      <c r="DI49" s="18"/>
      <c r="DJ49" s="18"/>
      <c r="DK49" s="18"/>
      <c r="DL49" s="18"/>
      <c r="DM49" s="18"/>
      <c r="DN49" s="18"/>
      <c r="DO49" s="18"/>
      <c r="DP49" s="18"/>
      <c r="DQ49" s="18"/>
      <c r="DR49" s="18"/>
      <c r="DS49" s="18"/>
      <c r="DT49" s="18"/>
      <c r="DU49" s="18"/>
      <c r="DV49" s="18"/>
      <c r="DW49" s="18"/>
      <c r="DX49" s="18"/>
      <c r="DY49" s="18"/>
      <c r="DZ49" s="18"/>
      <c r="EA49" s="18"/>
      <c r="EB49" s="18"/>
      <c r="EC49" s="18"/>
      <c r="ED49" s="18"/>
      <c r="EE49" s="18"/>
      <c r="EF49" s="18"/>
      <c r="EG49" s="18"/>
      <c r="EH49" s="18"/>
      <c r="EI49" s="18"/>
      <c r="EJ49" s="18"/>
      <c r="EK49" s="18"/>
      <c r="EL49" s="18"/>
      <c r="EM49" s="18"/>
      <c r="EN49" s="18"/>
      <c r="EO49" s="18"/>
      <c r="EP49" s="18"/>
      <c r="EQ49" s="18"/>
      <c r="ER49" s="18"/>
      <c r="ES49" s="18"/>
      <c r="ET49" s="18"/>
      <c r="EU49" s="18"/>
      <c r="EV49" s="18"/>
      <c r="EW49" s="18"/>
      <c r="EX49" s="18"/>
      <c r="EY49" s="18"/>
      <c r="EZ49" s="18"/>
      <c r="FA49" s="18"/>
      <c r="FB49" s="18"/>
      <c r="FC49" s="18"/>
      <c r="FD49" s="18"/>
      <c r="FE49" s="18"/>
      <c r="FF49" s="18"/>
      <c r="FG49" s="18"/>
      <c r="FH49" s="18"/>
      <c r="FI49" s="18"/>
      <c r="FJ49" s="18"/>
      <c r="FK49" s="18"/>
      <c r="FL49" s="18"/>
      <c r="FM49" s="18"/>
      <c r="FN49" s="18"/>
      <c r="FO49" s="18"/>
      <c r="FP49" s="18"/>
      <c r="FQ49" s="18"/>
      <c r="FR49" s="18"/>
      <c r="FS49" s="18"/>
      <c r="FT49" s="18"/>
      <c r="FU49" s="18"/>
      <c r="FV49" s="18"/>
      <c r="FW49" s="18"/>
      <c r="FX49" s="18"/>
      <c r="FY49" s="18"/>
      <c r="FZ49" s="18"/>
      <c r="GA49" s="18"/>
      <c r="GB49" s="18"/>
      <c r="GC49" s="18"/>
      <c r="GD49" s="18"/>
      <c r="GE49" s="18"/>
      <c r="GF49" s="18"/>
      <c r="GG49" s="18"/>
      <c r="GH49" s="18"/>
      <c r="GI49" s="18"/>
      <c r="GJ49" s="18"/>
      <c r="GK49" s="18"/>
      <c r="GL49" s="18"/>
      <c r="GM49" s="18"/>
      <c r="GN49" s="18"/>
      <c r="GO49" s="18"/>
      <c r="GP49" s="18"/>
      <c r="GQ49" s="18"/>
      <c r="GR49" s="18"/>
      <c r="GS49" s="18"/>
      <c r="GT49" s="18"/>
      <c r="GU49" s="18"/>
      <c r="GV49" s="18"/>
      <c r="GW49" s="18"/>
      <c r="GX49" s="18"/>
      <c r="GY49" s="18"/>
      <c r="GZ49" s="18"/>
      <c r="HA49" s="18"/>
      <c r="HB49" s="18"/>
      <c r="HC49" s="18"/>
      <c r="HD49" s="18"/>
      <c r="HE49" s="18"/>
      <c r="HF49" s="18"/>
      <c r="HG49" s="18"/>
      <c r="HH49" s="18"/>
      <c r="HI49" s="18"/>
      <c r="HJ49" s="18"/>
      <c r="HK49" s="18"/>
      <c r="HL49" s="18"/>
      <c r="HM49" s="18"/>
      <c r="HN49" s="18"/>
      <c r="HO49" s="18"/>
      <c r="HP49" s="18"/>
      <c r="HQ49" s="18"/>
      <c r="HR49" s="18"/>
      <c r="HS49" s="18"/>
      <c r="HT49" s="18"/>
      <c r="HU49" s="18"/>
      <c r="HV49" s="18"/>
      <c r="HW49" s="18"/>
      <c r="HX49" s="18"/>
      <c r="HY49" s="18"/>
      <c r="HZ49" s="18"/>
      <c r="IA49" s="18"/>
      <c r="IB49" s="18"/>
      <c r="IC49" s="18"/>
      <c r="ID49" s="18"/>
      <c r="IE49" s="18"/>
      <c r="IF49" s="18"/>
      <c r="IG49" s="18"/>
      <c r="IH49" s="18"/>
      <c r="II49" s="18"/>
      <c r="IJ49" s="18"/>
      <c r="IK49" s="18"/>
      <c r="IL49" s="18"/>
      <c r="IM49" s="18"/>
      <c r="IN49" s="18"/>
      <c r="IO49" s="18"/>
      <c r="IP49" s="18"/>
      <c r="IQ49" s="18"/>
      <c r="IR49" s="18"/>
      <c r="IS49" s="18"/>
      <c r="IT49" s="18"/>
      <c r="IU49" s="18"/>
      <c r="IV49" s="18"/>
    </row>
    <row r="52" spans="1:256" x14ac:dyDescent="0.25">
      <c r="A52" s="34"/>
      <c r="B52" s="19"/>
      <c r="C52" s="19"/>
      <c r="D52" s="18"/>
      <c r="E52" s="18"/>
      <c r="F52" s="19"/>
      <c r="G52" s="18"/>
      <c r="H52" s="19"/>
      <c r="I52" s="19"/>
    </row>
  </sheetData>
  <pageMargins left="0.7" right="0.7" top="0.75" bottom="0.75" header="0.3" footer="0.3"/>
  <pageSetup paperSize="9" orientation="portrait" horizontalDpi="180" verticalDpi="18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2:R20"/>
  <sheetViews>
    <sheetView workbookViewId="0">
      <selection activeCell="I31" sqref="I31"/>
    </sheetView>
  </sheetViews>
  <sheetFormatPr defaultRowHeight="15" x14ac:dyDescent="0.25"/>
  <cols>
    <col min="2" max="2" width="6.42578125" customWidth="1"/>
    <col min="3" max="3" width="4.42578125" customWidth="1"/>
    <col min="4" max="4" width="16.140625" customWidth="1"/>
    <col min="5" max="5" width="11" customWidth="1"/>
    <col min="6" max="6" width="17" customWidth="1"/>
    <col min="8" max="8" width="21.140625" customWidth="1"/>
    <col min="9" max="9" width="10.28515625" customWidth="1"/>
    <col min="10" max="10" width="11.7109375" customWidth="1"/>
    <col min="11" max="11" width="48.5703125" customWidth="1"/>
    <col min="13" max="13" width="11.5703125" customWidth="1"/>
  </cols>
  <sheetData>
    <row r="2" spans="1:18" ht="14.45" x14ac:dyDescent="0.3">
      <c r="B2" s="75" t="s">
        <v>21</v>
      </c>
      <c r="C2" s="75" t="s">
        <v>119</v>
      </c>
    </row>
    <row r="3" spans="1:18" ht="77.25" x14ac:dyDescent="0.25">
      <c r="B3" s="77" t="s">
        <v>117</v>
      </c>
      <c r="C3" s="76" t="s">
        <v>118</v>
      </c>
    </row>
    <row r="4" spans="1:18" s="2" customFormat="1" ht="15" customHeight="1" x14ac:dyDescent="0.3">
      <c r="A4" s="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4" t="s">
        <v>7</v>
      </c>
      <c r="L4" s="4" t="s">
        <v>19</v>
      </c>
      <c r="M4" s="5" t="s">
        <v>12</v>
      </c>
      <c r="N4" s="4" t="s">
        <v>13</v>
      </c>
      <c r="O4" s="4"/>
      <c r="P4" s="4"/>
      <c r="Q4" s="5"/>
      <c r="R4" s="4"/>
    </row>
    <row r="5" spans="1:18" s="102" customFormat="1" x14ac:dyDescent="0.25">
      <c r="A5" s="102" t="s">
        <v>22</v>
      </c>
      <c r="B5" s="103">
        <v>1</v>
      </c>
      <c r="C5" s="103">
        <v>1</v>
      </c>
      <c r="D5" s="102" t="s">
        <v>101</v>
      </c>
      <c r="F5" s="102" t="s">
        <v>24</v>
      </c>
      <c r="G5" s="103">
        <v>1024</v>
      </c>
      <c r="H5" s="102" t="s">
        <v>102</v>
      </c>
      <c r="I5" s="102" t="s">
        <v>26</v>
      </c>
      <c r="J5" s="102" t="s">
        <v>18</v>
      </c>
      <c r="K5" s="102" t="s">
        <v>103</v>
      </c>
    </row>
    <row r="9" spans="1:18" s="177" customFormat="1" ht="14.45" x14ac:dyDescent="0.3">
      <c r="B9" s="112"/>
      <c r="C9" s="112"/>
      <c r="G9" s="112"/>
    </row>
    <row r="10" spans="1:18" s="177" customFormat="1" ht="14.45" x14ac:dyDescent="0.3">
      <c r="B10" s="112"/>
      <c r="C10" s="112"/>
      <c r="G10" s="112"/>
    </row>
    <row r="11" spans="1:18" s="177" customFormat="1" ht="5.25" customHeight="1" x14ac:dyDescent="0.3"/>
    <row r="12" spans="1:18" s="177" customFormat="1" ht="14.45" x14ac:dyDescent="0.3"/>
    <row r="13" spans="1:18" s="177" customFormat="1" x14ac:dyDescent="0.25">
      <c r="D13" s="184"/>
      <c r="E13" s="557"/>
      <c r="F13" s="557"/>
      <c r="G13" s="557"/>
      <c r="H13" s="557"/>
      <c r="I13" s="557"/>
      <c r="J13" s="557"/>
      <c r="K13" s="557"/>
    </row>
    <row r="14" spans="1:18" s="177" customFormat="1" x14ac:dyDescent="0.25">
      <c r="D14" s="185"/>
      <c r="E14" s="558"/>
      <c r="F14" s="558"/>
      <c r="G14" s="558"/>
      <c r="H14" s="558"/>
      <c r="I14" s="558"/>
      <c r="J14" s="558"/>
      <c r="K14" s="558"/>
    </row>
    <row r="15" spans="1:18" s="177" customFormat="1" x14ac:dyDescent="0.25">
      <c r="D15" s="185"/>
      <c r="E15" s="558"/>
      <c r="F15" s="558"/>
      <c r="G15" s="558"/>
      <c r="H15" s="558"/>
      <c r="I15" s="558"/>
      <c r="J15" s="558"/>
      <c r="K15" s="558"/>
    </row>
    <row r="16" spans="1:18" s="177" customFormat="1" x14ac:dyDescent="0.25"/>
    <row r="17" spans="4:11" s="186" customFormat="1" ht="15" customHeight="1" x14ac:dyDescent="0.25">
      <c r="D17" s="184"/>
      <c r="E17" s="557"/>
      <c r="F17" s="557"/>
      <c r="G17" s="557"/>
      <c r="H17" s="557"/>
      <c r="I17" s="557"/>
      <c r="J17" s="557"/>
      <c r="K17" s="557"/>
    </row>
    <row r="18" spans="4:11" s="186" customFormat="1" ht="15" customHeight="1" x14ac:dyDescent="0.25">
      <c r="D18" s="185"/>
      <c r="E18" s="558"/>
      <c r="F18" s="558"/>
      <c r="G18" s="558"/>
      <c r="H18" s="558"/>
      <c r="I18" s="558"/>
      <c r="J18" s="558"/>
      <c r="K18" s="558"/>
    </row>
    <row r="19" spans="4:11" s="186" customFormat="1" ht="15" customHeight="1" x14ac:dyDescent="0.25">
      <c r="D19" s="185"/>
      <c r="E19" s="558"/>
      <c r="F19" s="558"/>
      <c r="G19" s="558"/>
      <c r="H19" s="558"/>
      <c r="I19" s="558"/>
      <c r="J19" s="558"/>
      <c r="K19" s="558"/>
    </row>
    <row r="20" spans="4:11" s="177" customFormat="1" x14ac:dyDescent="0.25"/>
  </sheetData>
  <mergeCells count="6">
    <mergeCell ref="E17:K17"/>
    <mergeCell ref="E18:K18"/>
    <mergeCell ref="E19:K19"/>
    <mergeCell ref="E13:K13"/>
    <mergeCell ref="E14:K14"/>
    <mergeCell ref="E15:K15"/>
  </mergeCells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/>
  <dimension ref="A1:G6"/>
  <sheetViews>
    <sheetView tabSelected="1" zoomScaleNormal="100" workbookViewId="0">
      <selection activeCell="A2" sqref="A2"/>
    </sheetView>
  </sheetViews>
  <sheetFormatPr defaultRowHeight="15" x14ac:dyDescent="0.25"/>
  <cols>
    <col min="1" max="1" width="15.42578125" customWidth="1"/>
    <col min="4" max="4" width="25.7109375" customWidth="1"/>
    <col min="5" max="5" width="18.42578125" customWidth="1"/>
    <col min="6" max="6" width="24.5703125" customWidth="1"/>
    <col min="7" max="7" width="57.85546875" customWidth="1"/>
    <col min="8" max="8" width="22.5703125" customWidth="1"/>
    <col min="9" max="9" width="16.42578125" customWidth="1"/>
  </cols>
  <sheetData>
    <row r="1" spans="1:7" x14ac:dyDescent="0.25">
      <c r="B1" s="85" t="s">
        <v>104</v>
      </c>
      <c r="C1" s="85" t="s">
        <v>105</v>
      </c>
      <c r="D1" s="559" t="s">
        <v>53</v>
      </c>
      <c r="E1" s="559"/>
      <c r="F1" s="85" t="s">
        <v>70</v>
      </c>
      <c r="G1" t="s">
        <v>71</v>
      </c>
    </row>
    <row r="2" spans="1:7" s="27" customFormat="1" ht="30" customHeight="1" x14ac:dyDescent="0.25">
      <c r="A2" s="27" t="s">
        <v>22</v>
      </c>
      <c r="B2" s="24">
        <v>13</v>
      </c>
      <c r="C2" s="24">
        <v>1</v>
      </c>
      <c r="D2" s="93" t="s">
        <v>865</v>
      </c>
      <c r="E2" s="93" t="s">
        <v>866</v>
      </c>
      <c r="F2" s="92" t="s">
        <v>405</v>
      </c>
      <c r="G2" s="27" t="str">
        <f ca="1">MID(CELL("имяфайла"), 1, SEARCH("[", CELL("имяфайла"))-1) &amp; "profCU.txt"</f>
        <v>D:\prj\t8\dnepr_hrdv14\Sources\Profile\Generator\profCU.txt</v>
      </c>
    </row>
    <row r="3" spans="1:7" s="27" customFormat="1" ht="30" customHeight="1" x14ac:dyDescent="0.3">
      <c r="B3" s="24"/>
      <c r="C3" s="24"/>
      <c r="D3" s="25"/>
      <c r="E3" s="25"/>
      <c r="F3" s="26"/>
    </row>
    <row r="5" spans="1:7" ht="28.5" customHeight="1" x14ac:dyDescent="0.3">
      <c r="G5" s="27"/>
    </row>
    <row r="6" spans="1:7" ht="25.5" customHeight="1" x14ac:dyDescent="0.3">
      <c r="G6" s="27"/>
    </row>
  </sheetData>
  <dataConsolidate/>
  <mergeCells count="1">
    <mergeCell ref="D1:E1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193" r:id="rId4" name="GenProfile2">
          <controlPr defaultSize="0" autoLine="0" r:id="rId5">
            <anchor moveWithCells="1">
              <from>
                <xdr:col>7</xdr:col>
                <xdr:colOff>133350</xdr:colOff>
                <xdr:row>1</xdr:row>
                <xdr:rowOff>57150</xdr:rowOff>
              </from>
              <to>
                <xdr:col>7</xdr:col>
                <xdr:colOff>1495425</xdr:colOff>
                <xdr:row>2</xdr:row>
                <xdr:rowOff>28575</xdr:rowOff>
              </to>
            </anchor>
          </controlPr>
        </control>
      </mc:Choice>
      <mc:Fallback>
        <control shapeId="8193" r:id="rId4" name="GenProfile2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3:Q86"/>
  <sheetViews>
    <sheetView topLeftCell="A64" workbookViewId="0">
      <selection activeCell="K61" sqref="K61"/>
    </sheetView>
  </sheetViews>
  <sheetFormatPr defaultRowHeight="15" x14ac:dyDescent="0.25"/>
  <cols>
    <col min="4" max="4" width="22.140625" customWidth="1"/>
    <col min="6" max="6" width="8.85546875" customWidth="1"/>
    <col min="10" max="10" width="36.7109375" customWidth="1"/>
    <col min="11" max="11" width="42.42578125" customWidth="1"/>
    <col min="12" max="12" width="34.28515625" customWidth="1"/>
  </cols>
  <sheetData>
    <row r="3" spans="1:17" ht="14.45" x14ac:dyDescent="0.3">
      <c r="D3" s="18"/>
    </row>
    <row r="6" spans="1:17" ht="14.45" x14ac:dyDescent="0.3">
      <c r="I6" s="152"/>
      <c r="J6" s="152"/>
      <c r="K6" s="152"/>
      <c r="L6" s="152"/>
      <c r="M6" s="152"/>
      <c r="N6" s="152"/>
      <c r="O6" s="152"/>
      <c r="P6" s="152"/>
      <c r="Q6" s="152"/>
    </row>
    <row r="7" spans="1:17" ht="14.45" x14ac:dyDescent="0.3">
      <c r="I7" s="152"/>
      <c r="J7" s="152"/>
      <c r="K7" s="152"/>
      <c r="L7" s="152"/>
      <c r="M7" s="152"/>
      <c r="N7" s="152"/>
      <c r="O7" s="152"/>
      <c r="P7" s="152"/>
      <c r="Q7" s="152"/>
    </row>
    <row r="8" spans="1:17" x14ac:dyDescent="0.25">
      <c r="A8" t="s">
        <v>125</v>
      </c>
      <c r="B8" s="18" t="s">
        <v>144</v>
      </c>
      <c r="C8" s="18" t="s">
        <v>140</v>
      </c>
      <c r="E8" s="219" t="s">
        <v>149</v>
      </c>
      <c r="F8" s="18" t="s">
        <v>136</v>
      </c>
      <c r="I8" s="152"/>
      <c r="J8" s="152" t="str">
        <f>CONCATENATE(A8,B8)</f>
        <v>V33CMax</v>
      </c>
      <c r="K8" s="152" t="str">
        <f>CONCATENATE(C8," of ",A8)</f>
        <v>Maximum Limit (Critical) of V33</v>
      </c>
      <c r="L8" s="152" t="str">
        <f>CONCATENATE(A8,B8,";",E8,";",F8,A8)</f>
        <v>V33CMax;В;Критический максимум для V33</v>
      </c>
      <c r="M8" s="152"/>
      <c r="N8" s="152"/>
      <c r="O8" s="152"/>
      <c r="P8" s="152"/>
      <c r="Q8" s="152"/>
    </row>
    <row r="9" spans="1:17" x14ac:dyDescent="0.25">
      <c r="A9" t="str">
        <f>A8</f>
        <v>V33</v>
      </c>
      <c r="B9" t="s">
        <v>145</v>
      </c>
      <c r="C9" t="s">
        <v>141</v>
      </c>
      <c r="E9" s="39" t="str">
        <f>E8</f>
        <v>В</v>
      </c>
      <c r="F9" t="s">
        <v>137</v>
      </c>
      <c r="I9" s="152"/>
      <c r="J9" s="152" t="str">
        <f>CONCATENATE(A9,B9)</f>
        <v>V33WMax</v>
      </c>
      <c r="K9" s="152" t="str">
        <f>CONCATENATE(C9," of ",A9)</f>
        <v>Maximum Limit (Warning) of V33</v>
      </c>
      <c r="L9" s="152" t="str">
        <f t="shared" ref="L9:L39" si="0">CONCATENATE(A9,B9,";",E9,";",F9,A9)</f>
        <v>V33WMax;В;Верхний порог (предупреждение) для V33</v>
      </c>
      <c r="M9" s="152"/>
      <c r="N9" s="152"/>
      <c r="O9" s="152"/>
      <c r="P9" s="152"/>
      <c r="Q9" s="152"/>
    </row>
    <row r="10" spans="1:17" x14ac:dyDescent="0.25">
      <c r="A10" t="str">
        <f>A9</f>
        <v>V33</v>
      </c>
      <c r="B10" t="s">
        <v>146</v>
      </c>
      <c r="C10" t="s">
        <v>142</v>
      </c>
      <c r="E10" s="39" t="str">
        <f>E8</f>
        <v>В</v>
      </c>
      <c r="F10" t="s">
        <v>138</v>
      </c>
      <c r="I10" s="152"/>
      <c r="J10" s="152" t="str">
        <f>CONCATENATE(A10,B10)</f>
        <v>V33WMin</v>
      </c>
      <c r="K10" s="152" t="str">
        <f>CONCATENATE(C10," of ",A10)</f>
        <v>Minimum Limit (Warning) of V33</v>
      </c>
      <c r="L10" s="152" t="str">
        <f t="shared" si="0"/>
        <v>V33WMin;В;Нижний порог (предупреждение) для V33</v>
      </c>
      <c r="M10" s="152"/>
      <c r="N10" s="152"/>
      <c r="O10" s="152"/>
      <c r="P10" s="152"/>
      <c r="Q10" s="152"/>
    </row>
    <row r="11" spans="1:17" x14ac:dyDescent="0.25">
      <c r="A11" t="str">
        <f>A10</f>
        <v>V33</v>
      </c>
      <c r="B11" t="s">
        <v>147</v>
      </c>
      <c r="C11" t="s">
        <v>143</v>
      </c>
      <c r="E11" s="39" t="str">
        <f>E8</f>
        <v>В</v>
      </c>
      <c r="F11" t="s">
        <v>139</v>
      </c>
      <c r="I11" s="152"/>
      <c r="J11" s="152" t="str">
        <f>CONCATENATE(A11,B11)</f>
        <v>V33CMin</v>
      </c>
      <c r="K11" s="152" t="str">
        <f>CONCATENATE(C11," of ",A11)</f>
        <v>Minimum Limit (Critical) of V33</v>
      </c>
      <c r="L11" s="152" t="str">
        <f t="shared" si="0"/>
        <v>V33CMin;В;Критический минимум для V33</v>
      </c>
      <c r="M11" s="152"/>
      <c r="N11" s="152"/>
      <c r="O11" s="152"/>
      <c r="P11" s="152"/>
      <c r="Q11" s="152"/>
    </row>
    <row r="12" spans="1:17" x14ac:dyDescent="0.25">
      <c r="A12" t="s">
        <v>126</v>
      </c>
      <c r="B12" s="18" t="s">
        <v>144</v>
      </c>
      <c r="C12" s="18" t="s">
        <v>140</v>
      </c>
      <c r="E12" t="s">
        <v>150</v>
      </c>
      <c r="F12" s="18" t="s">
        <v>136</v>
      </c>
      <c r="I12" s="95"/>
      <c r="J12" s="152"/>
      <c r="K12" s="152"/>
      <c r="L12" s="152" t="str">
        <f t="shared" si="0"/>
        <v>I33CMax;мА;Критический максимум для I33</v>
      </c>
      <c r="M12" s="152"/>
      <c r="N12" s="152"/>
      <c r="O12" s="152"/>
      <c r="P12" s="152"/>
      <c r="Q12" s="152"/>
    </row>
    <row r="13" spans="1:17" x14ac:dyDescent="0.25">
      <c r="A13" t="str">
        <f>A12</f>
        <v>I33</v>
      </c>
      <c r="B13" t="s">
        <v>145</v>
      </c>
      <c r="C13" t="s">
        <v>141</v>
      </c>
      <c r="E13" t="s">
        <v>150</v>
      </c>
      <c r="F13" t="s">
        <v>137</v>
      </c>
      <c r="I13" s="95"/>
      <c r="J13" s="152"/>
      <c r="K13" s="152"/>
      <c r="L13" s="152" t="str">
        <f t="shared" si="0"/>
        <v>I33WMax;мА;Верхний порог (предупреждение) для I33</v>
      </c>
      <c r="M13" s="152"/>
      <c r="N13" s="152"/>
      <c r="O13" s="152"/>
      <c r="P13" s="152"/>
      <c r="Q13" s="152"/>
    </row>
    <row r="14" spans="1:17" x14ac:dyDescent="0.25">
      <c r="A14" t="str">
        <f>A13</f>
        <v>I33</v>
      </c>
      <c r="B14" t="s">
        <v>146</v>
      </c>
      <c r="C14" t="s">
        <v>142</v>
      </c>
      <c r="E14" t="s">
        <v>150</v>
      </c>
      <c r="F14" t="s">
        <v>138</v>
      </c>
      <c r="I14" s="95"/>
      <c r="J14" s="152"/>
      <c r="K14" s="152"/>
      <c r="L14" s="152" t="str">
        <f t="shared" si="0"/>
        <v>I33WMin;мА;Нижний порог (предупреждение) для I33</v>
      </c>
      <c r="M14" s="152"/>
      <c r="N14" s="152"/>
      <c r="O14" s="152"/>
      <c r="P14" s="152"/>
      <c r="Q14" s="152"/>
    </row>
    <row r="15" spans="1:17" x14ac:dyDescent="0.25">
      <c r="A15" t="str">
        <f>A14</f>
        <v>I33</v>
      </c>
      <c r="B15" t="s">
        <v>147</v>
      </c>
      <c r="C15" t="s">
        <v>143</v>
      </c>
      <c r="E15" t="s">
        <v>150</v>
      </c>
      <c r="F15" t="s">
        <v>139</v>
      </c>
      <c r="I15" s="95"/>
      <c r="J15" s="152"/>
      <c r="K15" s="152"/>
      <c r="L15" s="152" t="str">
        <f t="shared" si="0"/>
        <v>I33CMin;мА;Критический минимум для I33</v>
      </c>
      <c r="M15" s="152"/>
      <c r="N15" s="152"/>
      <c r="O15" s="152"/>
      <c r="P15" s="152"/>
      <c r="Q15" s="152"/>
    </row>
    <row r="16" spans="1:17" x14ac:dyDescent="0.25">
      <c r="A16" t="s">
        <v>127</v>
      </c>
      <c r="B16" s="18" t="s">
        <v>144</v>
      </c>
      <c r="E16" t="s">
        <v>149</v>
      </c>
      <c r="F16" s="18" t="s">
        <v>136</v>
      </c>
      <c r="I16" s="152"/>
      <c r="J16" s="152"/>
      <c r="K16" s="152"/>
      <c r="L16" s="152" t="str">
        <f t="shared" si="0"/>
        <v>V12CMax;В;Критический максимум для V12</v>
      </c>
      <c r="M16" s="152"/>
      <c r="N16" s="152"/>
      <c r="O16" s="152"/>
      <c r="P16" s="152"/>
      <c r="Q16" s="152"/>
    </row>
    <row r="17" spans="1:17" x14ac:dyDescent="0.25">
      <c r="A17" t="s">
        <v>127</v>
      </c>
      <c r="B17" t="s">
        <v>145</v>
      </c>
      <c r="E17" t="s">
        <v>149</v>
      </c>
      <c r="F17" t="s">
        <v>137</v>
      </c>
      <c r="I17" s="152"/>
      <c r="J17" s="152"/>
      <c r="K17" s="152"/>
      <c r="L17" s="152" t="str">
        <f t="shared" si="0"/>
        <v>V12WMax;В;Верхний порог (предупреждение) для V12</v>
      </c>
      <c r="M17" s="152"/>
      <c r="N17" s="152"/>
      <c r="O17" s="152"/>
      <c r="P17" s="152"/>
      <c r="Q17" s="152"/>
    </row>
    <row r="18" spans="1:17" x14ac:dyDescent="0.25">
      <c r="A18" t="s">
        <v>127</v>
      </c>
      <c r="B18" t="s">
        <v>146</v>
      </c>
      <c r="E18" t="s">
        <v>149</v>
      </c>
      <c r="F18" t="s">
        <v>138</v>
      </c>
      <c r="I18" s="152"/>
      <c r="J18" s="152"/>
      <c r="K18" s="152"/>
      <c r="L18" s="152" t="str">
        <f t="shared" si="0"/>
        <v>V12WMin;В;Нижний порог (предупреждение) для V12</v>
      </c>
      <c r="M18" s="152"/>
      <c r="N18" s="152"/>
      <c r="O18" s="152"/>
      <c r="P18" s="152"/>
      <c r="Q18" s="152"/>
    </row>
    <row r="19" spans="1:17" x14ac:dyDescent="0.25">
      <c r="A19" t="s">
        <v>127</v>
      </c>
      <c r="B19" t="s">
        <v>147</v>
      </c>
      <c r="E19" t="s">
        <v>149</v>
      </c>
      <c r="F19" t="s">
        <v>139</v>
      </c>
      <c r="I19" s="152"/>
      <c r="J19" s="152"/>
      <c r="K19" s="152"/>
      <c r="L19" s="152" t="str">
        <f t="shared" si="0"/>
        <v>V12CMin;В;Критический минимум для V12</v>
      </c>
      <c r="M19" s="152"/>
      <c r="N19" s="152"/>
      <c r="O19" s="152"/>
      <c r="P19" s="152"/>
      <c r="Q19" s="152"/>
    </row>
    <row r="20" spans="1:17" x14ac:dyDescent="0.25">
      <c r="A20" t="s">
        <v>128</v>
      </c>
      <c r="B20" s="18" t="s">
        <v>144</v>
      </c>
      <c r="E20" t="s">
        <v>150</v>
      </c>
      <c r="F20" s="18" t="s">
        <v>136</v>
      </c>
      <c r="I20" s="152"/>
      <c r="J20" s="152"/>
      <c r="K20" s="152"/>
      <c r="L20" s="152" t="str">
        <f t="shared" si="0"/>
        <v>I12CMax;мА;Критический максимум для I12</v>
      </c>
      <c r="M20" s="152"/>
      <c r="N20" s="152"/>
      <c r="O20" s="152"/>
      <c r="P20" s="152"/>
      <c r="Q20" s="152"/>
    </row>
    <row r="21" spans="1:17" x14ac:dyDescent="0.25">
      <c r="A21" t="s">
        <v>128</v>
      </c>
      <c r="B21" t="s">
        <v>145</v>
      </c>
      <c r="E21" t="s">
        <v>150</v>
      </c>
      <c r="F21" t="s">
        <v>137</v>
      </c>
      <c r="L21" s="152" t="str">
        <f t="shared" si="0"/>
        <v>I12WMax;мА;Верхний порог (предупреждение) для I12</v>
      </c>
    </row>
    <row r="22" spans="1:17" x14ac:dyDescent="0.25">
      <c r="A22" t="s">
        <v>128</v>
      </c>
      <c r="B22" t="s">
        <v>146</v>
      </c>
      <c r="E22" t="s">
        <v>150</v>
      </c>
      <c r="F22" t="s">
        <v>138</v>
      </c>
      <c r="L22" s="152" t="str">
        <f t="shared" si="0"/>
        <v>I12WMin;мА;Нижний порог (предупреждение) для I12</v>
      </c>
    </row>
    <row r="23" spans="1:17" x14ac:dyDescent="0.25">
      <c r="A23" t="s">
        <v>128</v>
      </c>
      <c r="B23" t="s">
        <v>147</v>
      </c>
      <c r="E23" t="s">
        <v>150</v>
      </c>
      <c r="F23" t="s">
        <v>139</v>
      </c>
      <c r="L23" s="152" t="str">
        <f t="shared" si="0"/>
        <v>I12CMin;мА;Критический минимум для I12</v>
      </c>
    </row>
    <row r="24" spans="1:17" x14ac:dyDescent="0.25">
      <c r="A24" t="s">
        <v>84</v>
      </c>
      <c r="B24" t="s">
        <v>151</v>
      </c>
      <c r="E24" t="s">
        <v>148</v>
      </c>
      <c r="F24" t="s">
        <v>153</v>
      </c>
      <c r="L24" s="152" t="str">
        <f t="shared" si="0"/>
        <v>SFP?PinHMax;дБм;Максимальное возможное значение SFP?Pin</v>
      </c>
    </row>
    <row r="25" spans="1:17" x14ac:dyDescent="0.25">
      <c r="A25" t="s">
        <v>84</v>
      </c>
      <c r="B25" s="18" t="s">
        <v>144</v>
      </c>
      <c r="E25" t="s">
        <v>148</v>
      </c>
      <c r="F25" s="18" t="s">
        <v>136</v>
      </c>
      <c r="L25" s="152" t="str">
        <f t="shared" si="0"/>
        <v>SFP?PinCMax;дБм;Критический максимум для SFP?Pin</v>
      </c>
    </row>
    <row r="26" spans="1:17" x14ac:dyDescent="0.25">
      <c r="A26" t="s">
        <v>84</v>
      </c>
      <c r="B26" t="s">
        <v>145</v>
      </c>
      <c r="E26" t="s">
        <v>148</v>
      </c>
      <c r="F26" t="s">
        <v>137</v>
      </c>
      <c r="L26" s="152" t="str">
        <f t="shared" si="0"/>
        <v>SFP?PinWMax;дБм;Верхний порог (предупреждение) для SFP?Pin</v>
      </c>
    </row>
    <row r="27" spans="1:17" x14ac:dyDescent="0.25">
      <c r="A27" t="s">
        <v>84</v>
      </c>
      <c r="B27" t="s">
        <v>146</v>
      </c>
      <c r="E27" t="s">
        <v>148</v>
      </c>
      <c r="F27" t="s">
        <v>138</v>
      </c>
      <c r="L27" s="152" t="str">
        <f t="shared" si="0"/>
        <v>SFP?PinWMin;дБм;Нижний порог (предупреждение) для SFP?Pin</v>
      </c>
    </row>
    <row r="28" spans="1:17" x14ac:dyDescent="0.25">
      <c r="A28" t="s">
        <v>84</v>
      </c>
      <c r="B28" t="s">
        <v>147</v>
      </c>
      <c r="E28" t="s">
        <v>148</v>
      </c>
      <c r="F28" t="s">
        <v>139</v>
      </c>
      <c r="L28" s="152" t="str">
        <f t="shared" si="0"/>
        <v>SFP?PinCMin;дБм;Критический минимум для SFP?Pin</v>
      </c>
    </row>
    <row r="29" spans="1:17" x14ac:dyDescent="0.25">
      <c r="A29" t="s">
        <v>84</v>
      </c>
      <c r="B29" t="s">
        <v>152</v>
      </c>
      <c r="E29" t="s">
        <v>148</v>
      </c>
      <c r="F29" t="s">
        <v>154</v>
      </c>
      <c r="L29" s="152" t="str">
        <f t="shared" si="0"/>
        <v>SFP?PinHMin;дБм;Минимальное возможное значение для SFP?Pin</v>
      </c>
    </row>
    <row r="30" spans="1:17" x14ac:dyDescent="0.25">
      <c r="A30" t="s">
        <v>85</v>
      </c>
      <c r="B30" t="s">
        <v>151</v>
      </c>
      <c r="E30" t="s">
        <v>148</v>
      </c>
      <c r="F30" t="s">
        <v>153</v>
      </c>
      <c r="L30" s="152" t="str">
        <f t="shared" si="0"/>
        <v>SFP?PoutHMax;дБм;Максимальное возможное значение SFP?Pout</v>
      </c>
    </row>
    <row r="31" spans="1:17" x14ac:dyDescent="0.25">
      <c r="A31" t="s">
        <v>85</v>
      </c>
      <c r="B31" s="18" t="s">
        <v>144</v>
      </c>
      <c r="E31" t="s">
        <v>148</v>
      </c>
      <c r="F31" s="18" t="s">
        <v>136</v>
      </c>
      <c r="L31" s="152" t="str">
        <f t="shared" si="0"/>
        <v>SFP?PoutCMax;дБм;Критический максимум для SFP?Pout</v>
      </c>
    </row>
    <row r="32" spans="1:17" x14ac:dyDescent="0.25">
      <c r="A32" t="s">
        <v>85</v>
      </c>
      <c r="B32" t="s">
        <v>145</v>
      </c>
      <c r="E32" t="s">
        <v>148</v>
      </c>
      <c r="F32" t="s">
        <v>137</v>
      </c>
      <c r="L32" s="152" t="str">
        <f t="shared" si="0"/>
        <v>SFP?PoutWMax;дБм;Верхний порог (предупреждение) для SFP?Pout</v>
      </c>
    </row>
    <row r="33" spans="1:12" x14ac:dyDescent="0.25">
      <c r="A33" t="s">
        <v>85</v>
      </c>
      <c r="B33" t="s">
        <v>146</v>
      </c>
      <c r="E33" t="s">
        <v>148</v>
      </c>
      <c r="F33" t="s">
        <v>138</v>
      </c>
      <c r="L33" s="152" t="str">
        <f t="shared" si="0"/>
        <v>SFP?PoutWMin;дБм;Нижний порог (предупреждение) для SFP?Pout</v>
      </c>
    </row>
    <row r="34" spans="1:12" x14ac:dyDescent="0.25">
      <c r="A34" t="s">
        <v>85</v>
      </c>
      <c r="B34" t="s">
        <v>147</v>
      </c>
      <c r="E34" t="s">
        <v>148</v>
      </c>
      <c r="F34" t="s">
        <v>139</v>
      </c>
      <c r="L34" s="152" t="str">
        <f t="shared" si="0"/>
        <v>SFP?PoutCMin;дБм;Критический минимум для SFP?Pout</v>
      </c>
    </row>
    <row r="35" spans="1:12" x14ac:dyDescent="0.25">
      <c r="A35" t="s">
        <v>85</v>
      </c>
      <c r="B35" t="s">
        <v>152</v>
      </c>
      <c r="E35" t="s">
        <v>148</v>
      </c>
      <c r="F35" t="s">
        <v>154</v>
      </c>
      <c r="L35" s="152" t="str">
        <f t="shared" si="0"/>
        <v>SFP?PoutHMin;дБм;Минимальное возможное значение для SFP?Pout</v>
      </c>
    </row>
    <row r="36" spans="1:12" x14ac:dyDescent="0.25">
      <c r="A36" t="s">
        <v>135</v>
      </c>
      <c r="B36" s="18" t="s">
        <v>144</v>
      </c>
      <c r="E36" s="220" t="s">
        <v>27</v>
      </c>
      <c r="F36" s="18" t="s">
        <v>136</v>
      </c>
      <c r="L36" s="152" t="str">
        <f t="shared" si="0"/>
        <v>SFP?TxTCMax;°C;Критический максимум для SFP?TxT</v>
      </c>
    </row>
    <row r="37" spans="1:12" x14ac:dyDescent="0.25">
      <c r="A37" t="s">
        <v>135</v>
      </c>
      <c r="B37" t="s">
        <v>145</v>
      </c>
      <c r="E37" s="220" t="s">
        <v>27</v>
      </c>
      <c r="F37" t="s">
        <v>137</v>
      </c>
      <c r="L37" s="152" t="str">
        <f t="shared" si="0"/>
        <v>SFP?TxTWMax;°C;Верхний порог (предупреждение) для SFP?TxT</v>
      </c>
    </row>
    <row r="38" spans="1:12" x14ac:dyDescent="0.25">
      <c r="A38" t="s">
        <v>135</v>
      </c>
      <c r="B38" t="s">
        <v>146</v>
      </c>
      <c r="E38" s="220" t="s">
        <v>27</v>
      </c>
      <c r="F38" t="s">
        <v>138</v>
      </c>
      <c r="L38" s="152" t="str">
        <f t="shared" si="0"/>
        <v>SFP?TxTWMin;°C;Нижний порог (предупреждение) для SFP?TxT</v>
      </c>
    </row>
    <row r="39" spans="1:12" x14ac:dyDescent="0.25">
      <c r="A39" t="s">
        <v>135</v>
      </c>
      <c r="B39" t="s">
        <v>147</v>
      </c>
      <c r="E39" s="220" t="s">
        <v>27</v>
      </c>
      <c r="F39" t="s">
        <v>139</v>
      </c>
      <c r="L39" s="152" t="str">
        <f t="shared" si="0"/>
        <v>SFP?TxTCMin;°C;Критический минимум для SFP?TxT</v>
      </c>
    </row>
    <row r="41" spans="1:12" x14ac:dyDescent="0.25">
      <c r="A41" s="240" t="s">
        <v>256</v>
      </c>
      <c r="B41" s="18" t="s">
        <v>144</v>
      </c>
      <c r="C41" s="18" t="s">
        <v>140</v>
      </c>
      <c r="E41" s="220" t="s">
        <v>27</v>
      </c>
      <c r="F41" s="18" t="s">
        <v>136</v>
      </c>
      <c r="J41" s="152" t="str">
        <f t="shared" ref="J41:J50" si="1">CONCATENATE(A41,B41)</f>
        <v>PS2TempCMax</v>
      </c>
      <c r="K41" s="152" t="str">
        <f t="shared" ref="K41:K50" si="2">CONCATENATE(C41," of ",A41)</f>
        <v>Maximum Limit (Critical) of PS2Temp</v>
      </c>
      <c r="L41" s="152" t="str">
        <f>CONCATENATE(A41,B41,";",E41,";",F41,A41)</f>
        <v>PS2TempCMax;°C;Критический максимум для PS2Temp</v>
      </c>
    </row>
    <row r="42" spans="1:12" x14ac:dyDescent="0.25">
      <c r="A42" s="240" t="str">
        <f>A43</f>
        <v>PS2Temp</v>
      </c>
      <c r="B42" t="s">
        <v>145</v>
      </c>
      <c r="C42" t="s">
        <v>141</v>
      </c>
      <c r="E42" s="220" t="s">
        <v>27</v>
      </c>
      <c r="F42" t="s">
        <v>137</v>
      </c>
      <c r="J42" s="152" t="str">
        <f t="shared" si="1"/>
        <v>PS2TempWMax</v>
      </c>
      <c r="K42" s="152" t="str">
        <f t="shared" si="2"/>
        <v>Maximum Limit (Warning) of PS2Temp</v>
      </c>
      <c r="L42" s="152" t="str">
        <f t="shared" ref="L42:L50" si="3">CONCATENATE(A42,B42,";",E42,";",F42,A42)</f>
        <v>PS2TempWMax;°C;Верхний порог (предупреждение) для PS2Temp</v>
      </c>
    </row>
    <row r="43" spans="1:12" x14ac:dyDescent="0.25">
      <c r="A43" s="240" t="str">
        <f>A41</f>
        <v>PS2Temp</v>
      </c>
      <c r="B43" t="s">
        <v>146</v>
      </c>
      <c r="C43" t="s">
        <v>142</v>
      </c>
      <c r="E43" s="220" t="s">
        <v>27</v>
      </c>
      <c r="F43" t="s">
        <v>138</v>
      </c>
      <c r="J43" s="152" t="str">
        <f t="shared" si="1"/>
        <v>PS2TempWMin</v>
      </c>
      <c r="K43" s="152" t="str">
        <f t="shared" si="2"/>
        <v>Minimum Limit (Warning) of PS2Temp</v>
      </c>
      <c r="L43" s="152" t="str">
        <f t="shared" si="3"/>
        <v>PS2TempWMin;°C;Нижний порог (предупреждение) для PS2Temp</v>
      </c>
    </row>
    <row r="44" spans="1:12" x14ac:dyDescent="0.25">
      <c r="A44" s="240" t="str">
        <f>A41</f>
        <v>PS2Temp</v>
      </c>
      <c r="B44" t="s">
        <v>147</v>
      </c>
      <c r="C44" t="s">
        <v>143</v>
      </c>
      <c r="E44" s="220" t="s">
        <v>27</v>
      </c>
      <c r="F44" t="s">
        <v>139</v>
      </c>
      <c r="J44" s="152" t="str">
        <f t="shared" si="1"/>
        <v>PS2TempCMin</v>
      </c>
      <c r="K44" s="152" t="str">
        <f t="shared" si="2"/>
        <v>Minimum Limit (Critical) of PS2Temp</v>
      </c>
      <c r="L44" s="152" t="str">
        <f t="shared" si="3"/>
        <v>PS2TempCMin;°C;Критический минимум для PS2Temp</v>
      </c>
    </row>
    <row r="45" spans="1:12" x14ac:dyDescent="0.25">
      <c r="A45" s="240" t="s">
        <v>269</v>
      </c>
      <c r="B45" t="s">
        <v>151</v>
      </c>
      <c r="C45" t="s">
        <v>253</v>
      </c>
      <c r="D45" s="18"/>
      <c r="E45" s="219" t="s">
        <v>149</v>
      </c>
      <c r="F45" t="s">
        <v>153</v>
      </c>
      <c r="J45" s="152" t="str">
        <f t="shared" si="1"/>
        <v>PS2VoutHMax</v>
      </c>
      <c r="K45" s="152" t="str">
        <f t="shared" si="2"/>
        <v>Highest possible value of  of PS2Vout</v>
      </c>
      <c r="L45" s="152" t="str">
        <f t="shared" si="3"/>
        <v>PS2VoutHMax;В;Максимальное возможное значение PS2Vout</v>
      </c>
    </row>
    <row r="46" spans="1:12" x14ac:dyDescent="0.25">
      <c r="A46" s="240" t="str">
        <f>A47</f>
        <v>PS2Vout</v>
      </c>
      <c r="B46" s="18" t="s">
        <v>144</v>
      </c>
      <c r="C46" s="18" t="s">
        <v>140</v>
      </c>
      <c r="E46" s="39" t="str">
        <f>E45</f>
        <v>В</v>
      </c>
      <c r="F46" s="18" t="s">
        <v>136</v>
      </c>
      <c r="J46" s="152" t="str">
        <f t="shared" si="1"/>
        <v>PS2VoutCMax</v>
      </c>
      <c r="K46" s="152" t="str">
        <f t="shared" si="2"/>
        <v>Maximum Limit (Critical) of PS2Vout</v>
      </c>
      <c r="L46" s="152" t="str">
        <f t="shared" si="3"/>
        <v>PS2VoutCMax;В;Критический максимум для PS2Vout</v>
      </c>
    </row>
    <row r="47" spans="1:12" x14ac:dyDescent="0.25">
      <c r="A47" s="240" t="str">
        <f>A45</f>
        <v>PS2Vout</v>
      </c>
      <c r="B47" t="s">
        <v>145</v>
      </c>
      <c r="C47" t="s">
        <v>141</v>
      </c>
      <c r="E47" s="39" t="str">
        <f>E45</f>
        <v>В</v>
      </c>
      <c r="F47" t="s">
        <v>137</v>
      </c>
      <c r="J47" s="152" t="str">
        <f t="shared" si="1"/>
        <v>PS2VoutWMax</v>
      </c>
      <c r="K47" s="152" t="str">
        <f t="shared" si="2"/>
        <v>Maximum Limit (Warning) of PS2Vout</v>
      </c>
      <c r="L47" s="152" t="str">
        <f t="shared" si="3"/>
        <v>PS2VoutWMax;В;Верхний порог (предупреждение) для PS2Vout</v>
      </c>
    </row>
    <row r="48" spans="1:12" x14ac:dyDescent="0.25">
      <c r="A48" s="240" t="str">
        <f>A45</f>
        <v>PS2Vout</v>
      </c>
      <c r="B48" t="s">
        <v>146</v>
      </c>
      <c r="C48" t="s">
        <v>142</v>
      </c>
      <c r="E48" s="39" t="str">
        <f>E45</f>
        <v>В</v>
      </c>
      <c r="F48" t="s">
        <v>138</v>
      </c>
      <c r="J48" s="152" t="str">
        <f t="shared" si="1"/>
        <v>PS2VoutWMin</v>
      </c>
      <c r="K48" s="152" t="str">
        <f t="shared" si="2"/>
        <v>Minimum Limit (Warning) of PS2Vout</v>
      </c>
      <c r="L48" s="152" t="str">
        <f t="shared" si="3"/>
        <v>PS2VoutWMin;В;Нижний порог (предупреждение) для PS2Vout</v>
      </c>
    </row>
    <row r="49" spans="1:12" x14ac:dyDescent="0.25">
      <c r="A49" s="240" t="str">
        <f>A45</f>
        <v>PS2Vout</v>
      </c>
      <c r="B49" t="s">
        <v>147</v>
      </c>
      <c r="C49" t="s">
        <v>143</v>
      </c>
      <c r="E49" s="267" t="str">
        <f>E45</f>
        <v>В</v>
      </c>
      <c r="F49" t="s">
        <v>139</v>
      </c>
      <c r="J49" s="152" t="str">
        <f t="shared" si="1"/>
        <v>PS2VoutCMin</v>
      </c>
      <c r="K49" s="152" t="str">
        <f t="shared" si="2"/>
        <v>Minimum Limit (Critical) of PS2Vout</v>
      </c>
      <c r="L49" s="152" t="str">
        <f t="shared" si="3"/>
        <v>PS2VoutCMin;В;Критический минимум для PS2Vout</v>
      </c>
    </row>
    <row r="50" spans="1:12" x14ac:dyDescent="0.25">
      <c r="A50" s="240" t="str">
        <f>A45</f>
        <v>PS2Vout</v>
      </c>
      <c r="B50" t="s">
        <v>152</v>
      </c>
      <c r="C50" t="s">
        <v>254</v>
      </c>
      <c r="E50" s="267" t="str">
        <f>E45</f>
        <v>В</v>
      </c>
      <c r="F50" t="s">
        <v>154</v>
      </c>
      <c r="J50" s="152" t="str">
        <f t="shared" si="1"/>
        <v>PS2VoutHMin</v>
      </c>
      <c r="K50" s="152" t="str">
        <f t="shared" si="2"/>
        <v>Minimal possible value  of PS2Vout</v>
      </c>
      <c r="L50" s="152" t="str">
        <f t="shared" si="3"/>
        <v>PS2VoutHMin;В;Минимальное возможное значение для PS2Vout</v>
      </c>
    </row>
    <row r="51" spans="1:12" ht="14.45" x14ac:dyDescent="0.3">
      <c r="K51" s="152"/>
    </row>
    <row r="53" spans="1:12" ht="14.45" x14ac:dyDescent="0.3">
      <c r="I53" t="str">
        <f>CONCATENATE(J41,"|",J42,"|",J43,"|",J44)</f>
        <v>PS2TempCMax|PS2TempWMax|PS2TempWMin|PS2TempCMin</v>
      </c>
    </row>
    <row r="55" spans="1:12" x14ac:dyDescent="0.25">
      <c r="A55" s="243" t="s">
        <v>161</v>
      </c>
      <c r="C55" t="s">
        <v>255</v>
      </c>
      <c r="E55" t="s">
        <v>180</v>
      </c>
      <c r="F55" t="s">
        <v>153</v>
      </c>
      <c r="J55" s="198" t="s">
        <v>183</v>
      </c>
      <c r="K55" s="152" t="str">
        <f t="shared" ref="K55:K60" si="4">CONCATENATE(C55," of ",A55)</f>
        <v>Highest possible value of MemLoad</v>
      </c>
      <c r="L55" s="152" t="str">
        <f t="shared" ref="L55:L60" si="5">CONCATENATE(A55,B55,";",E55,";",F55,A55)</f>
        <v>MemLoad;%;Максимальное возможное значение MemLoad</v>
      </c>
    </row>
    <row r="56" spans="1:12" x14ac:dyDescent="0.25">
      <c r="A56" s="243" t="s">
        <v>161</v>
      </c>
      <c r="C56" s="18" t="s">
        <v>140</v>
      </c>
      <c r="E56" t="s">
        <v>180</v>
      </c>
      <c r="F56" s="18" t="s">
        <v>136</v>
      </c>
      <c r="J56" s="198" t="s">
        <v>184</v>
      </c>
      <c r="K56" s="152" t="str">
        <f t="shared" si="4"/>
        <v>Maximum Limit (Critical) of MemLoad</v>
      </c>
      <c r="L56" s="152" t="str">
        <f t="shared" si="5"/>
        <v>MemLoad;%;Критический максимум для MemLoad</v>
      </c>
    </row>
    <row r="57" spans="1:12" x14ac:dyDescent="0.25">
      <c r="A57" s="243" t="s">
        <v>161</v>
      </c>
      <c r="C57" t="s">
        <v>141</v>
      </c>
      <c r="E57" t="s">
        <v>180</v>
      </c>
      <c r="F57" t="s">
        <v>137</v>
      </c>
      <c r="J57" s="198" t="s">
        <v>185</v>
      </c>
      <c r="K57" s="152" t="str">
        <f t="shared" si="4"/>
        <v>Maximum Limit (Warning) of MemLoad</v>
      </c>
      <c r="L57" s="152" t="str">
        <f t="shared" si="5"/>
        <v>MemLoad;%;Верхний порог (предупреждение) для MemLoad</v>
      </c>
    </row>
    <row r="58" spans="1:12" x14ac:dyDescent="0.25">
      <c r="A58" s="243" t="s">
        <v>162</v>
      </c>
      <c r="C58" t="s">
        <v>255</v>
      </c>
      <c r="E58" t="s">
        <v>180</v>
      </c>
      <c r="F58" t="s">
        <v>153</v>
      </c>
      <c r="J58" s="198" t="s">
        <v>186</v>
      </c>
      <c r="K58" s="152" t="str">
        <f t="shared" si="4"/>
        <v>Highest possible value of DiskSpace</v>
      </c>
      <c r="L58" s="152" t="str">
        <f t="shared" si="5"/>
        <v>DiskSpace;%;Максимальное возможное значение DiskSpace</v>
      </c>
    </row>
    <row r="59" spans="1:12" x14ac:dyDescent="0.25">
      <c r="A59" s="243" t="s">
        <v>162</v>
      </c>
      <c r="C59" s="18" t="s">
        <v>140</v>
      </c>
      <c r="E59" t="s">
        <v>180</v>
      </c>
      <c r="F59" s="18" t="s">
        <v>136</v>
      </c>
      <c r="J59" s="198" t="s">
        <v>187</v>
      </c>
      <c r="K59" s="152" t="str">
        <f t="shared" si="4"/>
        <v>Maximum Limit (Critical) of DiskSpace</v>
      </c>
      <c r="L59" s="152" t="str">
        <f t="shared" si="5"/>
        <v>DiskSpace;%;Критический максимум для DiskSpace</v>
      </c>
    </row>
    <row r="60" spans="1:12" x14ac:dyDescent="0.25">
      <c r="A60" s="243" t="s">
        <v>162</v>
      </c>
      <c r="C60" t="s">
        <v>141</v>
      </c>
      <c r="E60" t="s">
        <v>180</v>
      </c>
      <c r="F60" t="s">
        <v>137</v>
      </c>
      <c r="J60" s="198" t="s">
        <v>188</v>
      </c>
      <c r="K60" s="152" t="str">
        <f t="shared" si="4"/>
        <v>Maximum Limit (Warning) of DiskSpace</v>
      </c>
      <c r="L60" s="152" t="str">
        <f t="shared" si="5"/>
        <v>DiskSpace;%;Верхний порог (предупреждение) для DiskSpace</v>
      </c>
    </row>
    <row r="62" spans="1:12" ht="14.45" x14ac:dyDescent="0.3">
      <c r="J62" t="str">
        <f>CONCATENATE(J55,"|",J56,"|",J57)</f>
        <v>MemLoadHMax|MemLoadCMax|MemLoadWMax</v>
      </c>
      <c r="K62" s="152" t="str">
        <f>CONCATENATE(C62," of ",A62)</f>
        <v xml:space="preserve"> of </v>
      </c>
    </row>
    <row r="63" spans="1:12" x14ac:dyDescent="0.25">
      <c r="A63" s="296" t="s">
        <v>288</v>
      </c>
      <c r="B63" s="18" t="s">
        <v>144</v>
      </c>
      <c r="C63" s="18" t="s">
        <v>140</v>
      </c>
      <c r="E63" t="s">
        <v>252</v>
      </c>
      <c r="F63" s="18" t="s">
        <v>136</v>
      </c>
      <c r="J63" s="152" t="str">
        <f>CONCATENATE(A63,B63)</f>
        <v>FANRPM1CMax</v>
      </c>
      <c r="K63" s="152" t="str">
        <f>CONCATENATE(C63," of ",A63)</f>
        <v>Maximum Limit (Critical) of FANRPM1</v>
      </c>
      <c r="L63" s="152" t="str">
        <f>CONCATENATE(A63,B63,";",E63,";",F63,A63)</f>
        <v>FANRPM1CMax;RPM;Критический максимум для FANRPM1</v>
      </c>
    </row>
    <row r="64" spans="1:12" x14ac:dyDescent="0.25">
      <c r="A64" s="296" t="s">
        <v>288</v>
      </c>
      <c r="B64" t="s">
        <v>145</v>
      </c>
      <c r="C64" t="s">
        <v>141</v>
      </c>
      <c r="E64" t="s">
        <v>252</v>
      </c>
      <c r="F64" t="s">
        <v>137</v>
      </c>
      <c r="J64" s="152" t="str">
        <f>CONCATENATE(A64,B64)</f>
        <v>FANRPM1WMax</v>
      </c>
      <c r="K64" s="152" t="str">
        <f>CONCATENATE(C64," of ",A64)</f>
        <v>Maximum Limit (Warning) of FANRPM1</v>
      </c>
      <c r="L64" s="152" t="str">
        <f>CONCATENATE(A64,B64,";",E64,";",F64,A64)</f>
        <v>FANRPM1WMax;RPM;Верхний порог (предупреждение) для FANRPM1</v>
      </c>
    </row>
    <row r="65" spans="1:12" x14ac:dyDescent="0.25">
      <c r="A65" s="296" t="s">
        <v>288</v>
      </c>
      <c r="B65" t="s">
        <v>146</v>
      </c>
      <c r="C65" t="s">
        <v>142</v>
      </c>
      <c r="E65" t="s">
        <v>252</v>
      </c>
      <c r="F65" t="s">
        <v>138</v>
      </c>
      <c r="J65" s="152" t="str">
        <f>CONCATENATE(A65,B65)</f>
        <v>FANRPM1WMin</v>
      </c>
      <c r="K65" s="152" t="str">
        <f>CONCATENATE(C65," of ",A65)</f>
        <v>Minimum Limit (Warning) of FANRPM1</v>
      </c>
      <c r="L65" s="152" t="str">
        <f>CONCATENATE(A65,B65,";",E65,";",F65,A65)</f>
        <v>FANRPM1WMin;RPM;Нижний порог (предупреждение) для FANRPM1</v>
      </c>
    </row>
    <row r="66" spans="1:12" x14ac:dyDescent="0.25">
      <c r="A66" s="296" t="s">
        <v>288</v>
      </c>
      <c r="B66" t="s">
        <v>147</v>
      </c>
      <c r="C66" t="s">
        <v>143</v>
      </c>
      <c r="E66" t="s">
        <v>252</v>
      </c>
      <c r="F66" t="s">
        <v>139</v>
      </c>
      <c r="J66" s="152" t="str">
        <f>CONCATENATE(A66,B66)</f>
        <v>FANRPM1CMin</v>
      </c>
      <c r="K66" s="152" t="str">
        <f>CONCATENATE(C66," of ",A66)</f>
        <v>Minimum Limit (Critical) of FANRPM1</v>
      </c>
      <c r="L66" s="152" t="str">
        <f>CONCATENATE(A66,B66,";",E66,";",F66,A66)</f>
        <v>FANRPM1CMin;RPM;Критический минимум для FANRPM1</v>
      </c>
    </row>
    <row r="67" spans="1:12" x14ac:dyDescent="0.25">
      <c r="A67" s="296" t="s">
        <v>289</v>
      </c>
      <c r="B67" s="18" t="s">
        <v>144</v>
      </c>
      <c r="C67" s="18" t="s">
        <v>140</v>
      </c>
      <c r="E67" t="s">
        <v>252</v>
      </c>
      <c r="F67" s="18" t="s">
        <v>136</v>
      </c>
      <c r="J67" s="152" t="str">
        <f t="shared" ref="J67:J74" si="6">CONCATENATE(A67,B67)</f>
        <v>FANRPM2CMax</v>
      </c>
      <c r="K67" s="152" t="str">
        <f t="shared" ref="K67:K74" si="7">CONCATENATE(C67," of ",A67)</f>
        <v>Maximum Limit (Critical) of FANRPM2</v>
      </c>
      <c r="L67" s="152" t="str">
        <f t="shared" ref="L67:L74" si="8">CONCATENATE(A67,B67,";",E67,";",F67,A67)</f>
        <v>FANRPM2CMax;RPM;Критический максимум для FANRPM2</v>
      </c>
    </row>
    <row r="68" spans="1:12" x14ac:dyDescent="0.25">
      <c r="A68" s="296" t="s">
        <v>289</v>
      </c>
      <c r="B68" t="s">
        <v>145</v>
      </c>
      <c r="C68" t="s">
        <v>141</v>
      </c>
      <c r="E68" t="s">
        <v>252</v>
      </c>
      <c r="F68" t="s">
        <v>137</v>
      </c>
      <c r="J68" s="152" t="str">
        <f t="shared" si="6"/>
        <v>FANRPM2WMax</v>
      </c>
      <c r="K68" s="152" t="str">
        <f t="shared" si="7"/>
        <v>Maximum Limit (Warning) of FANRPM2</v>
      </c>
      <c r="L68" s="152" t="str">
        <f t="shared" si="8"/>
        <v>FANRPM2WMax;RPM;Верхний порог (предупреждение) для FANRPM2</v>
      </c>
    </row>
    <row r="69" spans="1:12" x14ac:dyDescent="0.25">
      <c r="A69" s="296" t="s">
        <v>289</v>
      </c>
      <c r="B69" t="s">
        <v>146</v>
      </c>
      <c r="C69" t="s">
        <v>142</v>
      </c>
      <c r="E69" t="s">
        <v>252</v>
      </c>
      <c r="F69" t="s">
        <v>138</v>
      </c>
      <c r="J69" s="152" t="str">
        <f t="shared" si="6"/>
        <v>FANRPM2WMin</v>
      </c>
      <c r="K69" s="152" t="str">
        <f t="shared" si="7"/>
        <v>Minimum Limit (Warning) of FANRPM2</v>
      </c>
      <c r="L69" s="152" t="str">
        <f t="shared" si="8"/>
        <v>FANRPM2WMin;RPM;Нижний порог (предупреждение) для FANRPM2</v>
      </c>
    </row>
    <row r="70" spans="1:12" x14ac:dyDescent="0.25">
      <c r="A70" s="296" t="s">
        <v>289</v>
      </c>
      <c r="B70" t="s">
        <v>147</v>
      </c>
      <c r="C70" t="s">
        <v>143</v>
      </c>
      <c r="E70" t="s">
        <v>252</v>
      </c>
      <c r="F70" t="s">
        <v>139</v>
      </c>
      <c r="J70" s="152" t="str">
        <f t="shared" si="6"/>
        <v>FANRPM2CMin</v>
      </c>
      <c r="K70" s="152" t="str">
        <f t="shared" si="7"/>
        <v>Minimum Limit (Critical) of FANRPM2</v>
      </c>
      <c r="L70" s="152" t="str">
        <f t="shared" si="8"/>
        <v>FANRPM2CMin;RPM;Критический минимум для FANRPM2</v>
      </c>
    </row>
    <row r="71" spans="1:12" x14ac:dyDescent="0.25">
      <c r="A71" s="296" t="s">
        <v>290</v>
      </c>
      <c r="B71" s="18" t="s">
        <v>144</v>
      </c>
      <c r="C71" s="18" t="s">
        <v>140</v>
      </c>
      <c r="E71" t="s">
        <v>252</v>
      </c>
      <c r="F71" s="18" t="s">
        <v>136</v>
      </c>
      <c r="J71" s="152" t="str">
        <f t="shared" si="6"/>
        <v>FANRPM3CMax</v>
      </c>
      <c r="K71" s="152" t="str">
        <f t="shared" si="7"/>
        <v>Maximum Limit (Critical) of FANRPM3</v>
      </c>
      <c r="L71" s="152" t="str">
        <f t="shared" si="8"/>
        <v>FANRPM3CMax;RPM;Критический максимум для FANRPM3</v>
      </c>
    </row>
    <row r="72" spans="1:12" x14ac:dyDescent="0.25">
      <c r="A72" s="296" t="s">
        <v>290</v>
      </c>
      <c r="B72" t="s">
        <v>145</v>
      </c>
      <c r="C72" t="s">
        <v>141</v>
      </c>
      <c r="E72" t="s">
        <v>252</v>
      </c>
      <c r="F72" t="s">
        <v>137</v>
      </c>
      <c r="J72" s="152" t="str">
        <f t="shared" si="6"/>
        <v>FANRPM3WMax</v>
      </c>
      <c r="K72" s="152" t="str">
        <f t="shared" si="7"/>
        <v>Maximum Limit (Warning) of FANRPM3</v>
      </c>
      <c r="L72" s="152" t="str">
        <f t="shared" si="8"/>
        <v>FANRPM3WMax;RPM;Верхний порог (предупреждение) для FANRPM3</v>
      </c>
    </row>
    <row r="73" spans="1:12" x14ac:dyDescent="0.25">
      <c r="A73" s="296" t="s">
        <v>290</v>
      </c>
      <c r="B73" t="s">
        <v>146</v>
      </c>
      <c r="C73" t="s">
        <v>142</v>
      </c>
      <c r="E73" t="s">
        <v>252</v>
      </c>
      <c r="F73" t="s">
        <v>138</v>
      </c>
      <c r="J73" s="152" t="str">
        <f t="shared" si="6"/>
        <v>FANRPM3WMin</v>
      </c>
      <c r="K73" s="152" t="str">
        <f t="shared" si="7"/>
        <v>Minimum Limit (Warning) of FANRPM3</v>
      </c>
      <c r="L73" s="152" t="str">
        <f t="shared" si="8"/>
        <v>FANRPM3WMin;RPM;Нижний порог (предупреждение) для FANRPM3</v>
      </c>
    </row>
    <row r="74" spans="1:12" x14ac:dyDescent="0.25">
      <c r="A74" s="296" t="s">
        <v>290</v>
      </c>
      <c r="B74" t="s">
        <v>147</v>
      </c>
      <c r="C74" t="s">
        <v>143</v>
      </c>
      <c r="E74" t="s">
        <v>252</v>
      </c>
      <c r="F74" t="s">
        <v>139</v>
      </c>
      <c r="J74" s="152" t="str">
        <f t="shared" si="6"/>
        <v>FANRPM3CMin</v>
      </c>
      <c r="K74" s="152" t="str">
        <f t="shared" si="7"/>
        <v>Minimum Limit (Critical) of FANRPM3</v>
      </c>
      <c r="L74" s="152" t="str">
        <f t="shared" si="8"/>
        <v>FANRPM3CMin;RPM;Критический минимум для FANRPM3</v>
      </c>
    </row>
    <row r="75" spans="1:12" x14ac:dyDescent="0.25">
      <c r="A75" s="296" t="s">
        <v>291</v>
      </c>
      <c r="B75" s="18" t="s">
        <v>144</v>
      </c>
      <c r="C75" s="18" t="s">
        <v>140</v>
      </c>
      <c r="E75" t="s">
        <v>252</v>
      </c>
      <c r="F75" s="18" t="s">
        <v>136</v>
      </c>
      <c r="J75" s="152" t="str">
        <f t="shared" ref="J75:J86" si="9">CONCATENATE(A75,B75)</f>
        <v>FANRPM4CMax</v>
      </c>
      <c r="K75" s="152" t="str">
        <f t="shared" ref="K75:K86" si="10">CONCATENATE(C75," of ",A75)</f>
        <v>Maximum Limit (Critical) of FANRPM4</v>
      </c>
      <c r="L75" s="152" t="str">
        <f t="shared" ref="L75:L86" si="11">CONCATENATE(A75,B75,";",E75,";",F75,A75)</f>
        <v>FANRPM4CMax;RPM;Критический максимум для FANRPM4</v>
      </c>
    </row>
    <row r="76" spans="1:12" x14ac:dyDescent="0.25">
      <c r="A76" s="296" t="s">
        <v>291</v>
      </c>
      <c r="B76" t="s">
        <v>145</v>
      </c>
      <c r="C76" t="s">
        <v>141</v>
      </c>
      <c r="E76" t="s">
        <v>252</v>
      </c>
      <c r="F76" t="s">
        <v>137</v>
      </c>
      <c r="J76" s="152" t="str">
        <f t="shared" si="9"/>
        <v>FANRPM4WMax</v>
      </c>
      <c r="K76" s="152" t="str">
        <f t="shared" si="10"/>
        <v>Maximum Limit (Warning) of FANRPM4</v>
      </c>
      <c r="L76" s="152" t="str">
        <f t="shared" si="11"/>
        <v>FANRPM4WMax;RPM;Верхний порог (предупреждение) для FANRPM4</v>
      </c>
    </row>
    <row r="77" spans="1:12" x14ac:dyDescent="0.25">
      <c r="A77" s="296" t="s">
        <v>291</v>
      </c>
      <c r="B77" t="s">
        <v>146</v>
      </c>
      <c r="C77" t="s">
        <v>142</v>
      </c>
      <c r="E77" t="s">
        <v>252</v>
      </c>
      <c r="F77" t="s">
        <v>138</v>
      </c>
      <c r="J77" s="152" t="str">
        <f t="shared" si="9"/>
        <v>FANRPM4WMin</v>
      </c>
      <c r="K77" s="152" t="str">
        <f t="shared" si="10"/>
        <v>Minimum Limit (Warning) of FANRPM4</v>
      </c>
      <c r="L77" s="152" t="str">
        <f t="shared" si="11"/>
        <v>FANRPM4WMin;RPM;Нижний порог (предупреждение) для FANRPM4</v>
      </c>
    </row>
    <row r="78" spans="1:12" x14ac:dyDescent="0.25">
      <c r="A78" s="296" t="s">
        <v>291</v>
      </c>
      <c r="B78" t="s">
        <v>147</v>
      </c>
      <c r="C78" t="s">
        <v>143</v>
      </c>
      <c r="E78" t="s">
        <v>252</v>
      </c>
      <c r="F78" t="s">
        <v>139</v>
      </c>
      <c r="J78" s="152" t="str">
        <f t="shared" si="9"/>
        <v>FANRPM4CMin</v>
      </c>
      <c r="K78" s="152" t="str">
        <f t="shared" si="10"/>
        <v>Minimum Limit (Critical) of FANRPM4</v>
      </c>
      <c r="L78" s="152" t="str">
        <f t="shared" si="11"/>
        <v>FANRPM4CMin;RPM;Критический минимум для FANRPM4</v>
      </c>
    </row>
    <row r="79" spans="1:12" x14ac:dyDescent="0.25">
      <c r="A79" s="296" t="s">
        <v>292</v>
      </c>
      <c r="B79" s="18" t="s">
        <v>144</v>
      </c>
      <c r="C79" s="18" t="s">
        <v>140</v>
      </c>
      <c r="E79" t="s">
        <v>252</v>
      </c>
      <c r="F79" s="18" t="s">
        <v>136</v>
      </c>
      <c r="J79" s="152" t="str">
        <f t="shared" si="9"/>
        <v>FANRPM5CMax</v>
      </c>
      <c r="K79" s="152" t="str">
        <f t="shared" si="10"/>
        <v>Maximum Limit (Critical) of FANRPM5</v>
      </c>
      <c r="L79" s="152" t="str">
        <f t="shared" si="11"/>
        <v>FANRPM5CMax;RPM;Критический максимум для FANRPM5</v>
      </c>
    </row>
    <row r="80" spans="1:12" x14ac:dyDescent="0.25">
      <c r="A80" s="296" t="s">
        <v>292</v>
      </c>
      <c r="B80" t="s">
        <v>145</v>
      </c>
      <c r="C80" t="s">
        <v>141</v>
      </c>
      <c r="E80" t="s">
        <v>252</v>
      </c>
      <c r="F80" t="s">
        <v>137</v>
      </c>
      <c r="J80" s="152" t="str">
        <f t="shared" si="9"/>
        <v>FANRPM5WMax</v>
      </c>
      <c r="K80" s="152" t="str">
        <f t="shared" si="10"/>
        <v>Maximum Limit (Warning) of FANRPM5</v>
      </c>
      <c r="L80" s="152" t="str">
        <f t="shared" si="11"/>
        <v>FANRPM5WMax;RPM;Верхний порог (предупреждение) для FANRPM5</v>
      </c>
    </row>
    <row r="81" spans="1:12" x14ac:dyDescent="0.25">
      <c r="A81" s="296" t="s">
        <v>292</v>
      </c>
      <c r="B81" t="s">
        <v>146</v>
      </c>
      <c r="C81" t="s">
        <v>142</v>
      </c>
      <c r="E81" t="s">
        <v>252</v>
      </c>
      <c r="F81" t="s">
        <v>138</v>
      </c>
      <c r="J81" s="152" t="str">
        <f t="shared" si="9"/>
        <v>FANRPM5WMin</v>
      </c>
      <c r="K81" s="152" t="str">
        <f t="shared" si="10"/>
        <v>Minimum Limit (Warning) of FANRPM5</v>
      </c>
      <c r="L81" s="152" t="str">
        <f t="shared" si="11"/>
        <v>FANRPM5WMin;RPM;Нижний порог (предупреждение) для FANRPM5</v>
      </c>
    </row>
    <row r="82" spans="1:12" x14ac:dyDescent="0.25">
      <c r="A82" s="296" t="s">
        <v>292</v>
      </c>
      <c r="B82" t="s">
        <v>147</v>
      </c>
      <c r="C82" t="s">
        <v>143</v>
      </c>
      <c r="E82" t="s">
        <v>252</v>
      </c>
      <c r="F82" t="s">
        <v>139</v>
      </c>
      <c r="J82" s="152" t="str">
        <f t="shared" si="9"/>
        <v>FANRPM5CMin</v>
      </c>
      <c r="K82" s="152" t="str">
        <f t="shared" si="10"/>
        <v>Minimum Limit (Critical) of FANRPM5</v>
      </c>
      <c r="L82" s="152" t="str">
        <f t="shared" si="11"/>
        <v>FANRPM5CMin;RPM;Критический минимум для FANRPM5</v>
      </c>
    </row>
    <row r="83" spans="1:12" x14ac:dyDescent="0.25">
      <c r="A83" s="296" t="s">
        <v>293</v>
      </c>
      <c r="B83" s="18" t="s">
        <v>144</v>
      </c>
      <c r="C83" s="18" t="s">
        <v>140</v>
      </c>
      <c r="E83" t="s">
        <v>252</v>
      </c>
      <c r="F83" s="18" t="s">
        <v>136</v>
      </c>
      <c r="J83" s="152" t="str">
        <f t="shared" si="9"/>
        <v>FANRPM6CMax</v>
      </c>
      <c r="K83" s="152" t="str">
        <f t="shared" si="10"/>
        <v>Maximum Limit (Critical) of FANRPM6</v>
      </c>
      <c r="L83" s="152" t="str">
        <f t="shared" si="11"/>
        <v>FANRPM6CMax;RPM;Критический максимум для FANRPM6</v>
      </c>
    </row>
    <row r="84" spans="1:12" x14ac:dyDescent="0.25">
      <c r="A84" s="296" t="s">
        <v>293</v>
      </c>
      <c r="B84" t="s">
        <v>145</v>
      </c>
      <c r="C84" t="s">
        <v>141</v>
      </c>
      <c r="E84" t="s">
        <v>252</v>
      </c>
      <c r="F84" t="s">
        <v>137</v>
      </c>
      <c r="J84" s="152" t="str">
        <f t="shared" si="9"/>
        <v>FANRPM6WMax</v>
      </c>
      <c r="K84" s="152" t="str">
        <f t="shared" si="10"/>
        <v>Maximum Limit (Warning) of FANRPM6</v>
      </c>
      <c r="L84" s="152" t="str">
        <f t="shared" si="11"/>
        <v>FANRPM6WMax;RPM;Верхний порог (предупреждение) для FANRPM6</v>
      </c>
    </row>
    <row r="85" spans="1:12" x14ac:dyDescent="0.25">
      <c r="A85" s="296" t="s">
        <v>293</v>
      </c>
      <c r="B85" t="s">
        <v>146</v>
      </c>
      <c r="C85" t="s">
        <v>142</v>
      </c>
      <c r="E85" t="s">
        <v>252</v>
      </c>
      <c r="F85" t="s">
        <v>138</v>
      </c>
      <c r="J85" s="152" t="str">
        <f t="shared" si="9"/>
        <v>FANRPM6WMin</v>
      </c>
      <c r="K85" s="152" t="str">
        <f t="shared" si="10"/>
        <v>Minimum Limit (Warning) of FANRPM6</v>
      </c>
      <c r="L85" s="152" t="str">
        <f t="shared" si="11"/>
        <v>FANRPM6WMin;RPM;Нижний порог (предупреждение) для FANRPM6</v>
      </c>
    </row>
    <row r="86" spans="1:12" x14ac:dyDescent="0.25">
      <c r="A86" s="296" t="s">
        <v>293</v>
      </c>
      <c r="B86" t="s">
        <v>147</v>
      </c>
      <c r="C86" t="s">
        <v>143</v>
      </c>
      <c r="E86" t="s">
        <v>252</v>
      </c>
      <c r="F86" t="s">
        <v>139</v>
      </c>
      <c r="J86" s="152" t="str">
        <f t="shared" si="9"/>
        <v>FANRPM6CMin</v>
      </c>
      <c r="K86" s="152" t="str">
        <f t="shared" si="10"/>
        <v>Minimum Limit (Critical) of FANRPM6</v>
      </c>
      <c r="L86" s="152" t="str">
        <f t="shared" si="11"/>
        <v>FANRPM6CMin;RPM;Критический минимум для FANRPM6</v>
      </c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22</vt:i4>
      </vt:variant>
    </vt:vector>
  </HeadingPairs>
  <TitlesOfParts>
    <vt:vector size="22" baseType="lpstr">
      <vt:lpstr>Info</vt:lpstr>
      <vt:lpstr>Header</vt:lpstr>
      <vt:lpstr>Dynamic</vt:lpstr>
      <vt:lpstr>Set</vt:lpstr>
      <vt:lpstr>Limits</vt:lpstr>
      <vt:lpstr>Led</vt:lpstr>
      <vt:lpstr>100</vt:lpstr>
      <vt:lpstr>101</vt:lpstr>
      <vt:lpstr>102</vt:lpstr>
      <vt:lpstr>103</vt:lpstr>
      <vt:lpstr>200</vt:lpstr>
      <vt:lpstr>Calib</vt:lpstr>
      <vt:lpstr>CalibCoef</vt:lpstr>
      <vt:lpstr>Port</vt:lpstr>
      <vt:lpstr>GROUPMON</vt:lpstr>
      <vt:lpstr>Alarms</vt:lpstr>
      <vt:lpstr>Enum</vt:lpstr>
      <vt:lpstr>ColorTranslator</vt:lpstr>
      <vt:lpstr>ParRelation</vt:lpstr>
      <vt:lpstr>Main</vt:lpstr>
      <vt:lpstr>Лист1</vt:lpstr>
      <vt:lpstr>Лист2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Михаил В. Баранов</dc:creator>
  <cp:lastModifiedBy>Пётр Кирьянов</cp:lastModifiedBy>
  <dcterms:created xsi:type="dcterms:W3CDTF">2006-09-28T05:33:49Z</dcterms:created>
  <dcterms:modified xsi:type="dcterms:W3CDTF">2015-12-02T16:56:22Z</dcterms:modified>
</cp:coreProperties>
</file>